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c23c2ce86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нель" sheetId="1" r:id="R53a6e76b27a84b0c"/>
    <x:sheet xmlns:r="http://schemas.openxmlformats.org/officeDocument/2006/relationships" name="Недели" sheetId="2" r:id="R9ccf1769a9d44ed1"/>
    <x:sheet xmlns:r="http://schemas.openxmlformats.org/officeDocument/2006/relationships" name="Задачи" sheetId="3" r:id="R6ea4d43441054307"/>
    <x:sheet xmlns:r="http://schemas.openxmlformats.org/officeDocument/2006/relationships" name="Прогресс" sheetId="4" r:id="R1bc025f86f904c6a"/>
    <x:sheet xmlns:r="http://schemas.openxmlformats.org/officeDocument/2006/relationships" name="Маршруты" sheetId="5" r:id="R2b68aa83bbe14b68"/>
    <x:sheet xmlns:r="http://schemas.openxmlformats.org/officeDocument/2006/relationships" name="Ресурсы" sheetId="6" r:id="R3d2272f33ad2417d"/>
    <x:sheet xmlns:r="http://schemas.openxmlformats.org/officeDocument/2006/relationships" name="Покупки" sheetId="7" r:id="R25694417b78a40f0"/>
    <x:sheet xmlns:r="http://schemas.openxmlformats.org/officeDocument/2006/relationships" name="Настройки" sheetId="8" r:id="R914ea6e60c98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dd.mm.yyyy"/>
    <x:numFmt numFmtId="202" formatCode="0%"/>
    <x:numFmt numFmtId="203" formatCode="[hh]:mm"/>
    <x:numFmt numFmtId="204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AF4F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left" wrapText="1"/>
    </x:xf>
    <x:xf numFmtId="0" fontId="3" fillId="3" borderId="3" xfId="0" applyNumberFormat="1" applyFont="1" applyFill="1" applyBorder="1" applyAlignment="1">
      <x:alignment horizontal="left" wrapText="1"/>
    </x:xf>
    <x:xf numFmtId="0" fontId="3" fillId="3" borderId="4" xfId="0" applyNumberFormat="1" applyFont="1" applyFill="1" applyBorder="1" applyAlignment="1">
      <x:alignment horizontal="left" wrapText="1"/>
    </x:xf>
    <x:xf numFmtId="0" fontId="3" fillId="3" borderId="5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6" xfId="0" applyNumberFormat="1" applyFont="1" applyFill="1" applyBorder="1" applyAlignment="1">
      <x:alignment horizontal="left" wrapText="1"/>
    </x:xf>
    <x:xf numFmtId="0" fontId="3" fillId="3" borderId="7" xfId="0" applyNumberFormat="1" applyFont="1" applyFill="1" applyBorder="1" applyAlignment="1">
      <x:alignment horizontal="left" wrapText="1"/>
    </x:xf>
    <x:xf numFmtId="0" fontId="3" fillId="3" borderId="8" xfId="0" applyNumberFormat="1" applyFont="1" applyFill="1" applyBorder="1" applyAlignment="1">
      <x:alignment horizontal="left" wrapText="1"/>
    </x:xf>
    <x:xf numFmtId="0" fontId="3" fillId="3" borderId="9" xfId="0" applyNumberFormat="1" applyFont="1" applyFill="1" applyBorder="1" applyAlignment="1">
      <x:alignment horizontal="left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3" fillId="3" borderId="4" xfId="0" applyNumberFormat="1" applyFont="1" applyFill="1" applyBorder="1" applyAlignment="1">
      <x:alignment horizontal="left" vertical="center" wrapText="1"/>
    </x:xf>
    <x:xf numFmtId="0" fontId="3" fillId="3" borderId="5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6" xfId="0" applyNumberFormat="1" applyFont="1" applyFill="1" applyBorder="1" applyAlignment="1">
      <x:alignment horizontal="left" vertical="center" wrapText="1"/>
    </x:xf>
    <x:xf numFmtId="0" fontId="3" fillId="3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 applyAlignment="1">
      <x:alignment horizontal="left" vertical="center" wrapText="1"/>
    </x:xf>
    <x:xf numFmtId="0" fontId="3" fillId="3" borderId="9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wrapText="1"/>
    </x:xf>
    <x:xf numFmtId="0" fontId="3" fillId="3" borderId="17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horizontal="left" wrapText="1"/>
    </x:xf>
    <x:xf numFmtId="0" fontId="3" fillId="3" borderId="11" xfId="0" applyNumberFormat="1" applyFont="1" applyFill="1" applyBorder="1" applyAlignment="1">
      <x:alignment horizontal="left" wrapText="1"/>
    </x:xf>
    <x:xf numFmtId="0" fontId="3" fillId="3" borderId="12" xfId="0" applyNumberFormat="1" applyFont="1" applyFill="1" applyBorder="1" applyAlignment="1">
      <x:alignment horizontal="left" wrapText="1"/>
    </x:xf>
    <x:xf numFmtId="0" fontId="3" fillId="3" borderId="13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4" xfId="0" applyNumberFormat="1" applyFont="1" applyFill="1" applyBorder="1" applyAlignment="1">
      <x:alignment horizontal="left" wrapText="1"/>
    </x:xf>
    <x:xf numFmtId="0" fontId="3" fillId="3" borderId="15" xfId="0" applyNumberFormat="1" applyFont="1" applyFill="1" applyBorder="1" applyAlignment="1">
      <x:alignment horizontal="left" wrapText="1"/>
    </x:xf>
    <x:xf numFmtId="0" fontId="3" fillId="3" borderId="16" xfId="0" applyNumberFormat="1" applyFont="1" applyFill="1" applyBorder="1" applyAlignment="1">
      <x:alignment horizontal="left" wrapText="1"/>
    </x:xf>
    <x:xf numFmtId="0" fontId="3" fillId="3" borderId="17" xfId="0" applyNumberFormat="1" applyFont="1" applyFill="1" applyBorder="1" applyAlignment="1">
      <x:alignment horizontal="left" wrapText="1"/>
    </x:xf>
    <x:xf numFmtId="0" fontId="3" fillId="3" borderId="10" xfId="0" applyNumberFormat="1" applyFont="1" applyFill="1" applyBorder="1" applyAlignment="1">
      <x:alignment horizontal="left" vertical="center" wrapText="1"/>
    </x:xf>
    <x:xf numFmtId="0" fontId="3" fillId="3" borderId="11" xfId="0" applyNumberFormat="1" applyFont="1" applyFill="1" applyBorder="1" applyAlignment="1">
      <x:alignment horizontal="left" vertical="center" wrapText="1"/>
    </x:xf>
    <x:xf numFmtId="0" fontId="3" fillId="3" borderId="12" xfId="0" applyNumberFormat="1" applyFont="1" applyFill="1" applyBorder="1" applyAlignment="1">
      <x:alignment horizontal="left" vertical="center" wrapText="1"/>
    </x:xf>
    <x:xf numFmtId="0" fontId="3" fillId="3" borderId="13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14" xfId="0" applyNumberFormat="1" applyFont="1" applyFill="1" applyBorder="1" applyAlignment="1">
      <x:alignment horizontal="left" vertical="center" wrapText="1"/>
    </x:xf>
    <x:xf numFmtId="0" fontId="3" fillId="3" borderId="15" xfId="0" applyNumberFormat="1" applyFont="1" applyFill="1" applyBorder="1" applyAlignment="1">
      <x:alignment horizontal="left" vertical="center" wrapText="1"/>
    </x:xf>
    <x:xf numFmtId="0" fontId="3" fillId="3" borderId="16" xfId="0" applyNumberFormat="1" applyFont="1" applyFill="1" applyBorder="1" applyAlignment="1">
      <x:alignment horizontal="left" vertical="center" wrapText="1"/>
    </x:xf>
    <x:xf numFmtId="0" fontId="3" fillId="3" borderId="17" xfId="0" applyNumberFormat="1" applyFont="1" applyFill="1" applyBorder="1" applyAlignment="1">
      <x:alignment horizontal="left" vertical="center" wrapText="1"/>
    </x:xf>
    <x:xf numFmtId="204" fontId="0" fillId="0" borderId="8" xfId="0" applyNumberFormat="1" applyFont="1" applyFill="1" applyBorder="1" applyAlignment="1">
      <x:alignment vertical="top" wrapText="1"/>
    </x:xf>
    <x:xf numFmtId="204" fontId="0" fillId="0" borderId="16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CDEDDC"/>
        </x:patternFill>
      </x:fill>
    </x:dxf>
    <x:dxf>
      <x:fill>
        <x:patternFill patternType="solid">
          <x:bgColor rgb="FFE9C46A"/>
        </x:patternFill>
      </x:fill>
    </x:dxf>
    <x:dxf>
      <x:fill>
        <x:patternFill patternType="solid">
          <x:bgColor rgb="FFE5E7EB"/>
        </x:patternFill>
      </x:fill>
    </x:dxf>
    <x:dxf>
      <x:font>
        <x:b/>
      </x:font>
      <x:fill>
        <x:patternFill patternType="solid">
          <x:bgColor rgb="FFCDEDDC"/>
        </x:patternFill>
      </x:fill>
    </x:dxf>
    <x:dxf>
      <x:fill>
        <x:patternFill patternType="solid">
          <x:bgColor rgb="FFE9C46A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EAF7"/>
        </x:patternFill>
      </x:fill>
    </x:dxf>
    <x:dxf>
      <x:font>
        <x:b/>
      </x:font>
    </x:dxf>
    <x:dxf>
      <x:fill>
        <x:patternFill patternType="solid">
          <x:bgColor rgb="FFFFF7ED"/>
        </x:patternFill>
      </x:fill>
    </x:dxf>
    <x:dxf>
      <x:font>
        <x:b/>
      </x:font>
      <x:fill>
        <x:patternFill patternType="solid">
          <x:bgColor rgb="FFCDED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b46357eab44bf" /><Relationship Type="http://schemas.openxmlformats.org/officeDocument/2006/relationships/theme" Target="/xl/theme/theme1.xml" Id="Rc1c1a9fb0745432e" /><Relationship Type="http://schemas.openxmlformats.org/officeDocument/2006/relationships/sharedStrings" Target="/xl/sharedStrings.xml" Id="R3063c826c919400c" /><Relationship Type="http://schemas.openxmlformats.org/officeDocument/2006/relationships/worksheet" Target="/xl/worksheets/sheet1.xml" Id="R53a6e76b27a84b0c" /><Relationship Type="http://schemas.openxmlformats.org/officeDocument/2006/relationships/worksheet" Target="/xl/worksheets/sheet2.xml" Id="R9ccf1769a9d44ed1" /><Relationship Type="http://schemas.openxmlformats.org/officeDocument/2006/relationships/worksheet" Target="/xl/worksheets/sheet3.xml" Id="R6ea4d43441054307" /><Relationship Type="http://schemas.openxmlformats.org/officeDocument/2006/relationships/worksheet" Target="/xl/worksheets/sheet4.xml" Id="R1bc025f86f904c6a" /><Relationship Type="http://schemas.openxmlformats.org/officeDocument/2006/relationships/worksheet" Target="/xl/worksheets/sheet5.xml" Id="R2b68aa83bbe14b68" /><Relationship Type="http://schemas.openxmlformats.org/officeDocument/2006/relationships/worksheet" Target="/xl/worksheets/sheet6.xml" Id="R3d2272f33ad2417d" /><Relationship Type="http://schemas.openxmlformats.org/officeDocument/2006/relationships/worksheet" Target="/xl/worksheets/sheet7.xml" Id="R25694417b78a40f0" /><Relationship Type="http://schemas.openxmlformats.org/officeDocument/2006/relationships/worksheet" Target="/xl/worksheets/sheet8.xml" Id="R914ea6e60c9845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b283db34a948e4" /><Relationship Type="http://schemas.openxmlformats.org/officeDocument/2006/relationships/chart" Target="/xl/drawings/charts/chart2.xml" Id="R03920776d48a46f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Выполнение</c:v>
          </c:tx>
          <c:cat>
            <c:strRef>
              <c:f>'Панель'!$A$15:$A$40</c:f>
              <c:strCache>
                <c:ptCount val="0"/>
              </c:strCache>
            </c:strRef>
          </c:cat>
          <c:val>
            <c:numRef>
              <c:f>'Панель'!$F$15:$F$40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Минута</c:v>
          </c:tx>
          <c:marker>
            <c:symbol val="none"/>
          </c:marker>
          <c:cat>
            <c:strRef>
              <c:f>'Панель'!$A$15:$A$40</c:f>
              <c:strCache>
                <c:ptCount val="0"/>
              </c:strCache>
            </c:strRef>
          </c:cat>
          <c:val>
            <c:numRef>
              <c:f>'Панель'!$G$15:$G$40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b283db34a948e4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20776d48a46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WeeksTable" displayName="WeeksTable" ref="A1:Q28" headerRowCount="1" totalsRowCount="0" totalsRowShown="0">
  <x:tableColumns count="17">
    <x:tableColumn id="1" name="Неделя"/>
    <x:tableColumn id="2" name="Начало"/>
    <x:tableColumn id="3" name="Конец"/>
    <x:tableColumn id="4" name="Этап"/>
    <x:tableColumn id="5" name="Название"/>
    <x:tableColumn id="6" name="Навык"/>
    <x:tableColumn id="7" name="Главный cue"/>
    <x:tableColumn id="8" name="Тренировка A / трассы"/>
    <x:tableColumn id="9" name="Тренировка B / проект"/>
    <x:tableColumn id="10" name="Фингерборд"/>
    <x:tableColumn id="11" name="Выносливость"/>
    <x:tableColumn id="12" name="Ресурсы"/>
    <x:tableColumn id="13" name="Контроль"/>
    <x:tableColumn id="14" name="Осторожность"/>
    <x:tableColumn id="15" name="Обязательных задач"/>
    <x:tableColumn id="16" name="Выполнено"/>
    <x:tableColumn id="17" name="Выпол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asksTable" displayName="TasksTable" ref="A1:R1853" headerRowCount="1" totalsRowCount="0" totalsRowShown="0">
  <x:tableColumns count="18">
    <x:tableColumn id="1" name="ID"/>
    <x:tableColumn id="2" name="Неделя"/>
    <x:tableColumn id="3" name="Этап"/>
    <x:tableColumn id="4" name="Дата"/>
    <x:tableColumn id="5" name="День"/>
    <x:tableColumn id="6" name="Тип дня"/>
    <x:tableColumn id="7" name="Начало"/>
    <x:tableColumn id="8" name="Конец"/>
    <x:tableColumn id="9" name="Минуты"/>
    <x:tableColumn id="10" name="Категория"/>
    <x:tableColumn id="11" name="Задача"/>
    <x:tableColumn id="12" name="Статус"/>
    <x:tableColumn id="13" name="Обязательность"/>
    <x:tableColumn id="14" name="Интенсивность"/>
    <x:tableColumn id="15" name="Осторожность"/>
    <x:tableColumn id="16" name="Документ"/>
    <x:tableColumn id="17" name="Открыть"/>
    <x:tableColumn id="18" name="Замет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ProgressTable" displayName="ProgressTable" ref="A1:Q27" headerRowCount="1" totalsRowCount="0" totalsRowShown="0">
  <x:tableColumns count="17">
    <x:tableColumn id="1" name="Неделя"/>
    <x:tableColumn id="2" name="Начало недели"/>
    <x:tableColumn id="3" name="4: попытки"/>
    <x:tableColumn id="4" name="4: топы"/>
    <x:tableColumn id="5" name="4: %"/>
    <x:tableColumn id="6" name="5: попытки"/>
    <x:tableColumn id="7" name="5: топы"/>
    <x:tableColumn id="8" name="5: %"/>
    <x:tableColumn id="9" name="6: лучшая связка / результат"/>
    <x:tableColumn id="10" name="Просадка хвата, мин"/>
    <x:tableColumn id="11" name="Плечо 0–10"/>
    <x:tableColumn id="12" name="Пальцы 0–10"/>
    <x:tableColumn id="13" name="Правое колено 0–10"/>
    <x:tableColumn id="14" name="Энергия 1–5"/>
    <x:tableColumn id="15" name="Лишние перестановки стоп"/>
    <x:tableColumn id="16" name="Ранние сгибания рук"/>
    <x:tableColumn id="17" name="Заметк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RoutesTable" displayName="RoutesTable" ref="A1:P251" headerRowCount="1" totalsRowCount="0" totalsRowShown="0">
  <x:tableColumns count="16">
    <x:tableColumn id="1" name="Дата"/>
    <x:tableColumn id="2" name="Зал"/>
    <x:tableColumn id="3" name="Трасса / сектор / цвет"/>
    <x:tableColumn id="4" name="Грейд"/>
    <x:tableColumn id="5" name="Роль"/>
    <x:tableColumn id="6" name="Стиль / угол"/>
    <x:tableColumn id="7" name="Тип зацепов"/>
    <x:tableColumn id="8" name="Попытки"/>
    <x:tableColumn id="9" name="Топ"/>
    <x:tableColumn id="10" name="Crux / причина срыва"/>
    <x:tableColumn id="11" name="Изменение beta"/>
    <x:tableColumn id="12" name="Плечо 0–10"/>
    <x:tableColumn id="13" name="Пальцы 0–10"/>
    <x:tableColumn id="14" name="Колено 0–10"/>
    <x:tableColumn id="15" name="Видео / файл"/>
    <x:tableColumn id="16" name="Заметк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esourcesTable" displayName="ResourcesTable" ref="A1:G26" headerRowCount="1" totalsRowCount="0" totalsRowShown="0">
  <x:tableColumns count="7">
    <x:tableColumn id="1" name="ID"/>
    <x:tableColumn id="2" name="Название"/>
    <x:tableColumn id="3" name="Тип"/>
    <x:tableColumn id="4" name="Минуты"/>
    <x:tableColumn id="5" name="Недели"/>
    <x:tableColumn id="6" name="Практическая задача"/>
    <x:tableColumn id="7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PurchasesTable" displayName="PurchasesTable" ref="A1:G13" headerRowCount="1" totalsRowCount="0" totalsRowShown="0">
  <x:tableColumns count="7">
    <x:tableColumn id="1" name="Приоритет"/>
    <x:tableColumn id="2" name="Предмет / действие"/>
    <x:tableColumn id="3" name="Статус"/>
    <x:tableColumn id="4" name="Когда"/>
    <x:tableColumn id="5" name="Зачем"/>
    <x:tableColumn id="6" name="Осторожность"/>
    <x:tableColumn id="7" name="Бюджет / факт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SettingsTable" displayName="SettingsTable" ref="A1:C34" headerRowCount="1" totalsRowCount="0" totalsRowShown="0">
  <x:tableColumns count="3">
    <x:tableColumn id="1" name="Категория"/>
    <x:tableColumn id="2" name="Значение"/>
    <x:tableColumn id="3" name="Пояс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087028ab944c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6e73ef9079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b71ec2b928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be10961ce24e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405ab6a247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9f1ccc523f47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5914f80c4348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45b6e3b9c942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50" hidden="0" customWidth="1"/>
    <x:col min="9" max="9" width="26" hidden="0" customWidth="1"/>
    <x:col min="10" max="10" width="5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58" t="str">
        <x:v>Болдеринг-план · 26 недель · Berta / Basement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</x:row>
    <x:row r="3">
      <x:c r="A3" s="16" t="str">
        <x:v>Показатель</x:v>
      </x:c>
      <x:c r="B3" s="17" t="str">
        <x:v>Значение</x:v>
      </x:c>
      <x:c r="C3" s="18" t="str">
        <x:v>Как читать</x:v>
      </x:c>
      <x:c r="E3" s="16" t="str">
        <x:v>Этап</x:v>
      </x:c>
      <x:c r="F3" s="17" t="str">
        <x:v>Недели</x:v>
      </x:c>
      <x:c r="G3" s="17" t="str">
        <x:v>Фокус</x:v>
      </x:c>
      <x:c r="H3" s="18" t="str">
        <x:v>Цель</x:v>
      </x:c>
    </x:row>
    <x:row r="4">
      <x:c r="A4" s="19" t="str">
        <x:v>Начало цикла</x:v>
      </x:c>
      <x:c r="B4" s="138" t="str">
        <x:v>07.09.2026</x:v>
      </x:c>
      <x:c r="C4" s="20" t="str">
        <x:v>Первая полная неделя</x:v>
      </x:c>
      <x:c r="E4" s="19" t="n">
        <x:v>1</x:v>
      </x:c>
      <x:c r="F4" s="13" t="str">
        <x:v>1–4</x:v>
      </x:c>
      <x:c r="G4" s="13" t="str">
        <x:v>База, разминка и исходная точка</x:v>
      </x:c>
      <x:c r="H4" s="20" t="str">
        <x:v>Сделать разминку автоматической, начать ставить ноги точно, перестать начинать каждое движение с подтягивания и получить честную исходную точку.</x:v>
      </x:c>
    </x:row>
    <x:row r="5">
      <x:c r="A5" s="19" t="str">
        <x:v>Конец цикла</x:v>
      </x:c>
      <x:c r="B5" s="138" t="str">
        <x:v>07.03.2027</x:v>
      </x:c>
      <x:c r="C5" s="20" t="str">
        <x:v>Финальная неделя</x:v>
      </x:c>
      <x:c r="E5" s="19" t="n">
        <x:v>2</x:v>
      </x:c>
      <x:c r="F5" s="13" t="str">
        <x:v>5–8</x:v>
      </x:c>
      <x:c r="G5" s="13" t="str">
        <x:v>Ноги и положение корпуса</x:v>
      </x:c>
      <x:c r="H5" s="20" t="str">
        <x:v>Освоить разворот бедра, flagging, rock-over и смену ног; начать очень лёгкую дозированную работу пальцев.</x:v>
      </x:c>
    </x:row>
    <x:row r="6">
      <x:c r="A6" s="19" t="str">
        <x:v>Текущая неделя</x:v>
      </x:c>
      <x:c r="B6" s="13" t="n">
        <x:f>MAX(0,MIN(26,INT((TODAY()-DATE(2026,9,7))/7)+1))</x:f>
        <x:v>0</x:v>
      </x:c>
      <x:c r="C6" s="20" t="str">
        <x:v>0 = до старта; 26 = финал</x:v>
      </x:c>
      <x:c r="E6" s="19" t="n">
        <x:v>3</x:v>
      </x:c>
      <x:c r="F6" s="13" t="str">
        <x:v>9–12</x:v>
      </x:c>
      <x:c r="G6" s="13" t="str">
        <x:v>Hooks, натяжение корпуса и первые шестёрки</x:v>
      </x:c>
      <x:c r="H6" s="20" t="str">
        <x:v>Добавить heel hook, toe hook и неглубокий drop knee; системно пробовать шестёрки и разбирать их на движения.</x:v>
      </x:c>
    </x:row>
    <x:row r="7">
      <x:c r="A7" s="19" t="str">
        <x:v>Обязательных задач</x:v>
      </x:c>
      <x:c r="B7" s="13" t="n">
        <x:f>COUNTIF('Задачи'!$M$2:$M$1853,"Обязательно")</x:f>
        <x:v>1416</x:v>
      </x:c>
      <x:c r="C7" s="20" t="str">
        <x:v>Включая подготовку; воскресенье не считается</x:v>
      </x:c>
      <x:c r="E7" s="19" t="n">
        <x:v>4</x:v>
      </x:c>
      <x:c r="F7" s="13" t="str">
        <x:v>13–16</x:v>
      </x:c>
      <x:c r="G7" s="13" t="str">
        <x:v>Типы хвата и специфическая сила пальцев</x:v>
      </x:c>
      <x:c r="H7" s="20" t="str">
        <x:v>Понимать, как держать кромки, sloper и pinch, и прогрессировать на фингерборде без отказа.</x:v>
      </x:c>
    </x:row>
    <x:row r="8">
      <x:c r="A8" s="19" t="str">
        <x:v>Выполнено обязательных</x:v>
      </x:c>
      <x:c r="B8" s="13" t="n">
        <x:f>COUNTIFS('Задачи'!$M$2:$M$1853,"Обязательно",'Задачи'!$L$2:$L$1853,"☑ Готово")</x:f>
        <x:v>0</x:v>
      </x:c>
      <x:c r="C8" s="20" t="str">
        <x:v>Статус «☑ Готово»</x:v>
      </x:c>
      <x:c r="E8" s="19" t="n">
        <x:v>5</x:v>
      </x:c>
      <x:c r="F8" s="13" t="str">
        <x:v>17–20</x:v>
      </x:c>
      <x:c r="G8" s="13" t="str">
        <x:v>Эффективность движения и работа над проектом</x:v>
      </x:c>
      <x:c r="H8" s="20" t="str">
        <x:v>Освоить контролируемый deadpoint, темп, отдых и связывание частей сложной трассы.</x:v>
      </x:c>
    </x:row>
    <x:row r="9">
      <x:c r="A9" s="19" t="str">
        <x:v>Выполнение</x:v>
      </x:c>
      <x:c r="B9" s="48" t="n">
        <x:f>IFERROR(B8/B7,0)</x:f>
        <x:v>0</x:v>
      </x:c>
      <x:c r="C9" s="20" t="str">
        <x:v>Главный процент</x:v>
      </x:c>
      <x:c r="E9" s="21" t="n">
        <x:v>6</x:v>
      </x:c>
      <x:c r="F9" s="22" t="str">
        <x:v>21–26</x:v>
      </x:c>
      <x:c r="G9" s="22" t="str">
        <x:v>Перенос навыков, шестёрки и закрепление</x:v>
      </x:c>
      <x:c r="H9" s="23" t="str">
        <x:v>Укрепить слабый стиль, перенести навыки в другой зал и подойти свежим к нескольким качественным попыткам на шестёрках.</x:v>
      </x:c>
    </x:row>
    <x:row r="10">
      <x:c r="A10" s="19" t="str">
        <x:v>Опциональных выполнено</x:v>
      </x:c>
      <x:c r="B10" s="13" t="n">
        <x:f>COUNTIFS('Задачи'!$M$2:$M$1853,"&lt;&gt;Обязательно",'Задачи'!$L$2:$L$1853,"☑ Готово")</x:f>
        <x:v>0</x:v>
      </x:c>
      <x:c r="C10" s="20" t="str">
        <x:v>Воскресенье, покупки и дополнительные пункты</x:v>
      </x:c>
    </x:row>
    <x:row r="11">
      <x:c r="A11" s="21" t="str">
        <x:v>Последняя запись трассы</x:v>
      </x:c>
      <x:c r="B11" s="136" t="str">
        <x:f>IF(MAX('Маршруты'!$A$2:$A$251)=0,"нет записей",TEXT(MAX('Маршруты'!$A$2:$A$251),"dd.mm.yyyy"))</x:f>
        <x:v>нет записей</x:v>
      </x:c>
      <x:c r="C11" s="23" t="str">
        <x:v>Из листа «Маршруты»</x:v>
      </x:c>
    </x:row>
    <x:row r="14">
      <x:c r="A14" s="16" t="str">
        <x:v>Неделя</x:v>
      </x:c>
      <x:c r="B14" s="17" t="str">
        <x:v>Даты</x:v>
      </x:c>
      <x:c r="C14" s="17" t="str">
        <x:v>Тема</x:v>
      </x:c>
      <x:c r="D14" s="17" t="str">
        <x:v>Обязательных</x:v>
      </x:c>
      <x:c r="E14" s="17" t="str">
        <x:v>Готово</x:v>
      </x:c>
      <x:c r="F14" s="17" t="str">
        <x:v>Выполнение</x:v>
      </x:c>
      <x:c r="G14" s="18" t="str">
        <x:v>Просадка хвата, мин</x:v>
      </x:c>
    </x:row>
    <x:row r="15">
      <x:c r="A15" s="19" t="n">
        <x:v>1</x:v>
      </x:c>
      <x:c r="B15" s="13" t="str">
        <x:v>07.09–13.09</x:v>
      </x:c>
      <x:c r="C15" s="13" t="str">
        <x:v>Исходная точка и тихие ноги</x:v>
      </x:c>
      <x:c r="D15" s="13" t="n">
        <x:f>COUNTIFS('Задачи'!$B$2:$B$1853,A15,'Задачи'!$M$2:$M$1853,"Обязательно")</x:f>
        <x:v>52</x:v>
      </x:c>
      <x:c r="E15" s="13" t="n">
        <x:f>COUNTIFS('Задачи'!$B$2:$B$1853,A15,'Задачи'!$M$2:$M$1853,"Обязательно",'Задачи'!$L$2:$L$1853,"☑ Готово")</x:f>
        <x:v>0</x:v>
      </x:c>
      <x:c r="F15" s="48" t="n">
        <x:f>IFERROR(E15/D15,0)</x:f>
        <x:v>0</x:v>
      </x:c>
      <x:c r="G15" s="20" t="str">
        <x:f>IF('Прогресс'!J2="","",'Прогресс'!J2)</x:f>
      </x:c>
    </x:row>
    <x:row r="16">
      <x:c r="A16" s="19" t="n">
        <x:v>2</x:v>
      </x:c>
      <x:c r="B16" s="13" t="str">
        <x:v>14.09–20.09</x:v>
      </x:c>
      <x:c r="C16" s="13" t="str">
        <x:v>Прямые руки и таз над опорной ногой</x:v>
      </x:c>
      <x:c r="D16" s="13" t="n">
        <x:f>COUNTIFS('Задачи'!$B$2:$B$1853,A16,'Задачи'!$M$2:$M$1853,"Обязательно")</x:f>
        <x:v>54</x:v>
      </x:c>
      <x:c r="E16" s="13" t="n">
        <x:f>COUNTIFS('Задачи'!$B$2:$B$1853,A16,'Задачи'!$M$2:$M$1853,"Обязательно",'Задачи'!$L$2:$L$1853,"☑ Готово")</x:f>
        <x:v>0</x:v>
      </x:c>
      <x:c r="F16" s="48" t="n">
        <x:f>IFERROR(E16/D16,0)</x:f>
        <x:v>0</x:v>
      </x:c>
      <x:c r="G16" s="20" t="str">
        <x:f>IF('Прогресс'!J3="","",'Прогресс'!J3)</x:f>
      </x:c>
    </x:row>
    <x:row r="17">
      <x:c r="A17" s="19" t="n">
        <x:v>3</x:v>
      </x:c>
      <x:c r="B17" s="13" t="str">
        <x:v>21.09–27.09</x:v>
      </x:c>
      <x:c r="C17" s="13" t="str">
        <x:v>Чтение трассы и одна гипотеза за попытку</x:v>
      </x:c>
      <x:c r="D17" s="13" t="n">
        <x:f>COUNTIFS('Задачи'!$B$2:$B$1853,A17,'Задачи'!$M$2:$M$1853,"Обязательно")</x:f>
        <x:v>54</x:v>
      </x:c>
      <x:c r="E17" s="13" t="n">
        <x:f>COUNTIFS('Задачи'!$B$2:$B$1853,A17,'Задачи'!$M$2:$M$1853,"Обязательно",'Задачи'!$L$2:$L$1853,"☑ Готово")</x:f>
        <x:v>0</x:v>
      </x:c>
      <x:c r="F17" s="48" t="n">
        <x:f>IFERROR(E17/D17,0)</x:f>
        <x:v>0</x:v>
      </x:c>
      <x:c r="G17" s="20" t="str">
        <x:f>IF('Прогресс'!J4="","",'Прогресс'!J4)</x:f>
      </x:c>
    </x:row>
    <x:row r="18">
      <x:c r="A18" s="19" t="n">
        <x:v>4</x:v>
      </x:c>
      <x:c r="B18" s="13" t="str">
        <x:v>28.09–04.10</x:v>
      </x:c>
      <x:c r="C18" s="13" t="str">
        <x:v>Разгрузка и первая сверка</x:v>
      </x:c>
      <x:c r="D18" s="13" t="n">
        <x:f>COUNTIFS('Задачи'!$B$2:$B$1853,A18,'Задачи'!$M$2:$M$1853,"Обязательно")</x:f>
        <x:v>54</x:v>
      </x:c>
      <x:c r="E18" s="13" t="n">
        <x:f>COUNTIFS('Задачи'!$B$2:$B$1853,A18,'Задачи'!$M$2:$M$1853,"Обязательно",'Задачи'!$L$2:$L$1853,"☑ Готово")</x:f>
        <x:v>0</x:v>
      </x:c>
      <x:c r="F18" s="48" t="n">
        <x:f>IFERROR(E18/D18,0)</x:f>
        <x:v>0</x:v>
      </x:c>
      <x:c r="G18" s="20" t="str">
        <x:f>IF('Прогресс'!J5="","",'Прогресс'!J5)</x:f>
      </x:c>
    </x:row>
    <x:row r="19">
      <x:c r="A19" s="19" t="n">
        <x:v>5</x:v>
      </x:c>
      <x:c r="B19" s="13" t="str">
        <x:v>05.10–11.10</x:v>
      </x:c>
      <x:c r="C19" s="13" t="str">
        <x:v>Разворот бедра и backstep</x:v>
      </x:c>
      <x:c r="D19" s="13" t="n">
        <x:f>COUNTIFS('Задачи'!$B$2:$B$1853,A19,'Задачи'!$M$2:$M$1853,"Обязательно")</x:f>
        <x:v>55</x:v>
      </x:c>
      <x:c r="E19" s="13" t="n">
        <x:f>COUNTIFS('Задачи'!$B$2:$B$1853,A19,'Задачи'!$M$2:$M$1853,"Обязательно",'Задачи'!$L$2:$L$1853,"☑ Готово")</x:f>
        <x:v>0</x:v>
      </x:c>
      <x:c r="F19" s="48" t="n">
        <x:f>IFERROR(E19/D19,0)</x:f>
        <x:v>0</x:v>
      </x:c>
      <x:c r="G19" s="20" t="str">
        <x:f>IF('Прогресс'!J6="","",'Прогресс'!J6)</x:f>
      </x:c>
    </x:row>
    <x:row r="20">
      <x:c r="A20" s="19" t="n">
        <x:v>6</x:v>
      </x:c>
      <x:c r="B20" s="13" t="str">
        <x:v>12.10–18.10</x:v>
      </x:c>
      <x:c r="C20" s="13" t="str">
        <x:v>Flagging и баланс без лишней руки</x:v>
      </x:c>
      <x:c r="D20" s="13" t="n">
        <x:f>COUNTIFS('Задачи'!$B$2:$B$1853,A20,'Задачи'!$M$2:$M$1853,"Обязательно")</x:f>
        <x:v>55</x:v>
      </x:c>
      <x:c r="E20" s="13" t="n">
        <x:f>COUNTIFS('Задачи'!$B$2:$B$1853,A20,'Задачи'!$M$2:$M$1853,"Обязательно",'Задачи'!$L$2:$L$1853,"☑ Готово")</x:f>
        <x:v>0</x:v>
      </x:c>
      <x:c r="F20" s="48" t="n">
        <x:f>IFERROR(E20/D20,0)</x:f>
        <x:v>0</x:v>
      </x:c>
      <x:c r="G20" s="20" t="str">
        <x:f>IF('Прогресс'!J7="","",'Прогресс'!J7)</x:f>
      </x:c>
    </x:row>
    <x:row r="21">
      <x:c r="A21" s="19" t="n">
        <x:v>7</x:v>
      </x:c>
      <x:c r="B21" s="13" t="str">
        <x:v>19.10–25.10</x:v>
      </x:c>
      <x:c r="C21" s="13" t="str">
        <x:v>Высокая нога и rock-over</x:v>
      </x:c>
      <x:c r="D21" s="13" t="n">
        <x:f>COUNTIFS('Задачи'!$B$2:$B$1853,A21,'Задачи'!$M$2:$M$1853,"Обязательно")</x:f>
        <x:v>55</x:v>
      </x:c>
      <x:c r="E21" s="13" t="n">
        <x:f>COUNTIFS('Задачи'!$B$2:$B$1853,A21,'Задачи'!$M$2:$M$1853,"Обязательно",'Задачи'!$L$2:$L$1853,"☑ Готово")</x:f>
        <x:v>0</x:v>
      </x:c>
      <x:c r="F21" s="48" t="n">
        <x:f>IFERROR(E21/D21,0)</x:f>
        <x:v>0</x:v>
      </x:c>
      <x:c r="G21" s="20" t="str">
        <x:f>IF('Прогресс'!J8="","",'Прогресс'!J8)</x:f>
      </x:c>
      <x:c r="I21" s="16" t="str">
        <x:v>Быстрые правила</x:v>
      </x:c>
      <x:c r="J21" s="18" t="str">
        <x:v>Действие</x:v>
      </x:c>
      <x:c r="K21" s="90" t="str">
        <x:v>Папка Markdown содержит отдельный чек-лист на каждый календарный день. Excel дублирует все 1852 тайм-блока. Статус «— Пропущено по плану» считается корректной авторегуляцией, но не увеличивает процент «Готово».</x:v>
      </x:c>
      <x:c r="L21" s="91"/>
      <x:c r="M21" s="91"/>
      <x:c r="N21" s="91"/>
      <x:c r="O21" s="91"/>
      <x:c r="P21" s="92"/>
    </x:row>
    <x:row r="22">
      <x:c r="A22" s="19" t="n">
        <x:v>8</x:v>
      </x:c>
      <x:c r="B22" s="13" t="str">
        <x:v>26.10–01.11</x:v>
      </x:c>
      <x:c r="C22" s="13" t="str">
        <x:v>Смена ног и контроль на плите</x:v>
      </x:c>
      <x:c r="D22" s="13" t="n">
        <x:f>COUNTIFS('Задачи'!$B$2:$B$1853,A22,'Задачи'!$M$2:$M$1853,"Обязательно")</x:f>
        <x:v>53</x:v>
      </x:c>
      <x:c r="E22" s="13" t="n">
        <x:f>COUNTIFS('Задачи'!$B$2:$B$1853,A22,'Задачи'!$M$2:$M$1853,"Обязательно",'Задачи'!$L$2:$L$1853,"☑ Готово")</x:f>
        <x:v>0</x:v>
      </x:c>
      <x:c r="F22" s="48" t="n">
        <x:f>IFERROR(E22/D22,0)</x:f>
        <x:v>0</x:v>
      </x:c>
      <x:c r="G22" s="20" t="str">
        <x:f>IF('Прогресс'!J9="","",'Прогресс'!J9)</x:f>
      </x:c>
      <x:c r="I22" s="19" t="str">
        <x:v>Только 2 посещения</x:v>
      </x:c>
      <x:c r="J22" s="20" t="str">
        <x:v>Сделать A и B; воскресенье пропустить без компенсации.</x:v>
      </x:c>
      <x:c r="K22" s="93"/>
      <x:c r="L22" s="94"/>
      <x:c r="M22" s="94"/>
      <x:c r="N22" s="94"/>
      <x:c r="O22" s="94"/>
      <x:c r="P22" s="95"/>
    </x:row>
    <x:row r="23">
      <x:c r="A23" s="19" t="n">
        <x:v>9</x:v>
      </x:c>
      <x:c r="B23" s="13" t="str">
        <x:v>02.11–08.11</x:v>
      </x:c>
      <x:c r="C23" s="13" t="str">
        <x:v>Heel hook без рывка</x:v>
      </x:c>
      <x:c r="D23" s="13" t="n">
        <x:f>COUNTIFS('Задачи'!$B$2:$B$1853,A23,'Задачи'!$M$2:$M$1853,"Обязательно")</x:f>
        <x:v>55</x:v>
      </x:c>
      <x:c r="E23" s="13" t="n">
        <x:f>COUNTIFS('Задачи'!$B$2:$B$1853,A23,'Задачи'!$M$2:$M$1853,"Обязательно",'Задачи'!$L$2:$L$1853,"☑ Готово")</x:f>
        <x:v>0</x:v>
      </x:c>
      <x:c r="F23" s="48" t="n">
        <x:f>IFERROR(E23/D23,0)</x:f>
        <x:v>0</x:v>
      </x:c>
      <x:c r="G23" s="20" t="str">
        <x:f>IF('Прогресс'!J10="","",'Прогресс'!J10)</x:f>
      </x:c>
      <x:c r="I23" s="19" t="str">
        <x:v>75 минут A</x:v>
      </x:c>
      <x:c r="J23" s="20" t="str">
        <x:v>Убрать capacity; сохранить разминку, технику и качественный объём.</x:v>
      </x:c>
      <x:c r="K23" s="93"/>
      <x:c r="L23" s="94"/>
      <x:c r="M23" s="94"/>
      <x:c r="N23" s="94"/>
      <x:c r="O23" s="94"/>
      <x:c r="P23" s="95"/>
    </x:row>
    <x:row r="24">
      <x:c r="A24" s="19" t="n">
        <x:v>10</x:v>
      </x:c>
      <x:c r="B24" s="13" t="str">
        <x:v>09.11–15.11</x:v>
      </x:c>
      <x:c r="C24" s="13" t="str">
        <x:v>Toe hook и удержание тела у стены</x:v>
      </x:c>
      <x:c r="D24" s="13" t="n">
        <x:f>COUNTIFS('Задачи'!$B$2:$B$1853,A24,'Задачи'!$M$2:$M$1853,"Обязательно")</x:f>
        <x:v>55</x:v>
      </x:c>
      <x:c r="E24" s="13" t="n">
        <x:f>COUNTIFS('Задачи'!$B$2:$B$1853,A24,'Задачи'!$M$2:$M$1853,"Обязательно",'Задачи'!$L$2:$L$1853,"☑ Готово")</x:f>
        <x:v>0</x:v>
      </x:c>
      <x:c r="F24" s="48" t="n">
        <x:f>IFERROR(E24/D24,0)</x:f>
        <x:v>0</x:v>
      </x:c>
      <x:c r="G24" s="20" t="str">
        <x:f>IF('Прогресс'!J11="","",'Прогресс'!J11)</x:f>
      </x:c>
      <x:c r="I24" s="19" t="str">
        <x:v>75 минут B</x:v>
      </x:c>
      <x:c r="J24" s="20" t="str">
        <x:v>Убрать вторичную трассу; сохранить разминку, фингерборд и основной проект.</x:v>
      </x:c>
      <x:c r="K24" s="93"/>
      <x:c r="L24" s="94"/>
      <x:c r="M24" s="94"/>
      <x:c r="N24" s="94"/>
      <x:c r="O24" s="94"/>
      <x:c r="P24" s="95"/>
    </x:row>
    <x:row r="25">
      <x:c r="A25" s="19" t="n">
        <x:v>11</x:v>
      </x:c>
      <x:c r="B25" s="13" t="str">
        <x:v>16.11–22.11</x:v>
      </x:c>
      <x:c r="C25" s="13" t="str">
        <x:v>Неглубокий drop knee</x:v>
      </x:c>
      <x:c r="D25" s="13" t="n">
        <x:f>COUNTIFS('Задачи'!$B$2:$B$1853,A25,'Задачи'!$M$2:$M$1853,"Обязательно")</x:f>
        <x:v>55</x:v>
      </x:c>
      <x:c r="E25" s="13" t="n">
        <x:f>COUNTIFS('Задачи'!$B$2:$B$1853,A25,'Задачи'!$M$2:$M$1853,"Обязательно",'Задачи'!$L$2:$L$1853,"☑ Готово")</x:f>
        <x:v>0</x:v>
      </x:c>
      <x:c r="F25" s="48" t="n">
        <x:f>IFERROR(E25/D25,0)</x:f>
        <x:v>0</x:v>
      </x:c>
      <x:c r="G25" s="20" t="str">
        <x:f>IF('Прогресс'!J12="","",'Прогресс'!J12)</x:f>
      </x:c>
      <x:c r="I25" s="19" t="str">
        <x:v>Две попытки хуже подряд</x:v>
      </x:c>
      <x:c r="J25" s="20" t="str">
        <x:v>Закончить тяжёлый блок.</x:v>
      </x:c>
      <x:c r="K25" s="93"/>
      <x:c r="L25" s="94"/>
      <x:c r="M25" s="94"/>
      <x:c r="N25" s="94"/>
      <x:c r="O25" s="94"/>
      <x:c r="P25" s="95"/>
    </x:row>
    <x:row r="26">
      <x:c r="A26" s="19" t="n">
        <x:v>12</x:v>
      </x:c>
      <x:c r="B26" s="13" t="str">
        <x:v>23.11–29.11</x:v>
      </x:c>
      <x:c r="C26" s="13" t="str">
        <x:v>Натяжение корпуса и трёхмесячная проверка</x:v>
      </x:c>
      <x:c r="D26" s="13" t="n">
        <x:f>COUNTIFS('Задачи'!$B$2:$B$1853,A26,'Задачи'!$M$2:$M$1853,"Обязательно")</x:f>
        <x:v>52</x:v>
      </x:c>
      <x:c r="E26" s="13" t="n">
        <x:f>COUNTIFS('Задачи'!$B$2:$B$1853,A26,'Задачи'!$M$2:$M$1853,"Обязательно",'Задачи'!$L$2:$L$1853,"☑ Готово")</x:f>
        <x:v>0</x:v>
      </x:c>
      <x:c r="F26" s="48" t="n">
        <x:f>IFERROR(E26/D26,0)</x:f>
        <x:v>0</x:v>
      </x:c>
      <x:c r="G26" s="20" t="str">
        <x:f>IF('Прогресс'!J13="","",'Прогресс'!J13)</x:f>
      </x:c>
      <x:c r="I26" s="19" t="str">
        <x:v>Пальцы необычно слабые на разминке</x:v>
      </x:c>
      <x:c r="J26" s="20" t="str">
        <x:v>Фингерборд убрать, проект сократить на 50%.</x:v>
      </x:c>
      <x:c r="K26" s="93"/>
      <x:c r="L26" s="94"/>
      <x:c r="M26" s="94"/>
      <x:c r="N26" s="94"/>
      <x:c r="O26" s="94"/>
      <x:c r="P26" s="95"/>
    </x:row>
    <x:row r="27">
      <x:c r="A27" s="19" t="n">
        <x:v>13</x:v>
      </x:c>
      <x:c r="B27" s="13" t="str">
        <x:v>30.11–06.12</x:v>
      </x:c>
      <x:c r="C27" s="13" t="str">
        <x:v>Открытый хват и half crimp</x:v>
      </x:c>
      <x:c r="D27" s="13" t="n">
        <x:f>COUNTIFS('Задачи'!$B$2:$B$1853,A27,'Задачи'!$M$2:$M$1853,"Обязательно")</x:f>
        <x:v>55</x:v>
      </x:c>
      <x:c r="E27" s="13" t="n">
        <x:f>COUNTIFS('Задачи'!$B$2:$B$1853,A27,'Задачи'!$M$2:$M$1853,"Обязательно",'Задачи'!$L$2:$L$1853,"☑ Готово")</x:f>
        <x:v>0</x:v>
      </x:c>
      <x:c r="F27" s="48" t="n">
        <x:f>IFERROR(E27/D27,0)</x:f>
        <x:v>0</x:v>
      </x:c>
      <x:c r="G27" s="20" t="str">
        <x:f>IF('Прогресс'!J14="","",'Прогресс'!J14)</x:f>
      </x:c>
      <x:c r="I27" s="19" t="str">
        <x:v>Боль в press/mantle</x:v>
      </x:c>
      <x:c r="J27" s="20" t="str">
        <x:v>Сменить beta или трассу; не «дожимать».</x:v>
      </x:c>
      <x:c r="K27" s="93"/>
      <x:c r="L27" s="94"/>
      <x:c r="M27" s="94"/>
      <x:c r="N27" s="94"/>
      <x:c r="O27" s="94"/>
      <x:c r="P27" s="95"/>
    </x:row>
    <x:row r="28">
      <x:c r="A28" s="19" t="n">
        <x:v>14</x:v>
      </x:c>
      <x:c r="B28" s="13" t="str">
        <x:v>07.12–13.12</x:v>
      </x:c>
      <x:c r="C28" s="13" t="str">
        <x:v>Sloper: положение тела важнее сжатия</x:v>
      </x:c>
      <x:c r="D28" s="13" t="n">
        <x:f>COUNTIFS('Задачи'!$B$2:$B$1853,A28,'Задачи'!$M$2:$M$1853,"Обязательно")</x:f>
        <x:v>55</x:v>
      </x:c>
      <x:c r="E28" s="13" t="n">
        <x:f>COUNTIFS('Задачи'!$B$2:$B$1853,A28,'Задачи'!$M$2:$M$1853,"Обязательно",'Задачи'!$L$2:$L$1853,"☑ Готово")</x:f>
        <x:v>0</x:v>
      </x:c>
      <x:c r="F28" s="48" t="n">
        <x:f>IFERROR(E28/D28,0)</x:f>
        <x:v>0</x:v>
      </x:c>
      <x:c r="G28" s="20" t="str">
        <x:f>IF('Прогресс'!J15="","",'Прогресс'!J15)</x:f>
      </x:c>
      <x:c r="I28" s="21" t="str">
        <x:v>Боль/скручивание правого колена</x:v>
      </x:c>
      <x:c r="J28" s="23" t="str">
        <x:v>Уменьшить high step/hook/drop knee или заменить движение.</x:v>
      </x:c>
      <x:c r="K28" s="96"/>
      <x:c r="L28" s="97"/>
      <x:c r="M28" s="97"/>
      <x:c r="N28" s="97"/>
      <x:c r="O28" s="97"/>
      <x:c r="P28" s="98"/>
    </x:row>
    <x:row r="29">
      <x:c r="A29" s="19" t="n">
        <x:v>15</x:v>
      </x:c>
      <x:c r="B29" s="13" t="str">
        <x:v>14.12–20.12</x:v>
      </x:c>
      <x:c r="C29" s="13" t="str">
        <x:v>Pinch, объёмы и умеренная компрессия</x:v>
      </x:c>
      <x:c r="D29" s="13" t="n">
        <x:f>COUNTIFS('Задачи'!$B$2:$B$1853,A29,'Задачи'!$M$2:$M$1853,"Обязательно")</x:f>
        <x:v>55</x:v>
      </x:c>
      <x:c r="E29" s="13" t="n">
        <x:f>COUNTIFS('Задачи'!$B$2:$B$1853,A29,'Задачи'!$M$2:$M$1853,"Обязательно",'Задачи'!$L$2:$L$1853,"☑ Готово")</x:f>
        <x:v>0</x:v>
      </x:c>
      <x:c r="F29" s="48" t="n">
        <x:f>IFERROR(E29/D29,0)</x:f>
        <x:v>0</x:v>
      </x:c>
      <x:c r="G29" s="20" t="str">
        <x:f>IF('Прогресс'!J16="","",'Прогресс'!J16)</x:f>
      </x:c>
    </x:row>
    <x:row r="30">
      <x:c r="A30" s="19" t="n">
        <x:v>16</x:v>
      </x:c>
      <x:c r="B30" s="13" t="str">
        <x:v>21.12–27.12</x:v>
      </x:c>
      <x:c r="C30" s="13" t="str">
        <x:v>Разгрузка, техника хвата и консультация</x:v>
      </x:c>
      <x:c r="D30" s="13" t="n">
        <x:f>COUNTIFS('Задачи'!$B$2:$B$1853,A30,'Задачи'!$M$2:$M$1853,"Обязательно")</x:f>
        <x:v>52</x:v>
      </x:c>
      <x:c r="E30" s="13" t="n">
        <x:f>COUNTIFS('Задачи'!$B$2:$B$1853,A30,'Задачи'!$M$2:$M$1853,"Обязательно",'Задачи'!$L$2:$L$1853,"☑ Готово")</x:f>
        <x:v>0</x:v>
      </x:c>
      <x:c r="F30" s="48" t="n">
        <x:f>IFERROR(E30/D30,0)</x:f>
        <x:v>0</x:v>
      </x:c>
      <x:c r="G30" s="20" t="str">
        <x:f>IF('Прогресс'!J17="","",'Прогресс'!J17)</x:f>
      </x:c>
    </x:row>
    <x:row r="31">
      <x:c r="A31" s="19" t="n">
        <x:v>17</x:v>
      </x:c>
      <x:c r="B31" s="13" t="str">
        <x:v>28.12–03.01</x:v>
      </x:c>
      <x:c r="C31" s="13" t="str">
        <x:v>Контролируемый deadpoint</x:v>
      </x:c>
      <x:c r="D31" s="13" t="n">
        <x:f>COUNTIFS('Задачи'!$B$2:$B$1853,A31,'Задачи'!$M$2:$M$1853,"Обязательно")</x:f>
        <x:v>55</x:v>
      </x:c>
      <x:c r="E31" s="13" t="n">
        <x:f>COUNTIFS('Задачи'!$B$2:$B$1853,A31,'Задачи'!$M$2:$M$1853,"Обязательно",'Задачи'!$L$2:$L$1853,"☑ Готово")</x:f>
        <x:v>0</x:v>
      </x:c>
      <x:c r="F31" s="48" t="n">
        <x:f>IFERROR(E31/D31,0)</x:f>
        <x:v>0</x:v>
      </x:c>
      <x:c r="G31" s="20" t="str">
        <x:f>IF('Прогресс'!J18="","",'Прогресс'!J18)</x:f>
      </x:c>
    </x:row>
    <x:row r="32">
      <x:c r="A32" s="19" t="n">
        <x:v>18</x:v>
      </x:c>
      <x:c r="B32" s="13" t="str">
        <x:v>04.01–10.01</x:v>
      </x:c>
      <x:c r="C32" s="13" t="str">
        <x:v>Темп, дыхание и отдых</x:v>
      </x:c>
      <x:c r="D32" s="13" t="n">
        <x:f>COUNTIFS('Задачи'!$B$2:$B$1853,A32,'Задачи'!$M$2:$M$1853,"Обязательно")</x:f>
        <x:v>55</x:v>
      </x:c>
      <x:c r="E32" s="13" t="n">
        <x:f>COUNTIFS('Задачи'!$B$2:$B$1853,A32,'Задачи'!$M$2:$M$1853,"Обязательно",'Задачи'!$L$2:$L$1853,"☑ Готово")</x:f>
        <x:v>0</x:v>
      </x:c>
      <x:c r="F32" s="48" t="n">
        <x:f>IFERROR(E32/D32,0)</x:f>
        <x:v>0</x:v>
      </x:c>
      <x:c r="G32" s="20" t="str">
        <x:f>IF('Прогресс'!J19="","",'Прогресс'!J19)</x:f>
      </x:c>
    </x:row>
    <x:row r="33">
      <x:c r="A33" s="19" t="n">
        <x:v>19</x:v>
      </x:c>
      <x:c r="B33" s="13" t="str">
        <x:v>11.01–17.01</x:v>
      </x:c>
      <x:c r="C33" s="13" t="str">
        <x:v>Разделение проекта на части</x:v>
      </x:c>
      <x:c r="D33" s="13" t="n">
        <x:f>COUNTIFS('Задачи'!$B$2:$B$1853,A33,'Задачи'!$M$2:$M$1853,"Обязательно")</x:f>
        <x:v>55</x:v>
      </x:c>
      <x:c r="E33" s="13" t="n">
        <x:f>COUNTIFS('Задачи'!$B$2:$B$1853,A33,'Задачи'!$M$2:$M$1853,"Обязательно",'Задачи'!$L$2:$L$1853,"☑ Готово")</x:f>
        <x:v>0</x:v>
      </x:c>
      <x:c r="F33" s="48" t="n">
        <x:f>IFERROR(E33/D33,0)</x:f>
        <x:v>0</x:v>
      </x:c>
      <x:c r="G33" s="20" t="str">
        <x:f>IF('Прогресс'!J20="","",'Прогресс'!J20)</x:f>
      </x:c>
    </x:row>
    <x:row r="34">
      <x:c r="A34" s="19" t="n">
        <x:v>20</x:v>
      </x:c>
      <x:c r="B34" s="13" t="str">
        <x:v>18.01–24.01</x:v>
      </x:c>
      <x:c r="C34" s="13" t="str">
        <x:v>Связывание и разгрузочная проверка</x:v>
      </x:c>
      <x:c r="D34" s="13" t="n">
        <x:f>COUNTIFS('Задачи'!$B$2:$B$1853,A34,'Задачи'!$M$2:$M$1853,"Обязательно")</x:f>
        <x:v>52</x:v>
      </x:c>
      <x:c r="E34" s="13" t="n">
        <x:f>COUNTIFS('Задачи'!$B$2:$B$1853,A34,'Задачи'!$M$2:$M$1853,"Обязательно",'Задачи'!$L$2:$L$1853,"☑ Готово")</x:f>
        <x:v>0</x:v>
      </x:c>
      <x:c r="F34" s="48" t="n">
        <x:f>IFERROR(E34/D34,0)</x:f>
        <x:v>0</x:v>
      </x:c>
      <x:c r="G34" s="20" t="str">
        <x:f>IF('Прогресс'!J21="","",'Прогресс'!J21)</x:f>
      </x:c>
    </x:row>
    <x:row r="35">
      <x:c r="A35" s="19" t="n">
        <x:v>21</x:v>
      </x:c>
      <x:c r="B35" s="13" t="str">
        <x:v>25.01–31.01</x:v>
      </x:c>
      <x:c r="C35" s="13" t="str">
        <x:v>Блок слабого стиля</x:v>
      </x:c>
      <x:c r="D35" s="13" t="n">
        <x:f>COUNTIFS('Задачи'!$B$2:$B$1853,A35,'Задачи'!$M$2:$M$1853,"Обязательно")</x:f>
        <x:v>55</x:v>
      </x:c>
      <x:c r="E35" s="13" t="n">
        <x:f>COUNTIFS('Задачи'!$B$2:$B$1853,A35,'Задачи'!$M$2:$M$1853,"Обязательно",'Задачи'!$L$2:$L$1853,"☑ Готово")</x:f>
        <x:v>0</x:v>
      </x:c>
      <x:c r="F35" s="48" t="n">
        <x:f>IFERROR(E35/D35,0)</x:f>
        <x:v>0</x:v>
      </x:c>
      <x:c r="G35" s="20" t="str">
        <x:f>IF('Прогресс'!J22="","",'Прогресс'!J22)</x:f>
      </x:c>
    </x:row>
    <x:row r="36">
      <x:c r="A36" s="19" t="n">
        <x:v>22</x:v>
      </x:c>
      <x:c r="B36" s="13" t="str">
        <x:v>01.02–07.02</x:v>
      </x:c>
      <x:c r="C36" s="13" t="str">
        <x:v>Шестёрка: диагностическая неделя</x:v>
      </x:c>
      <x:c r="D36" s="13" t="n">
        <x:f>COUNTIFS('Задачи'!$B$2:$B$1853,A36,'Задачи'!$M$2:$M$1853,"Обязательно")</x:f>
        <x:v>55</x:v>
      </x:c>
      <x:c r="E36" s="13" t="n">
        <x:f>COUNTIFS('Задачи'!$B$2:$B$1853,A36,'Задачи'!$M$2:$M$1853,"Обязательно",'Задачи'!$L$2:$L$1853,"☑ Готово")</x:f>
        <x:v>0</x:v>
      </x:c>
      <x:c r="F36" s="48" t="n">
        <x:f>IFERROR(E36/D36,0)</x:f>
        <x:v>0</x:v>
      </x:c>
      <x:c r="G36" s="20" t="str">
        <x:f>IF('Прогресс'!J23="","",'Прогресс'!J23)</x:f>
      </x:c>
    </x:row>
    <x:row r="37">
      <x:c r="A37" s="19" t="n">
        <x:v>23</x:v>
      </x:c>
      <x:c r="B37" s="13" t="str">
        <x:v>08.02–14.02</x:v>
      </x:c>
      <x:c r="C37" s="13" t="str">
        <x:v>Шестёрка: связывание и лучшая попытка</x:v>
      </x:c>
      <x:c r="D37" s="13" t="n">
        <x:f>COUNTIFS('Задачи'!$B$2:$B$1853,A37,'Задачи'!$M$2:$M$1853,"Обязательно")</x:f>
        <x:v>55</x:v>
      </x:c>
      <x:c r="E37" s="13" t="n">
        <x:f>COUNTIFS('Задачи'!$B$2:$B$1853,A37,'Задачи'!$M$2:$M$1853,"Обязательно",'Задачи'!$L$2:$L$1853,"☑ Готово")</x:f>
        <x:v>0</x:v>
      </x:c>
      <x:c r="F37" s="48" t="n">
        <x:f>IFERROR(E37/D37,0)</x:f>
        <x:v>0</x:v>
      </x:c>
      <x:c r="G37" s="20" t="str">
        <x:f>IF('Прогресс'!J24="","",'Прогресс'!J24)</x:f>
      </x:c>
    </x:row>
    <x:row r="38">
      <x:c r="A38" s="19" t="n">
        <x:v>24</x:v>
      </x:c>
      <x:c r="B38" s="13" t="str">
        <x:v>15.02–21.02</x:v>
      </x:c>
      <x:c r="C38" s="13" t="str">
        <x:v>Перенос навыков в Basement или другой зал</x:v>
      </x:c>
      <x:c r="D38" s="13" t="n">
        <x:f>COUNTIFS('Задачи'!$B$2:$B$1853,A38,'Задачи'!$M$2:$M$1853,"Обязательно")</x:f>
        <x:v>52</x:v>
      </x:c>
      <x:c r="E38" s="13" t="n">
        <x:f>COUNTIFS('Задачи'!$B$2:$B$1853,A38,'Задачи'!$M$2:$M$1853,"Обязательно",'Задачи'!$L$2:$L$1853,"☑ Готово")</x:f>
        <x:v>0</x:v>
      </x:c>
      <x:c r="F38" s="48" t="n">
        <x:f>IFERROR(E38/D38,0)</x:f>
        <x:v>0</x:v>
      </x:c>
      <x:c r="G38" s="20" t="str">
        <x:f>IF('Прогресс'!J25="","",'Прогресс'!J25)</x:f>
      </x:c>
    </x:row>
    <x:row r="39">
      <x:c r="A39" s="19" t="n">
        <x:v>25</x:v>
      </x:c>
      <x:c r="B39" s="13" t="str">
        <x:v>22.02–28.02</x:v>
      </x:c>
      <x:c r="C39" s="13" t="str">
        <x:v>Снижение объёма и качественные попытки</x:v>
      </x:c>
      <x:c r="D39" s="13" t="n">
        <x:f>COUNTIFS('Задачи'!$B$2:$B$1853,A39,'Задачи'!$M$2:$M$1853,"Обязательно")</x:f>
        <x:v>52</x:v>
      </x:c>
      <x:c r="E39" s="13" t="n">
        <x:f>COUNTIFS('Задачи'!$B$2:$B$1853,A39,'Задачи'!$M$2:$M$1853,"Обязательно",'Задачи'!$L$2:$L$1853,"☑ Готово")</x:f>
        <x:v>0</x:v>
      </x:c>
      <x:c r="F39" s="48" t="n">
        <x:f>IFERROR(E39/D39,0)</x:f>
        <x:v>0</x:v>
      </x:c>
      <x:c r="G39" s="20" t="str">
        <x:f>IF('Прогресс'!J26="","",'Прогресс'!J26)</x:f>
      </x:c>
    </x:row>
    <x:row r="40">
      <x:c r="A40" s="21" t="n">
        <x:v>26</x:v>
      </x:c>
      <x:c r="B40" s="22" t="str">
        <x:v>01.03–07.03</x:v>
      </x:c>
      <x:c r="C40" s="22" t="str">
        <x:v>Финальная проверка и следующий цикл</x:v>
      </x:c>
      <x:c r="D40" s="22" t="n">
        <x:f>COUNTIFS('Задачи'!$B$2:$B$1853,A40,'Задачи'!$M$2:$M$1853,"Обязательно")</x:f>
        <x:v>51</x:v>
      </x:c>
      <x:c r="E40" s="22" t="n">
        <x:f>COUNTIFS('Задачи'!$B$2:$B$1853,A40,'Задачи'!$M$2:$M$1853,"Обязательно",'Задачи'!$L$2:$L$1853,"☑ Готово")</x:f>
        <x:v>0</x:v>
      </x:c>
      <x:c r="F40" s="49" t="n">
        <x:f>IFERROR(E40/D40,0)</x:f>
        <x:v>0</x:v>
      </x:c>
      <x:c r="G40" s="23" t="str">
        <x:f>IF('Прогресс'!J27="","",'Прогресс'!J27)</x:f>
      </x:c>
    </x:row>
  </x:sheetData>
  <x:mergeCells>
    <x:mergeCell ref="A1:P1"/>
    <x:mergeCell ref="K21:P28"/>
  </x:mergeCells>
  <x:conditionalFormatting sqref="F15:F4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{5453DC82-6330-82B2-AFFB-57C5EA014ACE}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4087028ab944c7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53DC82-6330-82B2-AFFB-57C5EA014ACE}">
            <x14:dataBar gradient="1">
              <x14:cfvo type="min"/>
              <x14:cfvo type="max"/>
              <x14:fillColor rgb="FFA02B93"/>
            </x14:dataBar>
          </x14:cfRule>
          <xm:sqref>F15:F40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4" hidden="0" customWidth="1"/>
    <x:col min="5" max="5" width="36" hidden="0" customWidth="1"/>
    <x:col min="6" max="6" width="28" hidden="0" customWidth="1"/>
    <x:col min="7" max="7" width="42" hidden="0" customWidth="1"/>
    <x:col min="8" max="8" width="58" hidden="0" customWidth="1"/>
    <x:col min="9" max="9" width="58" hidden="0" customWidth="1"/>
    <x:col min="10" max="10" width="42" hidden="0" customWidth="1"/>
    <x:col min="11" max="11" width="32" hidden="0" customWidth="1"/>
    <x:col min="12" max="12" width="18" hidden="0" customWidth="1"/>
    <x:col min="13" max="13" width="58" hidden="0" customWidth="1"/>
    <x:col min="14" max="14" width="55" hidden="0" customWidth="1"/>
    <x:col min="15" max="15" width="16" hidden="0" customWidth="1"/>
    <x:col min="16" max="16" width="14" hidden="0" customWidth="1"/>
    <x:col min="17" max="17" width="14" hidden="0" customWidth="1"/>
  </x:cols>
  <x:sheetData>
    <x:row r="1" ht="34" customHeight="1">
      <x:c r="A1" s="16" t="str">
        <x:v>Неделя</x:v>
      </x:c>
      <x:c r="B1" s="17" t="str">
        <x:v>Начало</x:v>
      </x:c>
      <x:c r="C1" s="17" t="str">
        <x:v>Конец</x:v>
      </x:c>
      <x:c r="D1" s="17" t="str">
        <x:v>Этап</x:v>
      </x:c>
      <x:c r="E1" s="17" t="str">
        <x:v>Название</x:v>
      </x:c>
      <x:c r="F1" s="17" t="str">
        <x:v>Навык</x:v>
      </x:c>
      <x:c r="G1" s="17" t="str">
        <x:v>Главный cue</x:v>
      </x:c>
      <x:c r="H1" s="17" t="str">
        <x:v>Тренировка A / трассы</x:v>
      </x:c>
      <x:c r="I1" s="17" t="str">
        <x:v>Тренировка B / проект</x:v>
      </x:c>
      <x:c r="J1" s="17" t="str">
        <x:v>Фингерборд</x:v>
      </x:c>
      <x:c r="K1" s="17" t="str">
        <x:v>Выносливость</x:v>
      </x:c>
      <x:c r="L1" s="17" t="str">
        <x:v>Ресурсы</x:v>
      </x:c>
      <x:c r="M1" s="17" t="str">
        <x:v>Контроль</x:v>
      </x:c>
      <x:c r="N1" s="17" t="str">
        <x:v>Осторожность</x:v>
      </x:c>
      <x:c r="O1" s="17" t="str">
        <x:v>Обязательных задач</x:v>
      </x:c>
      <x:c r="P1" s="17" t="str">
        <x:v>Выполнено</x:v>
      </x:c>
      <x:c r="Q1" s="18" t="str">
        <x:v>Выполнение</x:v>
      </x:c>
    </x:row>
    <x:row r="2" ht="68" customHeight="1">
      <x:c r="A2" s="19" t="n">
        <x:v>0</x:v>
      </x:c>
      <x:c r="B2" s="138" t="str">
        <x:v>2026-09-03</x:v>
      </x:c>
      <x:c r="C2" s="138" t="str">
        <x:v>2026-09-06</x:v>
      </x:c>
      <x:c r="D2" s="13" t="str">
        <x:v>Подготовка</x:v>
      </x:c>
      <x:c r="E2" s="13" t="str">
        <x:v>Настройка системы</x:v>
      </x:c>
      <x:c r="F2" s="13" t="str">
        <x:v>организация</x:v>
      </x:c>
      <x:c r="G2" s="13" t="str">
        <x:v>Начать свежим, ничего не тестировать</x:v>
      </x:c>
      <x:c r="H2" s="13" t="str">
        <x:v>Нет</x:v>
      </x:c>
      <x:c r="I2" s="13" t="str">
        <x:v>Опциональная лёгкая fun-сессия</x:v>
      </x:c>
      <x:c r="J2" s="13" t="str">
        <x:v>Нет</x:v>
      </x:c>
      <x:c r="K2" s="13" t="str">
        <x:v>Нет</x:v>
      </x:c>
      <x:c r="L2" s="13" t="str">
        <x:v>R01, R02</x:v>
      </x:c>
      <x:c r="M2" s="13" t="str">
        <x:v>Настроить файлы, BETA7 и инвентарь</x:v>
      </x:c>
      <x:c r="N2" s="13" t="str">
        <x:v>Никаких дополнительных висов</x:v>
      </x:c>
      <x:c r="O2" s="13" t="n">
        <x:f>COUNTIFS('Задачи'!$B$2:$B$1853,A2,'Задачи'!$M$2:$M$1853,"Обязательно")</x:f>
        <x:v>13</x:v>
      </x:c>
      <x:c r="P2" s="13" t="n">
        <x:f>COUNTIFS('Задачи'!$B$2:$B$1853,A2,'Задачи'!$M$2:$M$1853,"Обязательно",'Задачи'!$L$2:$L$1853,"☑ Готово")</x:f>
        <x:v>0</x:v>
      </x:c>
      <x:c r="Q2" s="40" t="n">
        <x:f>IFERROR(P2/O2,0)</x:f>
        <x:v>0</x:v>
      </x:c>
    </x:row>
    <x:row r="3" ht="68" customHeight="1">
      <x:c r="A3" s="19" t="n">
        <x:v>1</x:v>
      </x:c>
      <x:c r="B3" s="138" t="str">
        <x:v>2026-09-07</x:v>
      </x:c>
      <x:c r="C3" s="138" t="str">
        <x:v>2026-09-13</x:v>
      </x:c>
      <x:c r="D3" s="13" t="str">
        <x:v>Этап 1 — База, разминка и исходная точка</x:v>
      </x:c>
      <x:c r="E3" s="13" t="str">
        <x:v>Исходная точка и тихие ноги</x:v>
      </x:c>
      <x:c r="F3" s="13" t="str">
        <x:v>Тихие ноги</x:v>
      </x:c>
      <x:c r="G3" s="13" t="str">
        <x:v>Смотри на стопу до момента, когда вес уже передан на неё.</x:v>
      </x:c>
      <x:c r="H3" s="13" t="str">
        <x:v>3 трассы уровня 2–3 на вертикали или лёгкой плите, 6–10 движений, крупные/средние зацепы; каждую пройти дважды.</x:v>
      </x:c>
      <x:c r="I3" s="13" t="str">
        <x:v>2 пятёрки: одна с положительными зацепами и понятными ногами, одна другого стиля. Без обязательного жёсткого толчка рукой.</x:v>
      </x:c>
      <x:c r="J3" s="13" t="str">
        <x:v>Нет</x:v>
      </x:c>
      <x:c r="K3" s="13" t="str">
        <x:v>2 раунда × 2 очень лёгкие трассы</x:v>
      </x:c>
      <x:c r="L3" s="13" t="str">
        <x:v>R01, R02</x:v>
      </x:c>
      <x:c r="M3" s="13" t="str">
        <x:v>Базовый тест: 4 новые четвёрки (≤2 попыток каждая) + 3 пятёрки (≤3 попыток). Записать минуту первой явной просадки хвата.</x:v>
      </x:c>
      <x:c r="N3" s="13" t="str">
        <x:v>Плечо: пропусти финал с больным press/mantle. Колено: без глубоких приседаний и скручивания.</x:v>
      </x:c>
      <x:c r="O3" s="13" t="n">
        <x:f>COUNTIFS('Задачи'!$B$2:$B$1853,A3,'Задачи'!$M$2:$M$1853,"Обязательно")</x:f>
        <x:v>52</x:v>
      </x:c>
      <x:c r="P3" s="13" t="n">
        <x:f>COUNTIFS('Задачи'!$B$2:$B$1853,A3,'Задачи'!$M$2:$M$1853,"Обязательно",'Задачи'!$L$2:$L$1853,"☑ Готово")</x:f>
        <x:v>0</x:v>
      </x:c>
      <x:c r="Q3" s="40" t="n">
        <x:f>IFERROR(P3/O3,0)</x:f>
        <x:v>0</x:v>
      </x:c>
    </x:row>
    <x:row r="4" ht="68" customHeight="1">
      <x:c r="A4" s="19" t="n">
        <x:v>2</x:v>
      </x:c>
      <x:c r="B4" s="138" t="str">
        <x:v>2026-09-14</x:v>
      </x:c>
      <x:c r="C4" s="138" t="str">
        <x:v>2026-09-20</x:v>
      </x:c>
      <x:c r="D4" s="13" t="str">
        <x:v>Этап 1 — База, разминка и исходная точка</x:v>
      </x:c>
      <x:c r="E4" s="13" t="str">
        <x:v>Прямые руки и таз над опорной ногой</x:v>
      </x:c>
      <x:c r="F4" s="13" t="str">
        <x:v>Прямые руки и таз над опорной ногой</x:v>
      </x:c>
      <x:c r="G4" s="13" t="str">
        <x:v>Сначала поставь таз над ногой, затем вставай ногой; рука лишь связывает тебя со стеной.</x:v>
      </x:c>
      <x:c r="H4" s="13" t="str">
        <x:v>3 лёгкие трассы 2–3 с крупными ногами. На каждой делай 2-секундную паузу перед движением рукой.</x:v>
      </x:c>
      <x:c r="I4" s="13" t="str">
        <x:v>1 пятёрка, где обычно подтягиваешься; ищи вариант с более прямой опорной рукой. 1 вторичная пятёрка на другом угле.</x:v>
      </x:c>
      <x:c r="J4" s="13" t="str">
        <x:v>Нет</x:v>
      </x:c>
      <x:c r="K4" s="13" t="str">
        <x:v>2 раунда × 2 очень лёгкие трассы</x:v>
      </x:c>
      <x:c r="L4" s="13" t="str">
        <x:v>R25</x:v>
      </x:c>
      <x:c r="M4" s="13" t="str">
        <x:v>На одном видео посчитать, сколько раз локоть сильно сгибается до начала движения ногами.</x:v>
      </x:c>
      <x:c r="N4" s="13" t="str">
        <x:v>Не зависай на одной согнутой руке. Любая боль в плече при lock-off — сразу менять бету или трассу.</x:v>
      </x:c>
      <x:c r="O4" s="13" t="n">
        <x:f>COUNTIFS('Задачи'!$B$2:$B$1853,A4,'Задачи'!$M$2:$M$1853,"Обязательно")</x:f>
        <x:v>54</x:v>
      </x:c>
      <x:c r="P4" s="13" t="n">
        <x:f>COUNTIFS('Задачи'!$B$2:$B$1853,A4,'Задачи'!$M$2:$M$1853,"Обязательно",'Задачи'!$L$2:$L$1853,"☑ Готово")</x:f>
        <x:v>0</x:v>
      </x:c>
      <x:c r="Q4" s="40" t="n">
        <x:f>IFERROR(P4/O4,0)</x:f>
        <x:v>0</x:v>
      </x:c>
    </x:row>
    <x:row r="5" ht="68" customHeight="1">
      <x:c r="A5" s="19" t="n">
        <x:v>3</x:v>
      </x:c>
      <x:c r="B5" s="138" t="str">
        <x:v>2026-09-21</x:v>
      </x:c>
      <x:c r="C5" s="138" t="str">
        <x:v>2026-09-27</x:v>
      </x:c>
      <x:c r="D5" s="13" t="str">
        <x:v>Этап 1 — База, разминка и исходная точка</x:v>
      </x:c>
      <x:c r="E5" s="13" t="str">
        <x:v>Чтение трассы и одна гипотеза за попытку</x:v>
      </x:c>
      <x:c r="F5" s="13" t="str">
        <x:v>Чтение трассы и одна гипотеза</x:v>
      </x:c>
      <x:c r="G5" s="13" t="str">
        <x:v>Перед стартом назови руки, ноги, направление таза и предполагаемый crux.</x:v>
      </x:c>
      <x:c r="H5" s="13" t="str">
        <x:v>3 трассы 2–3, которые ты ещё не делал. До старта 60 секунд чтения; первая попытка без подсказки.</x:v>
      </x:c>
      <x:c r="I5" s="13" t="str">
        <x:v>1 пятёрка как проект: максимум 5 качественных попыток с 3–4 минутами отдыха; менять только одну вещь за попытку.</x:v>
      </x:c>
      <x:c r="J5" s="13" t="str">
        <x:v>Нет</x:v>
      </x:c>
      <x:c r="K5" s="13" t="str">
        <x:v>2 раунда × 3 очень лёгкие трассы</x:v>
      </x:c>
      <x:c r="L5" s="13" t="str">
        <x:v>R04</x:v>
      </x:c>
      <x:c r="M5" s="13" t="str">
        <x:v>Сравнить предсказанную бету с реальной: что было угадано, что пришлось изменить.</x:v>
      </x:c>
      <x:c r="N5" s="13" t="str">
        <x:v>Не повторять движение, если оно вызывает боль. Снимать весь корпус и обе ноги, а не только руки.</x:v>
      </x:c>
      <x:c r="O5" s="13" t="n">
        <x:f>COUNTIFS('Задачи'!$B$2:$B$1853,A5,'Задачи'!$M$2:$M$1853,"Обязательно")</x:f>
        <x:v>54</x:v>
      </x:c>
      <x:c r="P5" s="13" t="n">
        <x:f>COUNTIFS('Задачи'!$B$2:$B$1853,A5,'Задачи'!$M$2:$M$1853,"Обязательно",'Задачи'!$L$2:$L$1853,"☑ Готово")</x:f>
        <x:v>0</x:v>
      </x:c>
      <x:c r="Q5" s="40" t="n">
        <x:f>IFERROR(P5/O5,0)</x:f>
        <x:v>0</x:v>
      </x:c>
    </x:row>
    <x:row r="6" ht="68" customHeight="1">
      <x:c r="A6" s="19" t="n">
        <x:v>4</x:v>
      </x:c>
      <x:c r="B6" s="138" t="str">
        <x:v>2026-09-28</x:v>
      </x:c>
      <x:c r="C6" s="138" t="str">
        <x:v>2026-10-04</x:v>
      </x:c>
      <x:c r="D6" s="13" t="str">
        <x:v>Этап 1 — База, разминка и исходная точка</x:v>
      </x:c>
      <x:c r="E6" s="13" t="str">
        <x:v>Разгрузка и первая сверка</x:v>
      </x:c>
      <x:c r="F6" s="13" t="str">
        <x:v>Разгрузка и закрепление</x:v>
      </x:c>
      <x:c r="G6" s="13" t="str">
        <x:v>Заканчивай подход, пока техника ещё аккуратная, а не после полного отказа пальцев.</x:v>
      </x:c>
      <x:c r="H6" s="13" t="str">
        <x:v>2 знакомые четвёрки и 1 лёгкая пятёрка; цель — меньше лишних перестановок ног, а не рекорд.</x:v>
      </x:c>
      <x:c r="I6" s="13" t="str">
        <x:v>Только одна пятёрка, максимум 3 тяжёлые попытки. Остальное — лёгкая техника.</x:v>
      </x:c>
      <x:c r="J6" s="13" t="str">
        <x:v>Нет</x:v>
      </x:c>
      <x:c r="K6" s="13" t="str">
        <x:v>1 раунд × 2 очень лёгкие трассы</x:v>
      </x:c>
      <x:c r="L6" s="13" t="str">
        <x:v>R05, R14</x:v>
      </x:c>
      <x:c r="M6" s="13" t="str">
        <x:v>Повторить укороченный тест недели 1 и сравнить видео. Решение о старте фингерборда только при спокойных пальцах и плече.</x:v>
      </x:c>
      <x:c r="N6" s="13" t="str">
        <x:v>Объём снижён примерно на 35%. Никаких «компенсаций» и максимальных висов.</x:v>
      </x:c>
      <x:c r="O6" s="13" t="n">
        <x:f>COUNTIFS('Задачи'!$B$2:$B$1853,A6,'Задачи'!$M$2:$M$1853,"Обязательно")</x:f>
        <x:v>54</x:v>
      </x:c>
      <x:c r="P6" s="13" t="n">
        <x:f>COUNTIFS('Задачи'!$B$2:$B$1853,A6,'Задачи'!$M$2:$M$1853,"Обязательно",'Задачи'!$L$2:$L$1853,"☑ Готово")</x:f>
        <x:v>0</x:v>
      </x:c>
      <x:c r="Q6" s="40" t="n">
        <x:f>IFERROR(P6/O6,0)</x:f>
        <x:v>0</x:v>
      </x:c>
    </x:row>
    <x:row r="7" ht="68" customHeight="1">
      <x:c r="A7" s="19" t="n">
        <x:v>5</x:v>
      </x:c>
      <x:c r="B7" s="138" t="str">
        <x:v>2026-10-05</x:v>
      </x:c>
      <x:c r="C7" s="138" t="str">
        <x:v>2026-10-11</x:v>
      </x:c>
      <x:c r="D7" s="13" t="str">
        <x:v>Этап 2 — Ноги и положение корпуса</x:v>
      </x:c>
      <x:c r="E7" s="13" t="str">
        <x:v>Разворот бедра и backstep</x:v>
      </x:c>
      <x:c r="F7" s="13" t="str">
        <x:v>Разворот бедра и backstep</x:v>
      </x:c>
      <x:c r="G7" s="13" t="str">
        <x:v>Разверни бедро к стене и загрузи внешнее ребро стопы, чтобы дотянуться без лишней тяги.</x:v>
      </x:c>
      <x:c r="H7" s="13" t="str">
        <x:v>3 трассы 2–3 на вертикали/лёгком нависании, где можно пройти и лицом к стене, и с разворотом бедра.</x:v>
      </x:c>
      <x:c r="I7" s="13" t="str">
        <x:v>Пятёрка, где зацеп следующей руки расположен сбоку; протестировать минимум две ориентации таза.</x:v>
      </x:c>
      <x:c r="J7" s="13" t="str">
        <x:v>4 × 7 сек, большая кромка, ноги помогают, RPE 6, отдых 2:00</x:v>
      </x:c>
      <x:c r="K7" s="13" t="str">
        <x:v>2 раунда × 3 очень лёгкие трассы</x:v>
      </x:c>
      <x:c r="L7" s="13" t="str">
        <x:v>R06</x:v>
      </x:c>
      <x:c r="M7" s="13" t="str">
        <x:v>На видео увидеть хотя бы 3 движения, где разворот бедра делает руку прямее.</x:v>
      </x:c>
      <x:c r="N7" s="13" t="str">
        <x:v>Плечо: разворот должен уменьшать тягу рукой, а не создавать болезненный широкий gaston.</x:v>
      </x:c>
      <x:c r="O7" s="13" t="n">
        <x:f>COUNTIFS('Задачи'!$B$2:$B$1853,A7,'Задачи'!$M$2:$M$1853,"Обязательно")</x:f>
        <x:v>55</x:v>
      </x:c>
      <x:c r="P7" s="13" t="n">
        <x:f>COUNTIFS('Задачи'!$B$2:$B$1853,A7,'Задачи'!$M$2:$M$1853,"Обязательно",'Задачи'!$L$2:$L$1853,"☑ Готово")</x:f>
        <x:v>0</x:v>
      </x:c>
      <x:c r="Q7" s="40" t="n">
        <x:f>IFERROR(P7/O7,0)</x:f>
        <x:v>0</x:v>
      </x:c>
    </x:row>
    <x:row r="8" ht="68" customHeight="1">
      <x:c r="A8" s="19" t="n">
        <x:v>6</x:v>
      </x:c>
      <x:c r="B8" s="138" t="str">
        <x:v>2026-10-12</x:v>
      </x:c>
      <x:c r="C8" s="138" t="str">
        <x:v>2026-10-18</x:v>
      </x:c>
      <x:c r="D8" s="13" t="str">
        <x:v>Этап 2 — Ноги и положение корпуса</x:v>
      </x:c>
      <x:c r="E8" s="13" t="str">
        <x:v>Flagging и баланс без лишней руки</x:v>
      </x:c>
      <x:c r="F8" s="13" t="str">
        <x:v>Flagging</x:v>
      </x:c>
      <x:c r="G8" s="13" t="str">
        <x:v>Свободная нога — противовес; двигай её, пока таз не перестанет разворачиваться от стены.</x:v>
      </x:c>
      <x:c r="H8" s="13" t="str">
        <x:v>3 лёгкие вертикальные трассы 2–3. На каждой намеренно найти 2 места для flagging, даже если можно пройти без него.</x:v>
      </x:c>
      <x:c r="I8" s="13" t="str">
        <x:v>Пятёрка, где тебя «раскрывает» от стены или остаются только 3 точки контакта.</x:v>
      </x:c>
      <x:c r="J8" s="13" t="str">
        <x:v>4 × 7 сек, ноги помогают, RPE 6, отдых 2:00</x:v>
      </x:c>
      <x:c r="K8" s="13" t="str">
        <x:v>2 раунда × 3 очень лёгкие трассы</x:v>
      </x:c>
      <x:c r="L8" s="13" t="str">
        <x:v>R07, R03</x:v>
      </x:c>
      <x:c r="M8" s="13" t="str">
        <x:v>Сделать одну и ту же лёгкую трассу без flagging и с ним; оценить усилие рук 1–10.</x:v>
      </x:c>
      <x:c r="N8" s="13" t="str">
        <x:v>Не тянуться в крайнее положение плеча. Smearing делать только на чистой поверхности и без резкого скольжения.</x:v>
      </x:c>
      <x:c r="O8" s="13" t="n">
        <x:f>COUNTIFS('Задачи'!$B$2:$B$1853,A8,'Задачи'!$M$2:$M$1853,"Обязательно")</x:f>
        <x:v>55</x:v>
      </x:c>
      <x:c r="P8" s="13" t="n">
        <x:f>COUNTIFS('Задачи'!$B$2:$B$1853,A8,'Задачи'!$M$2:$M$1853,"Обязательно",'Задачи'!$L$2:$L$1853,"☑ Готово")</x:f>
        <x:v>0</x:v>
      </x:c>
      <x:c r="Q8" s="40" t="n">
        <x:f>IFERROR(P8/O8,0)</x:f>
        <x:v>0</x:v>
      </x:c>
    </x:row>
    <x:row r="9" ht="68" customHeight="1">
      <x:c r="A9" s="19" t="n">
        <x:v>7</x:v>
      </x:c>
      <x:c r="B9" s="138" t="str">
        <x:v>2026-10-19</x:v>
      </x:c>
      <x:c r="C9" s="138" t="str">
        <x:v>2026-10-25</x:v>
      </x:c>
      <x:c r="D9" s="13" t="str">
        <x:v>Этап 2 — Ноги и положение корпуса</x:v>
      </x:c>
      <x:c r="E9" s="13" t="str">
        <x:v>Высокая нога и rock-over</x:v>
      </x:c>
      <x:c r="F9" s="13" t="str">
        <x:v>Высокая нога и rock-over</x:v>
      </x:c>
      <x:c r="G9" s="13" t="str">
        <x:v>Колено и таз идут над стопой до того, как ты пытаешься выпрямиться.</x:v>
      </x:c>
      <x:c r="H9" s="13" t="str">
        <x:v>3 трассы 2–3 с крупной высокой ногой и хорошими руками. Отрабатывать медленно, без рывка.</x:v>
      </x:c>
      <x:c r="I9" s="13" t="str">
        <x:v>Пятёрка с высоким шагом; плюс максимум 2 ознакомительные попытки на «дружелюбной» шестёрке с крупными зацепами.</x:v>
      </x:c>
      <x:c r="J9" s="13" t="str">
        <x:v>5 × 7 сек, ноги помогают, RPE 6–7, отдых 2:00</x:v>
      </x:c>
      <x:c r="K9" s="13" t="str">
        <x:v>3 раунда × 3 очень лёгкие трассы</x:v>
      </x:c>
      <x:c r="L9" s="13" t="str">
        <x:v>R08</x:v>
      </x:c>
      <x:c r="M9" s="13" t="str">
        <x:v>На видео проверить: таз действительно оказался над стопой до подъёма?</x:v>
      </x:c>
      <x:c r="N9" s="13" t="str">
        <x:v>Правое колено: уменьшить высоту шага или пропустить движение при боли/скручивании. Плечо: не дожимать rock-over рукой.</x:v>
      </x:c>
      <x:c r="O9" s="13" t="n">
        <x:f>COUNTIFS('Задачи'!$B$2:$B$1853,A9,'Задачи'!$M$2:$M$1853,"Обязательно")</x:f>
        <x:v>55</x:v>
      </x:c>
      <x:c r="P9" s="13" t="n">
        <x:f>COUNTIFS('Задачи'!$B$2:$B$1853,A9,'Задачи'!$M$2:$M$1853,"Обязательно",'Задачи'!$L$2:$L$1853,"☑ Готово")</x:f>
        <x:v>0</x:v>
      </x:c>
      <x:c r="Q9" s="40" t="n">
        <x:f>IFERROR(P9/O9,0)</x:f>
        <x:v>0</x:v>
      </x:c>
    </x:row>
    <x:row r="10" ht="68" customHeight="1">
      <x:c r="A10" s="19" t="n">
        <x:v>8</x:v>
      </x:c>
      <x:c r="B10" s="138" t="str">
        <x:v>2026-10-26</x:v>
      </x:c>
      <x:c r="C10" s="138" t="str">
        <x:v>2026-11-01</x:v>
      </x:c>
      <x:c r="D10" s="13" t="str">
        <x:v>Этап 2 — Ноги и положение корпуса</x:v>
      </x:c>
      <x:c r="E10" s="13" t="str">
        <x:v>Смена ног и контроль на плите</x:v>
      </x:c>
      <x:c r="F10" s="13" t="str">
        <x:v>Смена ног</x:v>
      </x:c>
      <x:c r="G10" s="13" t="str">
        <x:v>Смена ног происходит на носках и с минимальным подпрыгиванием таза.</x:v>
      </x:c>
      <x:c r="H10" s="13" t="str">
        <x:v>3 трассы 2–3 на плите/вертикали с крупными ногами; на каждой выполнить минимум 2 контролируемые смены ног.</x:v>
      </x:c>
      <x:c r="I10" s="13" t="str">
        <x:v>Одна техничная пятёрка на плите; максимум 3 тяжёлые попытки. Шестёрка — только 1–2 движения для знакомства.</x:v>
      </x:c>
      <x:c r="J10" s="13" t="str">
        <x:v>3 × 7 сек, ноги помогают, RPE 6, отдых 2:00</x:v>
      </x:c>
      <x:c r="K10" s="13" t="str">
        <x:v>1 раунд × 3 очень лёгкие трассы</x:v>
      </x:c>
      <x:c r="L10" s="13" t="str">
        <x:v>R09</x:v>
      </x:c>
      <x:c r="M10" s="13" t="str">
        <x:v>Тест: 4 четвёрки + 3 пятёрки; отметить процент точных постановок стоп и минуту просадки хвата.</x:v>
      </x:c>
      <x:c r="N10" s="13" t="str">
        <x:v>Разгрузка. Колено держать по направлению носка; не ловить равновесие болезненным толчком рукой.</x:v>
      </x:c>
      <x:c r="O10" s="13" t="n">
        <x:f>COUNTIFS('Задачи'!$B$2:$B$1853,A10,'Задачи'!$M$2:$M$1853,"Обязательно")</x:f>
        <x:v>53</x:v>
      </x:c>
      <x:c r="P10" s="13" t="n">
        <x:f>COUNTIFS('Задачи'!$B$2:$B$1853,A10,'Задачи'!$M$2:$M$1853,"Обязательно",'Задачи'!$L$2:$L$1853,"☑ Готово")</x:f>
        <x:v>0</x:v>
      </x:c>
      <x:c r="Q10" s="40" t="n">
        <x:f>IFERROR(P10/O10,0)</x:f>
        <x:v>0</x:v>
      </x:c>
    </x:row>
    <x:row r="11" ht="68" customHeight="1">
      <x:c r="A11" s="19" t="n">
        <x:v>9</x:v>
      </x:c>
      <x:c r="B11" s="138" t="str">
        <x:v>2026-11-02</x:v>
      </x:c>
      <x:c r="C11" s="138" t="str">
        <x:v>2026-11-08</x:v>
      </x:c>
      <x:c r="D11" s="13" t="str">
        <x:v>Этап 3 — Hooks, натяжение корпуса и первые шестёрки</x:v>
      </x:c>
      <x:c r="E11" s="13" t="str">
        <x:v>Heel hook без рывка</x:v>
      </x:c>
      <x:c r="F11" s="13" t="str">
        <x:v>Heel hook</x:v>
      </x:c>
      <x:c r="G11" s="13" t="str">
        <x:v>Пятка сначала ставится, затем постепенно тянет; не бросай на неё весь вес мгновенно.</x:v>
      </x:c>
      <x:c r="H11" s="13" t="str">
        <x:v>2–3 лёгкие трассы/отдельные позиции с крупным зацепом на уровне таза, где heel hook можно снять в любой момент.</x:v>
      </x:c>
      <x:c r="I11" s="13" t="str">
        <x:v>1 пятёрка с естественным heel hook + 1 «дружелюбная» шестёрка; на шестёрке цель — понять первые 2–4 движения.</x:v>
      </x:c>
      <x:c r="J11" s="13" t="str">
        <x:v>5 × 7 сек, ноги помогают, RPE 6–7, отдых 2:00</x:v>
      </x:c>
      <x:c r="K11" s="13" t="str">
        <x:v>3 раунда × 3 очень лёгкие трассы</x:v>
      </x:c>
      <x:c r="L11" s="13" t="str">
        <x:v>R10</x:v>
      </x:c>
      <x:c r="M11" s="13" t="str">
        <x:v>На лёгкой трассе почувствовать, что heel hook реально разгружает хотя бы одну руку.</x:v>
      </x:c>
      <x:c r="N11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O11" s="13" t="n">
        <x:f>COUNTIFS('Задачи'!$B$2:$B$1853,A11,'Задачи'!$M$2:$M$1853,"Обязательно")</x:f>
        <x:v>55</x:v>
      </x:c>
      <x:c r="P11" s="13" t="n">
        <x:f>COUNTIFS('Задачи'!$B$2:$B$1853,A11,'Задачи'!$M$2:$M$1853,"Обязательно",'Задачи'!$L$2:$L$1853,"☑ Готово")</x:f>
        <x:v>0</x:v>
      </x:c>
      <x:c r="Q11" s="40" t="n">
        <x:f>IFERROR(P11/O11,0)</x:f>
        <x:v>0</x:v>
      </x:c>
    </x:row>
    <x:row r="12" ht="68" customHeight="1">
      <x:c r="A12" s="19" t="n">
        <x:v>10</x:v>
      </x:c>
      <x:c r="B12" s="138" t="str">
        <x:v>2026-11-09</x:v>
      </x:c>
      <x:c r="C12" s="138" t="str">
        <x:v>2026-11-15</x:v>
      </x:c>
      <x:c r="D12" s="13" t="str">
        <x:v>Этап 3 — Hooks, натяжение корпуса и первые шестёрки</x:v>
      </x:c>
      <x:c r="E12" s="13" t="str">
        <x:v>Toe hook и удержание тела у стены</x:v>
      </x:c>
      <x:c r="F12" s="13" t="str">
        <x:v>Toe hook и bicycle</x:v>
      </x:c>
      <x:c r="G12" s="13" t="str">
        <x:v>Тяни верхом носка на себя, одновременно дави другой ногой от себя.</x:v>
      </x:c>
      <x:c r="H12" s="13" t="str">
        <x:v>2 лёгкие трассы/позиции на лёгком нависании с крупным выступом для безопасного toe hook; 4–6 коротких повторов.</x:v>
      </x:c>
      <x:c r="I12" s="13" t="str">
        <x:v>Пятёрка с toe hook или противодавлением ног + та же/похожая шестёрка недели 9.</x:v>
      </x:c>
      <x:c r="J12" s="13" t="str">
        <x:v>5 × 7 сек, ноги помогают, RPE 6–7, отдых 2:00</x:v>
      </x:c>
      <x:c r="K12" s="13" t="str">
        <x:v>3 раунда × 3 очень лёгкие трассы</x:v>
      </x:c>
      <x:c r="L12" s="13" t="str">
        <x:v>R11</x:v>
      </x:c>
      <x:c r="M12" s="13" t="str">
        <x:v>Сделать 3 контролируемых toe hook без срыва стопы и без усиления боли.</x:v>
      </x:c>
      <x:c r="N12" s="13" t="str">
        <x:v>Плечо: компрессия должна быть умеренной; пропусти широкие силовые pinches и резкие ловли. Не подворачивать голеностоп.</x:v>
      </x:c>
      <x:c r="O12" s="13" t="n">
        <x:f>COUNTIFS('Задачи'!$B$2:$B$1853,A12,'Задачи'!$M$2:$M$1853,"Обязательно")</x:f>
        <x:v>55</x:v>
      </x:c>
      <x:c r="P12" s="13" t="n">
        <x:f>COUNTIFS('Задачи'!$B$2:$B$1853,A12,'Задачи'!$M$2:$M$1853,"Обязательно",'Задачи'!$L$2:$L$1853,"☑ Готово")</x:f>
        <x:v>0</x:v>
      </x:c>
      <x:c r="Q12" s="40" t="n">
        <x:f>IFERROR(P12/O12,0)</x:f>
        <x:v>0</x:v>
      </x:c>
    </x:row>
    <x:row r="13" ht="68" customHeight="1">
      <x:c r="A13" s="19" t="n">
        <x:v>11</x:v>
      </x:c>
      <x:c r="B13" s="138" t="str">
        <x:v>2026-11-16</x:v>
      </x:c>
      <x:c r="C13" s="138" t="str">
        <x:v>2026-11-22</x:v>
      </x:c>
      <x:c r="D13" s="13" t="str">
        <x:v>Этап 3 — Hooks, натяжение корпуса и первые шестёрки</x:v>
      </x:c>
      <x:c r="E13" s="13" t="str">
        <x:v>Неглубокий drop knee</x:v>
      </x:c>
      <x:c r="F13" s="13" t="str">
        <x:v>Неглубокий drop knee</x:v>
      </x:c>
      <x:c r="G13" s="13" t="str">
        <x:v>Стопа остаётся стабильной, бедро разворачивается; глубина минимальна, достаточна только для движения.</x:v>
      </x:c>
      <x:c r="H13" s="13" t="str">
        <x:v>2–3 лёгкие трассы на вертикали/лёгком нависании, где drop knee можно выполнить мелко и без нагрузки на правое колено.</x:v>
      </x:c>
      <x:c r="I13" s="13" t="str">
        <x:v>Пятёрка, где разворот уменьшает расстояние до зацепа; шестёрка — до 5 качественных попыток.</x:v>
      </x:c>
      <x:c r="J13" s="13" t="str">
        <x:v>5 × 8 сек, ноги помогают, RPE 7, отдых 2:15</x:v>
      </x:c>
      <x:c r="K13" s="13" t="str">
        <x:v>3 раунда × 3 очень лёгкие трассы</x:v>
      </x:c>
      <x:c r="L13" s="13" t="str">
        <x:v>R12</x:v>
      </x:c>
      <x:c r="M13" s="13" t="str">
        <x:v>Сравнить один и тот же reach лицом к стене и с неглубоким drop knee.</x:v>
      </x:c>
      <x:c r="N13" s="13" t="str">
        <x:v>Колено: острая/вращательная боль — немедленно прекратить drop knee. Не докручивать положение руками.</x:v>
      </x:c>
      <x:c r="O13" s="13" t="n">
        <x:f>COUNTIFS('Задачи'!$B$2:$B$1853,A13,'Задачи'!$M$2:$M$1853,"Обязательно")</x:f>
        <x:v>55</x:v>
      </x:c>
      <x:c r="P13" s="13" t="n">
        <x:f>COUNTIFS('Задачи'!$B$2:$B$1853,A13,'Задачи'!$M$2:$M$1853,"Обязательно",'Задачи'!$L$2:$L$1853,"☑ Готово")</x:f>
        <x:v>0</x:v>
      </x:c>
      <x:c r="Q13" s="40" t="n">
        <x:f>IFERROR(P13/O13,0)</x:f>
        <x:v>0</x:v>
      </x:c>
    </x:row>
    <x:row r="14" ht="68" customHeight="1">
      <x:c r="A14" s="19" t="n">
        <x:v>12</x:v>
      </x:c>
      <x:c r="B14" s="138" t="str">
        <x:v>2026-11-23</x:v>
      </x:c>
      <x:c r="C14" s="138" t="str">
        <x:v>2026-11-29</x:v>
      </x:c>
      <x:c r="D14" s="13" t="str">
        <x:v>Этап 3 — Hooks, натяжение корпуса и первые шестёрки</x:v>
      </x:c>
      <x:c r="E14" s="13" t="str">
        <x:v>Натяжение корпуса и трёхмесячная проверка</x:v>
      </x:c>
      <x:c r="F14" s="13" t="str">
        <x:v>Натяжение корпуса</x:v>
      </x:c>
      <x:c r="G14" s="13" t="str">
        <x:v>До движения рукой создай давление хотя бы через две ноги и противоположную руку.</x:v>
      </x:c>
      <x:c r="H14" s="13" t="str">
        <x:v>Лёгкое нависание: 3 трассы 2–3, на каждой держать ноги на стене и избегать «срезания» стоп.</x:v>
      </x:c>
      <x:c r="I14" s="13" t="str">
        <x:v>Контрольная шестёрка с крупными/средними зацепами и без болезненного press; 15–20 минут качественной работы.</x:v>
      </x:c>
      <x:c r="J14" s="13" t="str">
        <x:v>3 × 7 сек, ноги помогают, RPE 6, либо пропуск</x:v>
      </x:c>
      <x:c r="K14" s="13" t="str">
        <x:v>Вместо круга — контрольный тест</x:v>
      </x:c>
      <x:c r="L14" s="13" t="str">
        <x:v>R13</x:v>
      </x:c>
      <x:c r="M14" s="13" t="str">
        <x:v>Тест 3 месяцев: 4 четвёрки, 4 пятёрки, 1 шестёрка. Успех = ясная бета и связка нескольких движений; полный топ — бонус.</x:v>
      </x:c>
      <x:c r="N14" s="13" t="str">
        <x:v>Разгрузка после теста. Никаких больших dyno. Плечо и пальцы должны оставаться спокойными на следующий день.</x:v>
      </x:c>
      <x:c r="O14" s="13" t="n">
        <x:f>COUNTIFS('Задачи'!$B$2:$B$1853,A14,'Задачи'!$M$2:$M$1853,"Обязательно")</x:f>
        <x:v>52</x:v>
      </x:c>
      <x:c r="P14" s="13" t="n">
        <x:f>COUNTIFS('Задачи'!$B$2:$B$1853,A14,'Задачи'!$M$2:$M$1853,"Обязательно",'Задачи'!$L$2:$L$1853,"☑ Готово")</x:f>
        <x:v>0</x:v>
      </x:c>
      <x:c r="Q14" s="40" t="n">
        <x:f>IFERROR(P14/O14,0)</x:f>
        <x:v>0</x:v>
      </x:c>
    </x:row>
    <x:row r="15" ht="68" customHeight="1">
      <x:c r="A15" s="19" t="n">
        <x:v>13</x:v>
      </x:c>
      <x:c r="B15" s="138" t="str">
        <x:v>2026-11-30</x:v>
      </x:c>
      <x:c r="C15" s="138" t="str">
        <x:v>2026-12-06</x:v>
      </x:c>
      <x:c r="D15" s="13" t="str">
        <x:v>Этап 4 — Типы хвата и специфическая сила пальцев</x:v>
      </x:c>
      <x:c r="E15" s="13" t="str">
        <x:v>Открытый хват и half crimp</x:v>
      </x:c>
      <x:c r="F15" s="13" t="str">
        <x:v>Открытый хват и half crimp</x:v>
      </x:c>
      <x:c r="G15" s="13" t="str">
        <x:v>Положение пальцев выбирается заранее и остаётся стабильным; большой палец не накрывает указательный.</x:v>
      </x:c>
      <x:c r="H15" s="13" t="str">
        <x:v>3 лёгкие трассы с положительными кромками среднего размера; осознанно различать открытый хват и half crimp, без максимального сжатия.</x:v>
      </x:c>
      <x:c r="I15" s="13" t="str">
        <x:v>Пятёрка на кромках + шестёрка с хотя бы одной рабочей кромкой, но без острых микрозацепов.</x:v>
      </x:c>
      <x:c r="J15" s="13" t="str">
        <x:v>5 × 10 сек, большая кромка, ноги помогают, RPE 7, отдых 2:30</x:v>
      </x:c>
      <x:c r="K15" s="13" t="str">
        <x:v>3 раунда × 3 очень лёгкие трассы</x:v>
      </x:c>
      <x:c r="L15" s="13" t="str">
        <x:v>R15, R14</x:v>
      </x:c>
      <x:c r="M15" s="13" t="str">
        <x:v>Все 5 висов одинаковы по форме; запас не менее 2–3 секунд в каждом.</x:v>
      </x:c>
      <x:c r="N15" s="13" t="str">
        <x:v>Острая локальная боль в пальце — стоп. Full crimp на фингерборде не использовать.</x:v>
      </x:c>
      <x:c r="O15" s="13" t="n">
        <x:f>COUNTIFS('Задачи'!$B$2:$B$1853,A15,'Задачи'!$M$2:$M$1853,"Обязательно")</x:f>
        <x:v>55</x:v>
      </x:c>
      <x:c r="P15" s="13" t="n">
        <x:f>COUNTIFS('Задачи'!$B$2:$B$1853,A15,'Задачи'!$M$2:$M$1853,"Обязательно",'Задачи'!$L$2:$L$1853,"☑ Готово")</x:f>
        <x:v>0</x:v>
      </x:c>
      <x:c r="Q15" s="40" t="n">
        <x:f>IFERROR(P15/O15,0)</x:f>
        <x:v>0</x:v>
      </x:c>
    </x:row>
    <x:row r="16" ht="68" customHeight="1">
      <x:c r="A16" s="19" t="n">
        <x:v>14</x:v>
      </x:c>
      <x:c r="B16" s="138" t="str">
        <x:v>2026-12-07</x:v>
      </x:c>
      <x:c r="C16" s="138" t="str">
        <x:v>2026-12-13</x:v>
      </x:c>
      <x:c r="D16" s="13" t="str">
        <x:v>Этап 4 — Типы хвата и специфическая сила пальцев</x:v>
      </x:c>
      <x:c r="E16" s="13" t="str">
        <x:v>Sloper: положение тела важнее сжатия</x:v>
      </x:c>
      <x:c r="F16" s="13" t="str">
        <x:v>Sloper</x:v>
      </x:c>
      <x:c r="G16" s="13" t="str">
        <x:v>Подведи центр массы под направление, в котором sloper держит; увеличь контакт ладони, а не панику хвата.</x:v>
      </x:c>
      <x:c r="H16" s="13" t="str">
        <x:v>3 лёгкие трассы 2–3 со sloper/округлыми зацепами; пробовать разные положения таза, не менять силу сжатия.</x:v>
      </x:c>
      <x:c r="I16" s="13" t="str">
        <x:v>Пятёрка со sloper + шестёрка другого стиля, чтобы не перегружать один тип тканей.</x:v>
      </x:c>
      <x:c r="J16" s="13" t="str">
        <x:v>5 × 10 сек, ноги помогают, RPE 7, отдых 2:30</x:v>
      </x:c>
      <x:c r="K16" s="13" t="str">
        <x:v>3 раунда × 3 очень лёгкие трассы</x:v>
      </x:c>
      <x:c r="L16" s="13" t="str">
        <x:v>R15</x:v>
      </x:c>
      <x:c r="M16" s="13" t="str">
        <x:v>Найти минимум 2 позиции, где sloper становится лучше только из-за изменения тела.</x:v>
      </x:c>
      <x:c r="N16" s="13" t="str">
        <x:v>Если sloper требует болезненной компрессии плечом, заменить трассу. Не тереть кожу до повреждения.</x:v>
      </x:c>
      <x:c r="O16" s="13" t="n">
        <x:f>COUNTIFS('Задачи'!$B$2:$B$1853,A16,'Задачи'!$M$2:$M$1853,"Обязательно")</x:f>
        <x:v>55</x:v>
      </x:c>
      <x:c r="P16" s="13" t="n">
        <x:f>COUNTIFS('Задачи'!$B$2:$B$1853,A16,'Задачи'!$M$2:$M$1853,"Обязательно",'Задачи'!$L$2:$L$1853,"☑ Готово")</x:f>
        <x:v>0</x:v>
      </x:c>
      <x:c r="Q16" s="40" t="n">
        <x:f>IFERROR(P16/O16,0)</x:f>
        <x:v>0</x:v>
      </x:c>
    </x:row>
    <x:row r="17" ht="68" customHeight="1">
      <x:c r="A17" s="19" t="n">
        <x:v>15</x:v>
      </x:c>
      <x:c r="B17" s="138" t="str">
        <x:v>2026-12-14</x:v>
      </x:c>
      <x:c r="C17" s="138" t="str">
        <x:v>2026-12-20</x:v>
      </x:c>
      <x:c r="D17" s="13" t="str">
        <x:v>Этап 4 — Типы хвата и специфическая сила пальцев</x:v>
      </x:c>
      <x:c r="E17" s="13" t="str">
        <x:v>Pinch, объёмы и умеренная компрессия</x:v>
      </x:c>
      <x:c r="F17" s="13" t="str">
        <x:v>Pinch и объёмы</x:v>
      </x:c>
      <x:c r="G17" s="13" t="str">
        <x:v>Большой палец создаёт противодавление, но основную экономию всё равно даёт положение ног и таза.</x:v>
      </x:c>
      <x:c r="H17" s="13" t="str">
        <x:v>3 лёгкие трассы с крупными pinch/объёмами; искать направление, где хват держит при минимальном сжатии.</x:v>
      </x:c>
      <x:c r="I17" s="13" t="str">
        <x:v>Пятёрка с pinch, только если плечо спокойно; шестёрка — лучше с другим типом хвата.</x:v>
      </x:c>
      <x:c r="J17" s="13" t="str">
        <x:v>5 × 10 сек, ноги помогают, RPE 7–8, отдых 2:30</x:v>
      </x:c>
      <x:c r="K17" s="13" t="str">
        <x:v>3 раунда × 3 очень лёгкие трассы</x:v>
      </x:c>
      <x:c r="L17" s="13" t="str">
        <x:v>R16</x:v>
      </x:c>
      <x:c r="M17" s="13" t="str">
        <x:v>На видео проверить, не «висит» ли плечо вперёд и не исчезают ли ноги при pinch.</x:v>
      </x:c>
      <x:c r="N17" s="13" t="str">
        <x:v>Плечо: широкая компрессия, gaston и силовой press — зона особой осторожности; при боли сразу убрать движение.</x:v>
      </x:c>
      <x:c r="O17" s="13" t="n">
        <x:f>COUNTIFS('Задачи'!$B$2:$B$1853,A17,'Задачи'!$M$2:$M$1853,"Обязательно")</x:f>
        <x:v>55</x:v>
      </x:c>
      <x:c r="P17" s="13" t="n">
        <x:f>COUNTIFS('Задачи'!$B$2:$B$1853,A17,'Задачи'!$M$2:$M$1853,"Обязательно",'Задачи'!$L$2:$L$1853,"☑ Готово")</x:f>
        <x:v>0</x:v>
      </x:c>
      <x:c r="Q17" s="40" t="n">
        <x:f>IFERROR(P17/O17,0)</x:f>
        <x:v>0</x:v>
      </x:c>
    </x:row>
    <x:row r="18" ht="68" customHeight="1">
      <x:c r="A18" s="19" t="n">
        <x:v>16</x:v>
      </x:c>
      <x:c r="B18" s="138" t="str">
        <x:v>2026-12-21</x:v>
      </x:c>
      <x:c r="C18" s="138" t="str">
        <x:v>2026-12-27</x:v>
      </x:c>
      <x:c r="D18" s="13" t="str">
        <x:v>Этап 4 — Типы хвата и специфическая сила пальцев</x:v>
      </x:c>
      <x:c r="E18" s="13" t="str">
        <x:v>Разгрузка, техника хвата и консультация</x:v>
      </x:c>
      <x:c r="F18" s="13" t="str">
        <x:v>Разгрузка и видеоразбор</x:v>
      </x:c>
      <x:c r="G18" s="13" t="str">
        <x:v>Техника одинаковая в первой и последней качественной попытке.</x:v>
      </x:c>
      <x:c r="H18" s="13" t="str">
        <x:v>2 четвёрки разных стилей + 1 пятёрка на любимом типе зацепов; без тяжёлого объёма.</x:v>
      </x:c>
      <x:c r="I18" s="13" t="str">
        <x:v>Одна шестёрка, максимум 3 попытки. После этого сравнить видео недель 12 и 16.</x:v>
      </x:c>
      <x:c r="J18" s="13" t="str">
        <x:v>3 × 7 сек, ноги помогают, RPE 6, отдых 2:00</x:v>
      </x:c>
      <x:c r="K18" s="13" t="str">
        <x:v>1 раунд × 3 очень лёгкие трассы</x:v>
      </x:c>
      <x:c r="L18" s="13" t="str">
        <x:v>R21, R22</x:v>
      </x:c>
      <x:c r="M18" s="13" t="str">
        <x:v>Тест: удерживается ли рабочее качество хвата позже, чем в неделю 1; вырос ли процент пятёрок.</x:v>
      </x:c>
      <x:c r="N18" s="13" t="str">
        <x:v>Объём минус 35–40%. Не переходить на меньшую кромку фингерборда.</x:v>
      </x:c>
      <x:c r="O18" s="13" t="n">
        <x:f>COUNTIFS('Задачи'!$B$2:$B$1853,A18,'Задачи'!$M$2:$M$1853,"Обязательно")</x:f>
        <x:v>52</x:v>
      </x:c>
      <x:c r="P18" s="13" t="n">
        <x:f>COUNTIFS('Задачи'!$B$2:$B$1853,A18,'Задачи'!$M$2:$M$1853,"Обязательно",'Задачи'!$L$2:$L$1853,"☑ Готово")</x:f>
        <x:v>0</x:v>
      </x:c>
      <x:c r="Q18" s="40" t="n">
        <x:f>IFERROR(P18/O18,0)</x:f>
        <x:v>0</x:v>
      </x:c>
    </x:row>
    <x:row r="19" ht="68" customHeight="1">
      <x:c r="A19" s="19" t="n">
        <x:v>17</x:v>
      </x:c>
      <x:c r="B19" s="138" t="str">
        <x:v>2026-12-28</x:v>
      </x:c>
      <x:c r="C19" s="138" t="str">
        <x:v>2027-01-03</x:v>
      </x:c>
      <x:c r="D19" s="13" t="str">
        <x:v>Этап 5 — Эффективность движения и работа над проектом</x:v>
      </x:c>
      <x:c r="E19" s="13" t="str">
        <x:v>Контролируемый deadpoint</x:v>
      </x:c>
      <x:c r="F19" s="13" t="str">
        <x:v>Контролируемый deadpoint</x:v>
      </x:c>
      <x:c r="G19" s="13" t="str">
        <x:v>Толчок идёт ногами и тазом; зацеп берётся в момент замедления тела, без жёсткой ловли плечом.</x:v>
      </x:c>
      <x:c r="H19" s="13" t="str">
        <x:v>3 лёгкие трассы с длинным, но контролируемым reach. Сначала статично, затем чуть динамичнее.</x:v>
      </x:c>
      <x:c r="I19" s="13" t="str">
        <x:v>Пятёрка с безопасным deadpoint + основная шестёрка. Большие прыжки не нужны.</x:v>
      </x:c>
      <x:c r="J19" s="13" t="str">
        <x:v>6 × 10 сек, ноги помогают, RPE 7–8, отдых 2:30</x:v>
      </x:c>
      <x:c r="K19" s="13" t="str">
        <x:v>3 раунда × 3 очень лёгкие трассы</x:v>
      </x:c>
      <x:c r="L19" s="13" t="str">
        <x:v>R17</x:v>
      </x:c>
      <x:c r="M19" s="13" t="str">
        <x:v>Найти минимальную динамику, при которой движение становится легче, но ловля остаётся мягкой.</x:v>
      </x:c>
      <x:c r="N19" s="13" t="str">
        <x:v>Плечо: никакой жёсткой ловли, кампуса и dyno. Колено: контролируемые приземления, лучше спускаться.</x:v>
      </x:c>
      <x:c r="O19" s="13" t="n">
        <x:f>COUNTIFS('Задачи'!$B$2:$B$1853,A19,'Задачи'!$M$2:$M$1853,"Обязательно")</x:f>
        <x:v>55</x:v>
      </x:c>
      <x:c r="P19" s="13" t="n">
        <x:f>COUNTIFS('Задачи'!$B$2:$B$1853,A19,'Задачи'!$M$2:$M$1853,"Обязательно",'Задачи'!$L$2:$L$1853,"☑ Готово")</x:f>
        <x:v>0</x:v>
      </x:c>
      <x:c r="Q19" s="40" t="n">
        <x:f>IFERROR(P19/O19,0)</x:f>
        <x:v>0</x:v>
      </x:c>
    </x:row>
    <x:row r="20" ht="68" customHeight="1">
      <x:c r="A20" s="19" t="n">
        <x:v>18</x:v>
      </x:c>
      <x:c r="B20" s="138" t="str">
        <x:v>2027-01-04</x:v>
      </x:c>
      <x:c r="C20" s="138" t="str">
        <x:v>2027-01-10</x:v>
      </x:c>
      <x:c r="D20" s="13" t="str">
        <x:v>Этап 5 — Эффективность движения и работа над проектом</x:v>
      </x:c>
      <x:c r="E20" s="13" t="str">
        <x:v>Темп, дыхание и отдых</x:v>
      </x:c>
      <x:c r="F20" s="13" t="str">
        <x:v>Темп, дыхание и отдых</x:v>
      </x:c>
      <x:c r="G20" s="13" t="str">
        <x:v>На хороших позициях — прямые руки и два спокойных дыхания; на плохих — двигаться без лишней паузы.</x:v>
      </x:c>
      <x:c r="H20" s="13" t="str">
        <x:v>3 лёгкие трассы: первую слишком медленно, вторую слишком быстро, третью — оптимальным темпом.</x:v>
      </x:c>
      <x:c r="I20" s="13" t="str">
        <x:v>Основная шестёрка; использовать полный отдых 4–5 минут. Второй проект только если качество высокое.</x:v>
      </x:c>
      <x:c r="J20" s="13" t="str">
        <x:v>6 × 10 сек, ноги помогают, RPE 7–8, отдых 2:30</x:v>
      </x:c>
      <x:c r="K20" s="13" t="str">
        <x:v>3 раунда × 3 очень лёгкие трассы</x:v>
      </x:c>
      <x:c r="L20" s="13" t="str">
        <x:v>R05</x:v>
      </x:c>
      <x:c r="M20" s="13" t="str">
        <x:v>Записать, где на трассе полезно остановиться, а где пауза только съедает хват.</x:v>
      </x:c>
      <x:c r="N20" s="13" t="str">
        <x:v>Не встряхивать руку в положении, где плечо неустойчиво. Не «досиживать» на плохом зацепе до отказа.</x:v>
      </x:c>
      <x:c r="O20" s="13" t="n">
        <x:f>COUNTIFS('Задачи'!$B$2:$B$1853,A20,'Задачи'!$M$2:$M$1853,"Обязательно")</x:f>
        <x:v>55</x:v>
      </x:c>
      <x:c r="P20" s="13" t="n">
        <x:f>COUNTIFS('Задачи'!$B$2:$B$1853,A20,'Задачи'!$M$2:$M$1853,"Обязательно",'Задачи'!$L$2:$L$1853,"☑ Готово")</x:f>
        <x:v>0</x:v>
      </x:c>
      <x:c r="Q20" s="40" t="n">
        <x:f>IFERROR(P20/O20,0)</x:f>
        <x:v>0</x:v>
      </x:c>
    </x:row>
    <x:row r="21" ht="68" customHeight="1">
      <x:c r="A21" s="19" t="n">
        <x:v>19</x:v>
      </x:c>
      <x:c r="B21" s="138" t="str">
        <x:v>2027-01-11</x:v>
      </x:c>
      <x:c r="C21" s="138" t="str">
        <x:v>2027-01-17</x:v>
      </x:c>
      <x:c r="D21" s="13" t="str">
        <x:v>Этап 5 — Эффективность движения и работа над проектом</x:v>
      </x:c>
      <x:c r="E21" s="13" t="str">
        <x:v>Разделение проекта на части</x:v>
      </x:c>
      <x:c r="F21" s="13" t="str">
        <x:v>Разделение проекта</x:v>
      </x:c>
      <x:c r="G21" s="13" t="str">
        <x:v>Не повторяй всю трассу ради одного движения: отдельно тренируй вход, crux и выход.</x:v>
      </x:c>
      <x:c r="H21" s="13" t="str">
        <x:v>2 четвёрки для техники + 2 пятёрки, где можно изолировать одно трудное движение.</x:v>
      </x:c>
      <x:c r="I21" s="13" t="str">
        <x:v>Одна шестёрка как основной проект: старт→crux, сам crux, crux→топ. До 6 качественных попыток.</x:v>
      </x:c>
      <x:c r="J21" s="13" t="str">
        <x:v>6 × 10 сек, ноги помогают, RPE 7–8, отдых 2:30</x:v>
      </x:c>
      <x:c r="K21" s="13" t="str">
        <x:v>2 раунда × 4 очень лёгкие трассы</x:v>
      </x:c>
      <x:c r="L21" s="13" t="str">
        <x:v>R18</x:v>
      </x:c>
      <x:c r="M21" s="13" t="str">
        <x:v>Получить минимум две стабильные короткие связки, даже если полного прохода нет.</x:v>
      </x:c>
      <x:c r="N21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O21" s="13" t="n">
        <x:f>COUNTIFS('Задачи'!$B$2:$B$1853,A21,'Задачи'!$M$2:$M$1853,"Обязательно")</x:f>
        <x:v>55</x:v>
      </x:c>
      <x:c r="P21" s="13" t="n">
        <x:f>COUNTIFS('Задачи'!$B$2:$B$1853,A21,'Задачи'!$M$2:$M$1853,"Обязательно",'Задачи'!$L$2:$L$1853,"☑ Готово")</x:f>
        <x:v>0</x:v>
      </x:c>
      <x:c r="Q21" s="40" t="n">
        <x:f>IFERROR(P21/O21,0)</x:f>
        <x:v>0</x:v>
      </x:c>
    </x:row>
    <x:row r="22" ht="68" customHeight="1">
      <x:c r="A22" s="19" t="n">
        <x:v>20</x:v>
      </x:c>
      <x:c r="B22" s="138" t="str">
        <x:v>2027-01-18</x:v>
      </x:c>
      <x:c r="C22" s="138" t="str">
        <x:v>2027-01-24</x:v>
      </x:c>
      <x:c r="D22" s="13" t="str">
        <x:v>Этап 5 — Эффективность движения и работа над проектом</x:v>
      </x:c>
      <x:c r="E22" s="13" t="str">
        <x:v>Связывание и разгрузочная проверка</x:v>
      </x:c>
      <x:c r="F22" s="13" t="str">
        <x:v>Связывание и сравнение</x:v>
      </x:c>
      <x:c r="G22" s="13" t="str">
        <x:v>Полная попытка имеет смысл только после того, как ключевые части стали воспроизводимыми.</x:v>
      </x:c>
      <x:c r="H22" s="13" t="str">
        <x:v>2 знакомые четвёрки + 1 пятёрка; сохранить свежесть.</x:v>
      </x:c>
      <x:c r="I22" s="13" t="str">
        <x:v>Основная шестёрка, максимум 3–4 попытки с полным отдыхом; снять одну целиком.</x:v>
      </x:c>
      <x:c r="J22" s="13" t="str">
        <x:v>3 × 7 сек, ноги помогают, RPE 6, отдых 2:00</x:v>
      </x:c>
      <x:c r="K22" s="13" t="str">
        <x:v>1 раунд × 3 очень лёгкие трассы</x:v>
      </x:c>
      <x:c r="L22" s="13" t="str">
        <x:v>R18</x:v>
      </x:c>
      <x:c r="M22" s="13" t="str">
        <x:v>Сравнить длину лучшей связки и количество лишних перестановок ног с неделей 12.</x:v>
      </x:c>
      <x:c r="N22" s="13" t="str">
        <x:v>Разгрузка. Фингерборд только лёгкий. Закончить до заметного распада техники.</x:v>
      </x:c>
      <x:c r="O22" s="13" t="n">
        <x:f>COUNTIFS('Задачи'!$B$2:$B$1853,A22,'Задачи'!$M$2:$M$1853,"Обязательно")</x:f>
        <x:v>52</x:v>
      </x:c>
      <x:c r="P22" s="13" t="n">
        <x:f>COUNTIFS('Задачи'!$B$2:$B$1853,A22,'Задачи'!$M$2:$M$1853,"Обязательно",'Задачи'!$L$2:$L$1853,"☑ Готово")</x:f>
        <x:v>0</x:v>
      </x:c>
      <x:c r="Q22" s="40" t="n">
        <x:f>IFERROR(P22/O22,0)</x:f>
        <x:v>0</x:v>
      </x:c>
    </x:row>
    <x:row r="23" ht="68" customHeight="1">
      <x:c r="A23" s="19" t="n">
        <x:v>21</x:v>
      </x:c>
      <x:c r="B23" s="138" t="str">
        <x:v>2027-01-25</x:v>
      </x:c>
      <x:c r="C23" s="138" t="str">
        <x:v>2027-01-31</x:v>
      </x:c>
      <x:c r="D23" s="13" t="str">
        <x:v>Этап 6 — Перенос навыков, шестёрки и закрепление</x:v>
      </x:c>
      <x:c r="E23" s="13" t="str">
        <x:v>Блок слабого стиля</x:v>
      </x:c>
      <x:c r="F23" s="13" t="str">
        <x:v>Слабый стиль</x:v>
      </x:c>
      <x:c r="G23" s="13" t="str">
        <x:v>На лёгких трассах слабого стиля тренируй навык; на сложных — не превращай каждую попытку в борьбу.</x:v>
      </x:c>
      <x:c r="H23" s="13" t="str">
        <x:v>Выбрать слабый стиль по журналу: плита, нависание, sloper, кромки, hooks или длинные движения. 3 лёгкие трассы этого стиля.</x:v>
      </x:c>
      <x:c r="I23" s="13" t="str">
        <x:v>Пятёрка и шестёрка того же стиля, но без болезненных движений.</x:v>
      </x:c>
      <x:c r="J23" s="13" t="str">
        <x:v>5 × 10 сек, ноги помогают, RPE 7–8, отдых 2:30</x:v>
      </x:c>
      <x:c r="K23" s="13" t="str">
        <x:v>2 раунда × 4 очень лёгкие трассы</x:v>
      </x:c>
      <x:c r="L23" s="13" t="str">
        <x:v>R19</x:v>
      </x:c>
      <x:c r="M23" s="13" t="str">
        <x:v>Определить 1 технический cue, который сильнее всего улучшает слабый стиль.</x:v>
      </x:c>
      <x:c r="N23" s="13" t="str">
        <x:v>Если слабый стиль совпадает с триггером плеча/колена, выбрать второй по слабости, а не провоцировать травму.</x:v>
      </x:c>
      <x:c r="O23" s="13" t="n">
        <x:f>COUNTIFS('Задачи'!$B$2:$B$1853,A23,'Задачи'!$M$2:$M$1853,"Обязательно")</x:f>
        <x:v>55</x:v>
      </x:c>
      <x:c r="P23" s="13" t="n">
        <x:f>COUNTIFS('Задачи'!$B$2:$B$1853,A23,'Задачи'!$M$2:$M$1853,"Обязательно",'Задачи'!$L$2:$L$1853,"☑ Готово")</x:f>
        <x:v>0</x:v>
      </x:c>
      <x:c r="Q23" s="40" t="n">
        <x:f>IFERROR(P23/O23,0)</x:f>
        <x:v>0</x:v>
      </x:c>
    </x:row>
    <x:row r="24" ht="68" customHeight="1">
      <x:c r="A24" s="19" t="n">
        <x:v>22</x:v>
      </x:c>
      <x:c r="B24" s="138" t="str">
        <x:v>2027-02-01</x:v>
      </x:c>
      <x:c r="C24" s="138" t="str">
        <x:v>2027-02-07</x:v>
      </x:c>
      <x:c r="D24" s="13" t="str">
        <x:v>Этап 6 — Перенос навыков, шестёрки и закрепление</x:v>
      </x:c>
      <x:c r="E24" s="13" t="str">
        <x:v>Шестёрка: диагностическая неделя</x:v>
      </x:c>
      <x:c r="F24" s="13" t="str">
        <x:v>Диагностика основной шестёрки</x:v>
      </x:c>
      <x:c r="G24" s="13" t="str">
        <x:v>Первые две попытки собирают данные; следующие меняют по одной переменной.</x:v>
      </x:c>
      <x:c r="H24" s="13" t="str">
        <x:v>2 четвёрки + 2 пятёрки в стиле основной шестёрки, но заметно легче.</x:v>
      </x:c>
      <x:c r="I24" s="13" t="str">
        <x:v>Выбрать одну шестёрку, которая не требует болезненного press/dyno. 5–6 качественных попыток, 4–5 минут отдыха.</x:v>
      </x:c>
      <x:c r="J24" s="13" t="str">
        <x:v>5 × 10 сек, ноги помогают, RPE 7–8, отдых 2:30</x:v>
      </x:c>
      <x:c r="K24" s="13" t="str">
        <x:v>2 раунда × 4 очень лёгкие трассы</x:v>
      </x:c>
      <x:c r="L24" s="13" t="str">
        <x:v>R18, R02</x:v>
      </x:c>
      <x:c r="M24" s="13" t="str">
        <x:v>Записать точную причину падения на каждой попытке и одну следующую гипотезу.</x:v>
      </x:c>
      <x:c r="N24" s="13" t="str">
        <x:v>Не выбирать шестёрку только потому, что она новая/красивая: движение должно быть совместимо с плечом и коленом.</x:v>
      </x:c>
      <x:c r="O24" s="13" t="n">
        <x:f>COUNTIFS('Задачи'!$B$2:$B$1853,A24,'Задачи'!$M$2:$M$1853,"Обязательно")</x:f>
        <x:v>55</x:v>
      </x:c>
      <x:c r="P24" s="13" t="n">
        <x:f>COUNTIFS('Задачи'!$B$2:$B$1853,A24,'Задачи'!$M$2:$M$1853,"Обязательно",'Задачи'!$L$2:$L$1853,"☑ Готово")</x:f>
        <x:v>0</x:v>
      </x:c>
      <x:c r="Q24" s="40" t="n">
        <x:f>IFERROR(P24/O24,0)</x:f>
        <x:v>0</x:v>
      </x:c>
    </x:row>
    <x:row r="25" ht="68" customHeight="1">
      <x:c r="A25" s="19" t="n">
        <x:v>23</x:v>
      </x:c>
      <x:c r="B25" s="138" t="str">
        <x:v>2027-02-08</x:v>
      </x:c>
      <x:c r="C25" s="138" t="str">
        <x:v>2027-02-14</x:v>
      </x:c>
      <x:c r="D25" s="13" t="str">
        <x:v>Этап 6 — Перенос навыков, шестёрки и закрепление</x:v>
      </x:c>
      <x:c r="E25" s="13" t="str">
        <x:v>Шестёрка: связывание и лучшая попытка</x:v>
      </x:c>
      <x:c r="F25" s="13" t="str">
        <x:v>Лучшая связка шестёрки</x:v>
      </x:c>
      <x:c r="G25" s="13" t="str">
        <x:v>Одна полная попытка после хорошего отдыха лучше трёх усталых подряд.</x:v>
      </x:c>
      <x:c r="H25" s="13" t="str">
        <x:v>2 лёгкие трассы с движениями, похожими на crux шестёрки; затем короткий объём.</x:v>
      </x:c>
      <x:c r="I25" s="13" t="str">
        <x:v>Та же шестёрка, если она ещё на стене; иначе максимально похожая. 4–5 попыток, одна снята целиком.</x:v>
      </x:c>
      <x:c r="J25" s="13" t="str">
        <x:v>5 × 10 сек, ноги помогают, RPE 7, отдых 2:30</x:v>
      </x:c>
      <x:c r="K25" s="13" t="str">
        <x:v>2 раунда × 4 очень лёгкие трассы</x:v>
      </x:c>
      <x:c r="L25" s="13" t="str">
        <x:v>R02</x:v>
      </x:c>
      <x:c r="M25" s="13" t="str">
        <x:v>Лучшая связка должна стать длиннее или технически чище, даже если топа нет.</x:v>
      </x:c>
      <x:c r="N25" s="13" t="str">
        <x:v>Если пальцы уже слабее обычного на разминке, сократить фингерборд и проект наполовину.</x:v>
      </x:c>
      <x:c r="O25" s="13" t="n">
        <x:f>COUNTIFS('Задачи'!$B$2:$B$1853,A25,'Задачи'!$M$2:$M$1853,"Обязательно")</x:f>
        <x:v>55</x:v>
      </x:c>
      <x:c r="P25" s="13" t="n">
        <x:f>COUNTIFS('Задачи'!$B$2:$B$1853,A25,'Задачи'!$M$2:$M$1853,"Обязательно",'Задачи'!$L$2:$L$1853,"☑ Готово")</x:f>
        <x:v>0</x:v>
      </x:c>
      <x:c r="Q25" s="40" t="n">
        <x:f>IFERROR(P25/O25,0)</x:f>
        <x:v>0</x:v>
      </x:c>
    </x:row>
    <x:row r="26" ht="68" customHeight="1">
      <x:c r="A26" s="19" t="n">
        <x:v>24</x:v>
      </x:c>
      <x:c r="B26" s="138" t="str">
        <x:v>2027-02-15</x:v>
      </x:c>
      <x:c r="C26" s="138" t="str">
        <x:v>2027-02-21</x:v>
      </x:c>
      <x:c r="D26" s="13" t="str">
        <x:v>Этап 6 — Перенос навыков, шестёрки и закрепление</x:v>
      </x:c>
      <x:c r="E26" s="13" t="str">
        <x:v>Перенос навыков в Basement или другой зал</x:v>
      </x:c>
      <x:c r="F26" s="13" t="str">
        <x:v>Перенос навыков</x:v>
      </x:c>
      <x:c r="G26" s="13" t="str">
        <x:v>Оцени трассу по вероятности прохода, а не пытайся напрямую переводить цифру другого зала.</x:v>
      </x:c>
      <x:c r="H26" s="13" t="str">
        <x:v>В другом зале: 3 лёгких флэш-трассы, 3 рабочих трассы (40–70% шанс), 1 проект (0–30% шанс).</x:v>
      </x:c>
      <x:c r="I26" s="13" t="str">
        <x:v>Если обе структурированные тренировки в Berta — одну провести в новом секторе/на непривычном угле.</x:v>
      </x:c>
      <x:c r="J26" s="13" t="str">
        <x:v>4 × 7 сек только на знакомой большой кромке; иначе пропуск</x:v>
      </x:c>
      <x:c r="K26" s="13" t="str">
        <x:v>Опционально 2 раунда × 3 лёгкие трассы</x:v>
      </x:c>
      <x:c r="L26" s="13" t="str">
        <x:v>R04, R05</x:v>
      </x:c>
      <x:c r="M26" s="13" t="str">
        <x:v>Отметить, какие навыки перенеслись, а какие были привязаны к знакомому сеттингу.</x:v>
      </x:c>
      <x:c r="N26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O26" s="13" t="n">
        <x:f>COUNTIFS('Задачи'!$B$2:$B$1853,A26,'Задачи'!$M$2:$M$1853,"Обязательно")</x:f>
        <x:v>52</x:v>
      </x:c>
      <x:c r="P26" s="13" t="n">
        <x:f>COUNTIFS('Задачи'!$B$2:$B$1853,A26,'Задачи'!$M$2:$M$1853,"Обязательно",'Задачи'!$L$2:$L$1853,"☑ Готово")</x:f>
        <x:v>0</x:v>
      </x:c>
      <x:c r="Q26" s="40" t="n">
        <x:f>IFERROR(P26/O26,0)</x:f>
        <x:v>0</x:v>
      </x:c>
    </x:row>
    <x:row r="27" ht="68" customHeight="1">
      <x:c r="A27" s="19" t="n">
        <x:v>25</x:v>
      </x:c>
      <x:c r="B27" s="138" t="str">
        <x:v>2027-02-22</x:v>
      </x:c>
      <x:c r="C27" s="138" t="str">
        <x:v>2027-02-28</x:v>
      </x:c>
      <x:c r="D27" s="13" t="str">
        <x:v>Этап 6 — Перенос навыков, шестёрки и закрепление</x:v>
      </x:c>
      <x:c r="E27" s="13" t="str">
        <x:v>Снижение объёма и качественные попытки</x:v>
      </x:c>
      <x:c r="F27" s="13" t="str">
        <x:v>Снижение объёма</x:v>
      </x:c>
      <x:c r="G27" s="13" t="str">
        <x:v>Меньше общего объёма, больше свежести и полный отдых перед каждой важной попыткой.</x:v>
      </x:c>
      <x:c r="H27" s="13" t="str">
        <x:v>2 четвёрки + 1 пятёрка, только качественные движения. Никакой тяжёлой выносливости.</x:v>
      </x:c>
      <x:c r="I27" s="13" t="str">
        <x:v>Основная шестёрка: 3–5 попыток с 5 минутами отдыха. После двух ухудшившихся попыток закончить проект.</x:v>
      </x:c>
      <x:c r="J27" s="13" t="str">
        <x:v>3 × 7 сек, ноги помогают, RPE 6, отдых 2:00</x:v>
      </x:c>
      <x:c r="K27" s="13" t="str">
        <x:v>1 раунд × 2 очень лёгкие трассы</x:v>
      </x:c>
      <x:c r="L27" s="13" t="str">
        <x:v>R05, R18</x:v>
      </x:c>
      <x:c r="M27" s="13" t="str">
        <x:v>Оценить качество первой попытки и способность повторить crux свежим.</x:v>
      </x:c>
      <x:c r="N27" s="13" t="str">
        <x:v>Не добавлять домашние висы или «последний тяжёлый круг». Плечо/пальцы должны чувствоваться лучше, а не хуже.</x:v>
      </x:c>
      <x:c r="O27" s="13" t="n">
        <x:f>COUNTIFS('Задачи'!$B$2:$B$1853,A27,'Задачи'!$M$2:$M$1853,"Обязательно")</x:f>
        <x:v>52</x:v>
      </x:c>
      <x:c r="P27" s="13" t="n">
        <x:f>COUNTIFS('Задачи'!$B$2:$B$1853,A27,'Задачи'!$M$2:$M$1853,"Обязательно",'Задачи'!$L$2:$L$1853,"☑ Готово")</x:f>
        <x:v>0</x:v>
      </x:c>
      <x:c r="Q27" s="40" t="n">
        <x:f>IFERROR(P27/O27,0)</x:f>
        <x:v>0</x:v>
      </x:c>
    </x:row>
    <x:row r="28" ht="68" customHeight="1">
      <x:c r="A28" s="21" t="n">
        <x:v>26</x:v>
      </x:c>
      <x:c r="B28" s="136" t="str">
        <x:v>2027-03-01</x:v>
      </x:c>
      <x:c r="C28" s="136" t="str">
        <x:v>2027-03-07</x:v>
      </x:c>
      <x:c r="D28" s="22" t="str">
        <x:v>Этап 6 — Перенос навыков, шестёрки и закрепление</x:v>
      </x:c>
      <x:c r="E28" s="22" t="str">
        <x:v>Финальная проверка и следующий цикл</x:v>
      </x:c>
      <x:c r="F28" s="22" t="str">
        <x:v>Финальная проверка</x:v>
      </x:c>
      <x:c r="G28" s="22" t="str">
        <x:v>Оцени процесс: качество ног, понимание беты, время рабочей силы хвата и перенос навыков.</x:v>
      </x:c>
      <x:c r="H28" s="22" t="str">
        <x:v>Финальный тест: 4 четвёрки, 4 пятёрки и 1 шестёрка; те же ограничения по попыткам, что в неделю 12.</x:v>
      </x:c>
      <x:c r="I28" s="22" t="str">
        <x:v>Одна основная шестёрка, максимум 5 попыток. Затем только любимые лёгкие трассы.</x:v>
      </x:c>
      <x:c r="J28" s="22" t="str">
        <x:v>Нет</x:v>
      </x:c>
      <x:c r="K28" s="22" t="str">
        <x:v>Нет; сохраняем свежесть</x:v>
      </x:c>
      <x:c r="L28" s="22" t="str">
        <x:v>R20, R21, R22</x:v>
      </x:c>
      <x:c r="M28" s="22" t="str">
        <x:v>Сравнить недели 1, 12 и 26: % четвёрок/пятёрок, лучшая связка шестёрки, минута просадки хвата, качество видео.</x:v>
      </x:c>
      <x:c r="N28" s="22" t="str">
        <x:v>Фингерборда и тяжёлого круга нет. Не рисковать плечом/коленом ради символического финала.</x:v>
      </x:c>
      <x:c r="O28" s="22" t="n">
        <x:f>COUNTIFS('Задачи'!$B$2:$B$1853,A28,'Задачи'!$M$2:$M$1853,"Обязательно")</x:f>
        <x:v>51</x:v>
      </x:c>
      <x:c r="P28" s="22" t="n">
        <x:f>COUNTIFS('Задачи'!$B$2:$B$1853,A28,'Задачи'!$M$2:$M$1853,"Обязательно",'Задачи'!$L$2:$L$1853,"☑ Готово")</x:f>
        <x:v>0</x:v>
      </x:c>
      <x:c r="Q28" s="41" t="n">
        <x:f>IFERROR(P28/O28,0)</x:f>
        <x:v>0</x:v>
      </x:c>
    </x:row>
  </x:sheetData>
  <x:conditionalFormatting sqref="Q2:Q2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6e73ef90794b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34" hidden="0" customWidth="1"/>
    <x:col min="4" max="4" width="12" hidden="0" customWidth="1"/>
    <x:col min="5" max="5" width="12" hidden="0" customWidth="1"/>
    <x:col min="6" max="6" width="32" hidden="0" customWidth="1"/>
    <x:col min="7" max="7" width="10" hidden="0" customWidth="1"/>
    <x:col min="8" max="8" width="10" hidden="0" customWidth="1"/>
    <x:col min="9" max="9" width="9" hidden="0" customWidth="1"/>
    <x:col min="10" max="10" width="22" hidden="0" customWidth="1"/>
    <x:col min="11" max="11" width="72" hidden="0" customWidth="1"/>
    <x:col min="12" max="12" width="24" hidden="0" customWidth="1"/>
    <x:col min="13" max="13" width="20" hidden="0" customWidth="1"/>
    <x:col min="14" max="14" width="28" hidden="0" customWidth="1"/>
    <x:col min="15" max="15" width="52" hidden="0" customWidth="1"/>
    <x:col min="16" max="16" width="52" hidden="0" customWidth="1"/>
    <x:col min="17" max="17" width="12" hidden="0" customWidth="1"/>
    <x:col min="18" max="18" width="38" hidden="0" customWidth="1"/>
  </x:cols>
  <x:sheetData>
    <x:row r="1" ht="30" customHeight="1">
      <x:c r="A1" s="16" t="str">
        <x:v>ID</x:v>
      </x:c>
      <x:c r="B1" s="17" t="str">
        <x:v>Неделя</x:v>
      </x:c>
      <x:c r="C1" s="17" t="str">
        <x:v>Этап</x:v>
      </x:c>
      <x:c r="D1" s="17" t="str">
        <x:v>Дата</x:v>
      </x:c>
      <x:c r="E1" s="17" t="str">
        <x:v>День</x:v>
      </x:c>
      <x:c r="F1" s="17" t="str">
        <x:v>Тип дня</x:v>
      </x:c>
      <x:c r="G1" s="17" t="str">
        <x:v>Начало</x:v>
      </x:c>
      <x:c r="H1" s="17" t="str">
        <x:v>Конец</x:v>
      </x:c>
      <x:c r="I1" s="17" t="str">
        <x:v>Минуты</x:v>
      </x:c>
      <x:c r="J1" s="17" t="str">
        <x:v>Категория</x:v>
      </x:c>
      <x:c r="K1" s="17" t="str">
        <x:v>Задача</x:v>
      </x:c>
      <x:c r="L1" s="17" t="str">
        <x:v>Статус</x:v>
      </x:c>
      <x:c r="M1" s="17" t="str">
        <x:v>Обязательность</x:v>
      </x:c>
      <x:c r="N1" s="17" t="str">
        <x:v>Интенсивность</x:v>
      </x:c>
      <x:c r="O1" s="17" t="str">
        <x:v>Осторожность</x:v>
      </x:c>
      <x:c r="P1" s="17" t="str">
        <x:v>Документ</x:v>
      </x:c>
      <x:c r="Q1" s="17" t="str">
        <x:v>Тип файла</x:v>
      </x:c>
      <x:c r="R1" s="18" t="str">
        <x:v>Заметки</x:v>
      </x:c>
    </x:row>
    <x:row r="2" ht="36" customHeight="1">
      <x:c r="A2" s="19" t="str">
        <x:v>W00-20260903-0001</x:v>
      </x:c>
      <x:c r="B2" s="13" t="n">
        <x:v>0</x:v>
      </x:c>
      <x:c r="C2" s="13" t="str">
        <x:v>Подготовка</x:v>
      </x:c>
      <x:c r="D2" s="138" t="str">
        <x:v>2026-09-03</x:v>
      </x:c>
      <x:c r="E2" s="13" t="str">
        <x:v>Четверг</x:v>
      </x:c>
      <x:c r="F2" s="13" t="str">
        <x:v>Подготовка</x:v>
      </x:c>
      <x:c r="G2" s="44" t="n">
        <x:v>0</x:v>
      </x:c>
      <x:c r="H2" s="44" t="n">
        <x:v>0.0020833333333333333</x:v>
      </x:c>
      <x:c r="I2" s="32" t="n">
        <x:f>ROUND((H2-G2)*1440,0)</x:f>
        <x:v>3</x:v>
      </x:c>
      <x:c r="J2" s="13" t="str">
        <x:v>Самопроверка</x:v>
      </x:c>
      <x:c r="K2" s="13" t="str">
        <x:v>Запиши исходное состояние: плечо, пальцы, правое колено 0–10; сон и энергия 1–5.</x:v>
      </x:c>
      <x:c r="L2" s="13" t="str">
        <x:v>☐ Не начато</x:v>
      </x:c>
      <x:c r="M2" s="13" t="str">
        <x:v>Обязательно</x:v>
      </x:c>
      <x:c r="N2" s="13" t="str">
        <x:v>Без нагрузки</x:v>
      </x:c>
      <x:c r="O2" s="13" t="str"/>
      <x:c r="P2" s="13" t="str">
        <x:v>00_START/PRESTART/01_THURSDAY_2026-09-03.md</x:v>
      </x:c>
      <x:c r="Q2" s="138" t="str">
        <x:v>Markdown</x:v>
      </x:c>
      <x:c r="R2" s="20" t="str"/>
    </x:row>
    <x:row r="3" ht="36" customHeight="1">
      <x:c r="A3" s="19" t="str">
        <x:v>W00-20260903-0002</x:v>
      </x:c>
      <x:c r="B3" s="13" t="n">
        <x:v>0</x:v>
      </x:c>
      <x:c r="C3" s="13" t="str">
        <x:v>Подготовка</x:v>
      </x:c>
      <x:c r="D3" s="138" t="str">
        <x:v>2026-09-03</x:v>
      </x:c>
      <x:c r="E3" s="13" t="str">
        <x:v>Четверг</x:v>
      </x:c>
      <x:c r="F3" s="13" t="str">
        <x:v>Подготовка</x:v>
      </x:c>
      <x:c r="G3" s="44" t="n">
        <x:v>0.0020833333333333333</x:v>
      </x:c>
      <x:c r="H3" s="44" t="n">
        <x:v>0.006944444444444444</x:v>
      </x:c>
      <x:c r="I3" s="32" t="n">
        <x:f>ROUND((H3-G3)*1440,0)</x:f>
        <x:v>7</x:v>
      </x:c>
      <x:c r="J3" s="13" t="str">
        <x:v>Организация</x:v>
      </x:c>
      <x:c r="K3" s="13" t="str">
        <x:v>Открой README, Excel и документ безопасности; выбери место хранения файлов на телефоне/компьютере.</x:v>
      </x:c>
      <x:c r="L3" s="13" t="str">
        <x:v>☐ Не начато</x:v>
      </x:c>
      <x:c r="M3" s="13" t="str">
        <x:v>Обязательно</x:v>
      </x:c>
      <x:c r="N3" s="13" t="str">
        <x:v>Без нагрузки</x:v>
      </x:c>
      <x:c r="O3" s="13" t="str"/>
      <x:c r="P3" s="13" t="str">
        <x:v>00_START/PRESTART/01_THURSDAY_2026-09-03.md</x:v>
      </x:c>
      <x:c r="Q3" s="138" t="str">
        <x:v>Markdown</x:v>
      </x:c>
      <x:c r="R3" s="20" t="str"/>
    </x:row>
    <x:row r="4" ht="36" customHeight="1">
      <x:c r="A4" s="19" t="str">
        <x:v>W00-20260903-0003</x:v>
      </x:c>
      <x:c r="B4" s="13" t="n">
        <x:v>0</x:v>
      </x:c>
      <x:c r="C4" s="13" t="str">
        <x:v>Подготовка</x:v>
      </x:c>
      <x:c r="D4" s="138" t="str">
        <x:v>2026-09-03</x:v>
      </x:c>
      <x:c r="E4" s="13" t="str">
        <x:v>Четверг</x:v>
      </x:c>
      <x:c r="F4" s="13" t="str">
        <x:v>Подготовка</x:v>
      </x:c>
      <x:c r="G4" s="44" t="n">
        <x:v>0.006944444444444444</x:v>
      </x:c>
      <x:c r="H4" s="44" t="n">
        <x:v>0.013888888888888888</x:v>
      </x:c>
      <x:c r="I4" s="32" t="n">
        <x:f>ROUND((H4-G4)*1440,0)</x:f>
        <x:v>10</x:v>
      </x:c>
      <x:c r="J4" s="13" t="str">
        <x:v>Настройка трекера</x:v>
      </x:c>
      <x:c r="K4" s="13" t="str">
        <x:v>В Excel открой лист «Задачи», попробуй изменить один статус на `☑ Готово`, затем верни его в `☐ Не начато`.</x:v>
      </x:c>
      <x:c r="L4" s="13" t="str">
        <x:v>☐ Не начато</x:v>
      </x:c>
      <x:c r="M4" s="13" t="str">
        <x:v>Обязательно</x:v>
      </x:c>
      <x:c r="N4" s="13" t="str">
        <x:v>Без нагрузки</x:v>
      </x:c>
      <x:c r="O4" s="13" t="str"/>
      <x:c r="P4" s="13" t="str">
        <x:v>00_START/PRESTART/01_THURSDAY_2026-09-03.md</x:v>
      </x:c>
      <x:c r="Q4" s="138" t="str">
        <x:v>Markdown</x:v>
      </x:c>
      <x:c r="R4" s="20" t="str"/>
    </x:row>
    <x:row r="5" ht="36" customHeight="1">
      <x:c r="A5" s="19" t="str">
        <x:v>W00-20260903-0004</x:v>
      </x:c>
      <x:c r="B5" s="13" t="n">
        <x:v>0</x:v>
      </x:c>
      <x:c r="C5" s="13" t="str">
        <x:v>Подготовка</x:v>
      </x:c>
      <x:c r="D5" s="138" t="str">
        <x:v>2026-09-03</x:v>
      </x:c>
      <x:c r="E5" s="13" t="str">
        <x:v>Четверг</x:v>
      </x:c>
      <x:c r="F5" s="13" t="str">
        <x:v>Подготовка</x:v>
      </x:c>
      <x:c r="G5" s="44" t="n">
        <x:v>0.013888888888888888</x:v>
      </x:c>
      <x:c r="H5" s="44" t="n">
        <x:v>0.019444444444444445</x:v>
      </x:c>
      <x:c r="I5" s="32" t="n">
        <x:f>ROUND((H5-G5)*1440,0)</x:f>
        <x:v>8</x:v>
      </x:c>
      <x:c r="J5" s="13" t="str">
        <x:v>BETA7</x:v>
      </x:c>
      <x:c r="K5" s="13" t="str">
        <x:v>Открой официальную страницу BETA7, установи/настрой приложение и проверь, что умеешь сохранить трассу.</x:v>
      </x:c>
      <x:c r="L5" s="13" t="str">
        <x:v>☐ Не начато</x:v>
      </x:c>
      <x:c r="M5" s="13" t="str">
        <x:v>Обязательно</x:v>
      </x:c>
      <x:c r="N5" s="13" t="str">
        <x:v>Без нагрузки</x:v>
      </x:c>
      <x:c r="O5" s="13" t="str"/>
      <x:c r="P5" s="13" t="str">
        <x:v>00_START/PRESTART/01_THURSDAY_2026-09-03.md</x:v>
      </x:c>
      <x:c r="Q5" s="138" t="str">
        <x:v>Markdown</x:v>
      </x:c>
      <x:c r="R5" s="20" t="str"/>
    </x:row>
    <x:row r="6" ht="36" customHeight="1">
      <x:c r="A6" s="19" t="str">
        <x:v>W00-20260903-0005</x:v>
      </x:c>
      <x:c r="B6" s="13" t="n">
        <x:v>0</x:v>
      </x:c>
      <x:c r="C6" s="13" t="str">
        <x:v>Подготовка</x:v>
      </x:c>
      <x:c r="D6" s="138" t="str">
        <x:v>2026-09-03</x:v>
      </x:c>
      <x:c r="E6" s="13" t="str">
        <x:v>Четверг</x:v>
      </x:c>
      <x:c r="F6" s="13" t="str">
        <x:v>Подготовка</x:v>
      </x:c>
      <x:c r="G6" s="44" t="n">
        <x:v>0.019444444444444445</x:v>
      </x:c>
      <x:c r="H6" s="44" t="n">
        <x:v>0.024305555555555556</x:v>
      </x:c>
      <x:c r="I6" s="32" t="n">
        <x:f>ROUND((H6-G6)*1440,0)</x:f>
        <x:v>7</x:v>
      </x:c>
      <x:c r="J6" s="13" t="str">
        <x:v>Календарь</x:v>
      </x:c>
      <x:c r="K6" s="13" t="str">
        <x:v>Защити окна 8 и 10 сентября для тренировок A/B; воскресенье 13 сентября оставь бонусным.</x:v>
      </x:c>
      <x:c r="L6" s="13" t="str">
        <x:v>☐ Не начато</x:v>
      </x:c>
      <x:c r="M6" s="13" t="str">
        <x:v>Обязательно</x:v>
      </x:c>
      <x:c r="N6" s="13" t="str">
        <x:v>Без нагрузки</x:v>
      </x:c>
      <x:c r="O6" s="13" t="str"/>
      <x:c r="P6" s="13" t="str">
        <x:v>00_START/PRESTART/01_THURSDAY_2026-09-03.md</x:v>
      </x:c>
      <x:c r="Q6" s="138" t="str">
        <x:v>Markdown</x:v>
      </x:c>
      <x:c r="R6" s="20" t="str"/>
    </x:row>
    <x:row r="7" ht="36" customHeight="1">
      <x:c r="A7" s="19" t="str">
        <x:v>W00-20260903-0006</x:v>
      </x:c>
      <x:c r="B7" s="13" t="n">
        <x:v>0</x:v>
      </x:c>
      <x:c r="C7" s="13" t="str">
        <x:v>Подготовка</x:v>
      </x:c>
      <x:c r="D7" s="138" t="str">
        <x:v>2026-09-03</x:v>
      </x:c>
      <x:c r="E7" s="13" t="str">
        <x:v>Четверг</x:v>
      </x:c>
      <x:c r="F7" s="13" t="str">
        <x:v>Подготовка</x:v>
      </x:c>
      <x:c r="G7" s="44" t="n">
        <x:v>0.024305555555555556</x:v>
      </x:c>
      <x:c r="H7" s="44" t="n">
        <x:v>0.03819444444444445</x:v>
      </x:c>
      <x:c r="I7" s="32" t="n">
        <x:f>ROUND((H7-G7)*1440,0)</x:f>
        <x:v>20</x:v>
      </x:c>
      <x:c r="J7" s="13" t="str">
        <x:v>Физиотерапия</x:v>
      </x:c>
      <x:c r="K7" s="13" t="str">
        <x:v>Выполни свой назначенный комплекс, если сегодня его день.</x:v>
      </x:c>
      <x:c r="L7" s="13" t="str">
        <x:v>☐ Не начато</x:v>
      </x:c>
      <x:c r="M7" s="13" t="str">
        <x:v>По назначению</x:v>
      </x:c>
      <x:c r="N7" s="13" t="str">
        <x:v>По назначению</x:v>
      </x:c>
      <x:c r="O7" s="13" t="str">
        <x:v>Назначения физиотерапевта имеют приоритет.</x:v>
      </x:c>
      <x:c r="P7" s="13" t="str">
        <x:v>00_START/PRESTART/01_THURSDAY_2026-09-03.md</x:v>
      </x:c>
      <x:c r="Q7" s="138" t="str">
        <x:v>Markdown</x:v>
      </x:c>
      <x:c r="R7" s="20" t="str"/>
    </x:row>
    <x:row r="8" ht="36" customHeight="1">
      <x:c r="A8" s="19" t="str">
        <x:v>W00-20260904-0007</x:v>
      </x:c>
      <x:c r="B8" s="13" t="n">
        <x:v>0</x:v>
      </x:c>
      <x:c r="C8" s="13" t="str">
        <x:v>Подготовка</x:v>
      </x:c>
      <x:c r="D8" s="138" t="str">
        <x:v>2026-09-04</x:v>
      </x:c>
      <x:c r="E8" s="13" t="str">
        <x:v>Пятница</x:v>
      </x:c>
      <x:c r="F8" s="13" t="str">
        <x:v>Подготовка</x:v>
      </x:c>
      <x:c r="G8" s="44" t="n">
        <x:v>0</x:v>
      </x:c>
      <x:c r="H8" s="44" t="n">
        <x:v>0.006944444444444444</x:v>
      </x:c>
      <x:c r="I8" s="32" t="n">
        <x:f>ROUND((H8-G8)*1440,0)</x:f>
        <x:v>10</x:v>
      </x:c>
      <x:c r="J8" s="13" t="str">
        <x:v>Теория</x:v>
      </x:c>
      <x:c r="K8" s="13" t="str">
        <x:v>Посмотри BMC-материал по разминке и выпиши четыре этапа: температура → суставы → лёгкое лазание → постепенная нагрузка пальцев.</x:v>
      </x:c>
      <x:c r="L8" s="13" t="str">
        <x:v>☐ Не начато</x:v>
      </x:c>
      <x:c r="M8" s="13" t="str">
        <x:v>Обязательно</x:v>
      </x:c>
      <x:c r="N8" s="13" t="str">
        <x:v>Без нагрузки</x:v>
      </x:c>
      <x:c r="O8" s="13" t="str"/>
      <x:c r="P8" s="13" t="str">
        <x:v>00_START/PRESTART/02_FRIDAY_2026-09-04.md</x:v>
      </x:c>
      <x:c r="Q8" s="138" t="str">
        <x:v>Markdown</x:v>
      </x:c>
      <x:c r="R8" s="20" t="str"/>
    </x:row>
    <x:row r="9" ht="36" customHeight="1">
      <x:c r="A9" s="19" t="str">
        <x:v>W00-20260904-0008</x:v>
      </x:c>
      <x:c r="B9" s="13" t="n">
        <x:v>0</x:v>
      </x:c>
      <x:c r="C9" s="13" t="str">
        <x:v>Подготовка</x:v>
      </x:c>
      <x:c r="D9" s="138" t="str">
        <x:v>2026-09-04</x:v>
      </x:c>
      <x:c r="E9" s="13" t="str">
        <x:v>Пятница</x:v>
      </x:c>
      <x:c r="F9" s="13" t="str">
        <x:v>Подготовка</x:v>
      </x:c>
      <x:c r="G9" s="44" t="n">
        <x:v>0.006944444444444444</x:v>
      </x:c>
      <x:c r="H9" s="44" t="n">
        <x:v>0.0125</x:v>
      </x:c>
      <x:c r="I9" s="32" t="n">
        <x:f>ROUND((H9-G9)*1440,0)</x:f>
        <x:v>8</x:v>
      </x:c>
      <x:c r="J9" s="13" t="str">
        <x:v>Инвентарь</x:v>
      </x:c>
      <x:c r="K9" s="13" t="str">
        <x:v>Проверь: скальники, магнезия, щётка, вода, телефон, свободная память, таймер.</x:v>
      </x:c>
      <x:c r="L9" s="13" t="str">
        <x:v>☐ Не начато</x:v>
      </x:c>
      <x:c r="M9" s="13" t="str">
        <x:v>Обязательно</x:v>
      </x:c>
      <x:c r="N9" s="13" t="str">
        <x:v>Без нагрузки</x:v>
      </x:c>
      <x:c r="O9" s="13" t="str"/>
      <x:c r="P9" s="13" t="str">
        <x:v>00_START/PRESTART/02_FRIDAY_2026-09-04.md</x:v>
      </x:c>
      <x:c r="Q9" s="138" t="str">
        <x:v>Markdown</x:v>
      </x:c>
      <x:c r="R9" s="20" t="str"/>
    </x:row>
    <x:row r="10" ht="36" customHeight="1">
      <x:c r="A10" s="19" t="str">
        <x:v>W00-20260904-0009</x:v>
      </x:c>
      <x:c r="B10" s="13" t="n">
        <x:v>0</x:v>
      </x:c>
      <x:c r="C10" s="13" t="str">
        <x:v>Подготовка</x:v>
      </x:c>
      <x:c r="D10" s="138" t="str">
        <x:v>2026-09-04</x:v>
      </x:c>
      <x:c r="E10" s="13" t="str">
        <x:v>Пятница</x:v>
      </x:c>
      <x:c r="F10" s="13" t="str">
        <x:v>Подготовка</x:v>
      </x:c>
      <x:c r="G10" s="44" t="n">
        <x:v>0.0125</x:v>
      </x:c>
      <x:c r="H10" s="44" t="n">
        <x:v>0.019444444444444445</x:v>
      </x:c>
      <x:c r="I10" s="32" t="n">
        <x:f>ROUND((H10-G10)*1440,0)</x:f>
        <x:v>10</x:v>
      </x:c>
      <x:c r="J10" s="13" t="str">
        <x:v>Покупка</x:v>
      </x:c>
      <x:c r="K10" s="13" t="str">
        <x:v>Закажи/купи простой мини-штатив или зажим и маленькую щётку. Не покупай домашний фингерборд или grip trainer.</x:v>
      </x:c>
      <x:c r="L10" s="13" t="str">
        <x:v>☐ Не начато</x:v>
      </x:c>
      <x:c r="M10" s="13" t="str">
        <x:v>Опционально</x:v>
      </x:c>
      <x:c r="N10" s="13" t="str">
        <x:v>Без нагрузки</x:v>
      </x:c>
      <x:c r="O10" s="13" t="str"/>
      <x:c r="P10" s="13" t="str">
        <x:v>00_START/PRESTART/02_FRIDAY_2026-09-04.md</x:v>
      </x:c>
      <x:c r="Q10" s="138" t="str">
        <x:v>Markdown</x:v>
      </x:c>
      <x:c r="R10" s="20" t="str"/>
    </x:row>
    <x:row r="11" ht="36" customHeight="1">
      <x:c r="A11" s="19" t="str">
        <x:v>W00-20260904-0010</x:v>
      </x:c>
      <x:c r="B11" s="13" t="n">
        <x:v>0</x:v>
      </x:c>
      <x:c r="C11" s="13" t="str">
        <x:v>Подготовка</x:v>
      </x:c>
      <x:c r="D11" s="138" t="str">
        <x:v>2026-09-04</x:v>
      </x:c>
      <x:c r="E11" s="13" t="str">
        <x:v>Пятница</x:v>
      </x:c>
      <x:c r="F11" s="13" t="str">
        <x:v>Подготовка</x:v>
      </x:c>
      <x:c r="G11" s="44" t="n">
        <x:v>0.019444444444444445</x:v>
      </x:c>
      <x:c r="H11" s="44" t="n">
        <x:v>0.027777777777777776</x:v>
      </x:c>
      <x:c r="I11" s="32" t="n">
        <x:f>ROUND((H11-G11)*1440,0)</x:f>
        <x:v>12</x:v>
      </x:c>
      <x:c r="J11" s="13" t="str">
        <x:v>Домашняя мобильность</x:v>
      </x:c>
      <x:c r="K11" s="13" t="str">
        <x:v>Выполни H1 из библиотеки: таз, корпус и точность стоп, 12 минут.</x:v>
      </x:c>
      <x:c r="L11" s="13" t="str">
        <x:v>☐ Не начато</x:v>
      </x:c>
      <x:c r="M11" s="13" t="str">
        <x:v>Обязательно</x:v>
      </x:c>
      <x:c r="N11" s="13" t="str">
        <x:v>RPE 2–3</x:v>
      </x:c>
      <x:c r="O11" s="13" t="str">
        <x:v>Правое колено остаётся спокойным.</x:v>
      </x:c>
      <x:c r="P11" s="13" t="str">
        <x:v>00_START/PRESTART/02_FRIDAY_2026-09-04.md</x:v>
      </x:c>
      <x:c r="Q11" s="138" t="str">
        <x:v>Markdown</x:v>
      </x:c>
      <x:c r="R11" s="20" t="str"/>
    </x:row>
    <x:row r="12" ht="36" customHeight="1">
      <x:c r="A12" s="19" t="str">
        <x:v>W00-20260904-0011</x:v>
      </x:c>
      <x:c r="B12" s="13" t="n">
        <x:v>0</x:v>
      </x:c>
      <x:c r="C12" s="13" t="str">
        <x:v>Подготовка</x:v>
      </x:c>
      <x:c r="D12" s="138" t="str">
        <x:v>2026-09-04</x:v>
      </x:c>
      <x:c r="E12" s="13" t="str">
        <x:v>Пятница</x:v>
      </x:c>
      <x:c r="F12" s="13" t="str">
        <x:v>Подготовка</x:v>
      </x:c>
      <x:c r="G12" s="44" t="n">
        <x:v>0.027777777777777776</x:v>
      </x:c>
      <x:c r="H12" s="44" t="n">
        <x:v>0.041666666666666664</x:v>
      </x:c>
      <x:c r="I12" s="32" t="n">
        <x:f>ROUND((H12-G12)*1440,0)</x:f>
        <x:v>20</x:v>
      </x:c>
      <x:c r="J12" s="13" t="str">
        <x:v>Физиотерапия</x:v>
      </x:c>
      <x:c r="K12" s="13" t="str">
        <x:v>Выполни свой назначенный комплекс, если пятница входит в его расписание.</x:v>
      </x:c>
      <x:c r="L12" s="13" t="str">
        <x:v>☐ Не начато</x:v>
      </x:c>
      <x:c r="M12" s="13" t="str">
        <x:v>По назначению</x:v>
      </x:c>
      <x:c r="N12" s="13" t="str">
        <x:v>По назначению</x:v>
      </x:c>
      <x:c r="O12" s="13" t="str"/>
      <x:c r="P12" s="13" t="str">
        <x:v>00_START/PRESTART/02_FRIDAY_2026-09-04.md</x:v>
      </x:c>
      <x:c r="Q12" s="138" t="str">
        <x:v>Markdown</x:v>
      </x:c>
      <x:c r="R12" s="20" t="str"/>
    </x:row>
    <x:row r="13" ht="36" customHeight="1">
      <x:c r="A13" s="19" t="str">
        <x:v>W00-20260905-0012</x:v>
      </x:c>
      <x:c r="B13" s="13" t="n">
        <x:v>0</x:v>
      </x:c>
      <x:c r="C13" s="13" t="str">
        <x:v>Подготовка</x:v>
      </x:c>
      <x:c r="D13" s="138" t="str">
        <x:v>2026-09-05</x:v>
      </x:c>
      <x:c r="E13" s="13" t="str">
        <x:v>Суббота</x:v>
      </x:c>
      <x:c r="F13" s="13" t="str">
        <x:v>Подготовка</x:v>
      </x:c>
      <x:c r="G13" s="44" t="n">
        <x:v>0</x:v>
      </x:c>
      <x:c r="H13" s="44" t="n">
        <x:v>0.003472222222222222</x:v>
      </x:c>
      <x:c r="I13" s="32" t="n">
        <x:f>ROUND((H13-G13)*1440,0)</x:f>
        <x:v>5</x:v>
      </x:c>
      <x:c r="J13" s="13" t="str">
        <x:v>Самопроверка</x:v>
      </x:c>
      <x:c r="K13" s="13" t="str">
        <x:v>Проверь кожу пальцев и подстриги только мешающие длинные ногти; никаких тестовых висов.</x:v>
      </x:c>
      <x:c r="L13" s="13" t="str">
        <x:v>☐ Не начато</x:v>
      </x:c>
      <x:c r="M13" s="13" t="str">
        <x:v>Обязательно</x:v>
      </x:c>
      <x:c r="N13" s="13" t="str">
        <x:v>Восстановление</x:v>
      </x:c>
      <x:c r="O13" s="13" t="str"/>
      <x:c r="P13" s="13" t="str">
        <x:v>00_START/PRESTART/03_SATURDAY_2026-09-05.md</x:v>
      </x:c>
      <x:c r="Q13" s="138" t="str">
        <x:v>Markdown</x:v>
      </x:c>
      <x:c r="R13" s="20" t="str"/>
    </x:row>
    <x:row r="14" ht="36" customHeight="1">
      <x:c r="A14" s="19" t="str">
        <x:v>W00-20260905-0013</x:v>
      </x:c>
      <x:c r="B14" s="13" t="n">
        <x:v>0</x:v>
      </x:c>
      <x:c r="C14" s="13" t="str">
        <x:v>Подготовка</x:v>
      </x:c>
      <x:c r="D14" s="138" t="str">
        <x:v>2026-09-05</x:v>
      </x:c>
      <x:c r="E14" s="13" t="str">
        <x:v>Суббота</x:v>
      </x:c>
      <x:c r="F14" s="13" t="str">
        <x:v>Подготовка</x:v>
      </x:c>
      <x:c r="G14" s="44" t="n">
        <x:v>0.003472222222222222</x:v>
      </x:c>
      <x:c r="H14" s="44" t="n">
        <x:v>0.010416666666666666</x:v>
      </x:c>
      <x:c r="I14" s="32" t="n">
        <x:f>ROUND((H14-G14)*1440,0)</x:f>
        <x:v>10</x:v>
      </x:c>
      <x:c r="J14" s="13" t="str">
        <x:v>Подготовка видео</x:v>
      </x:c>
      <x:c r="K14" s="13" t="str">
        <x:v>Поставь телефон/штатив дома и проверь ракурс: в кадре условно должны помещаться пол, верх стены и всё тело.</x:v>
      </x:c>
      <x:c r="L14" s="13" t="str">
        <x:v>☐ Не начато</x:v>
      </x:c>
      <x:c r="M14" s="13" t="str">
        <x:v>Обязательно</x:v>
      </x:c>
      <x:c r="N14" s="13" t="str">
        <x:v>Без нагрузки</x:v>
      </x:c>
      <x:c r="O14" s="13" t="str">
        <x:v>Не ставить телефон в будущую зону падения.</x:v>
      </x:c>
      <x:c r="P14" s="13" t="str">
        <x:v>00_START/PRESTART/03_SATURDAY_2026-09-05.md</x:v>
      </x:c>
      <x:c r="Q14" s="138" t="str">
        <x:v>Markdown</x:v>
      </x:c>
      <x:c r="R14" s="20" t="str"/>
    </x:row>
    <x:row r="15" ht="36" customHeight="1">
      <x:c r="A15" s="19" t="str">
        <x:v>W00-20260905-0014</x:v>
      </x:c>
      <x:c r="B15" s="13" t="n">
        <x:v>0</x:v>
      </x:c>
      <x:c r="C15" s="13" t="str">
        <x:v>Подготовка</x:v>
      </x:c>
      <x:c r="D15" s="138" t="str">
        <x:v>2026-09-05</x:v>
      </x:c>
      <x:c r="E15" s="13" t="str">
        <x:v>Суббота</x:v>
      </x:c>
      <x:c r="F15" s="13" t="str">
        <x:v>Подготовка</x:v>
      </x:c>
      <x:c r="G15" s="44" t="n">
        <x:v>0.010416666666666666</x:v>
      </x:c>
      <x:c r="H15" s="44" t="n">
        <x:v>0.017361111111111112</x:v>
      </x:c>
      <x:c r="I15" s="32" t="n">
        <x:f>ROUND((H15-G15)*1440,0)</x:f>
        <x:v>10</x:v>
      </x:c>
      <x:c r="J15" s="13" t="str">
        <x:v>Активное восстановление</x:v>
      </x:c>
      <x:c r="K15" s="13" t="str">
        <x:v>10 минут спокойной прогулки.</x:v>
      </x:c>
      <x:c r="L15" s="13" t="str">
        <x:v>☐ Не начато</x:v>
      </x:c>
      <x:c r="M15" s="13" t="str">
        <x:v>Обязательно</x:v>
      </x:c>
      <x:c r="N15" s="13" t="str">
        <x:v>RPE 1–2</x:v>
      </x:c>
      <x:c r="O15" s="13" t="str"/>
      <x:c r="P15" s="13" t="str">
        <x:v>00_START/PRESTART/03_SATURDAY_2026-09-05.md</x:v>
      </x:c>
      <x:c r="Q15" s="138" t="str">
        <x:v>Markdown</x:v>
      </x:c>
      <x:c r="R15" s="20" t="str"/>
    </x:row>
    <x:row r="16" ht="36" customHeight="1">
      <x:c r="A16" s="19" t="str">
        <x:v>W00-20260905-0015</x:v>
      </x:c>
      <x:c r="B16" s="13" t="n">
        <x:v>0</x:v>
      </x:c>
      <x:c r="C16" s="13" t="str">
        <x:v>Подготовка</x:v>
      </x:c>
      <x:c r="D16" s="138" t="str">
        <x:v>2026-09-05</x:v>
      </x:c>
      <x:c r="E16" s="13" t="str">
        <x:v>Суббота</x:v>
      </x:c>
      <x:c r="F16" s="13" t="str">
        <x:v>Подготовка</x:v>
      </x:c>
      <x:c r="G16" s="44" t="n">
        <x:v>0.017361111111111112</x:v>
      </x:c>
      <x:c r="H16" s="44" t="n">
        <x:v>0.022222222222222223</x:v>
      </x:c>
      <x:c r="I16" s="32" t="n">
        <x:f>ROUND((H16-G16)*1440,0)</x:f>
        <x:v>7</x:v>
      </x:c>
      <x:c r="J16" s="13" t="str">
        <x:v>Чтение плана</x:v>
      </x:c>
      <x:c r="K16" s="13" t="str">
        <x:v>Прочитай правила выбора трасс и переноса дней.</x:v>
      </x:c>
      <x:c r="L16" s="13" t="str">
        <x:v>☐ Не начато</x:v>
      </x:c>
      <x:c r="M16" s="13" t="str">
        <x:v>Обязательно</x:v>
      </x:c>
      <x:c r="N16" s="13" t="str">
        <x:v>Без нагрузки</x:v>
      </x:c>
      <x:c r="O16" s="13" t="str"/>
      <x:c r="P16" s="13" t="str">
        <x:v>00_START/PRESTART/03_SATURDAY_2026-09-05.md</x:v>
      </x:c>
      <x:c r="Q16" s="138" t="str">
        <x:v>Markdown</x:v>
      </x:c>
      <x:c r="R16" s="20" t="str"/>
    </x:row>
    <x:row r="17" ht="36" customHeight="1">
      <x:c r="A17" s="19" t="str">
        <x:v>W00-20260905-0016</x:v>
      </x:c>
      <x:c r="B17" s="13" t="n">
        <x:v>0</x:v>
      </x:c>
      <x:c r="C17" s="13" t="str">
        <x:v>Подготовка</x:v>
      </x:c>
      <x:c r="D17" s="138" t="str">
        <x:v>2026-09-05</x:v>
      </x:c>
      <x:c r="E17" s="13" t="str">
        <x:v>Суббота</x:v>
      </x:c>
      <x:c r="F17" s="13" t="str">
        <x:v>Подготовка</x:v>
      </x:c>
      <x:c r="G17" s="44" t="n">
        <x:v>0.022222222222222223</x:v>
      </x:c>
      <x:c r="H17" s="44" t="n">
        <x:v>0.024305555555555556</x:v>
      </x:c>
      <x:c r="I17" s="32" t="n">
        <x:f>ROUND((H17-G17)*1440,0)</x:f>
        <x:v>3</x:v>
      </x:c>
      <x:c r="J17" s="13" t="str">
        <x:v>Подготовка</x:v>
      </x:c>
      <x:c r="K17" s="13" t="str">
        <x:v>Собери сумку к воскресенью или вторнику; сегодня хват не тренируется.</x:v>
      </x:c>
      <x:c r="L17" s="13" t="str">
        <x:v>☐ Не начато</x:v>
      </x:c>
      <x:c r="M17" s="13" t="str">
        <x:v>Обязательно</x:v>
      </x:c>
      <x:c r="N17" s="13" t="str">
        <x:v>Восстановление</x:v>
      </x:c>
      <x:c r="O17" s="13" t="str"/>
      <x:c r="P17" s="13" t="str">
        <x:v>00_START/PRESTART/03_SATURDAY_2026-09-05.md</x:v>
      </x:c>
      <x:c r="Q17" s="138" t="str">
        <x:v>Markdown</x:v>
      </x:c>
      <x:c r="R17" s="20" t="str"/>
    </x:row>
    <x:row r="18" ht="36" customHeight="1">
      <x:c r="A18" s="19" t="str">
        <x:v>W00-20260906-0017</x:v>
      </x:c>
      <x:c r="B18" s="13" t="n">
        <x:v>0</x:v>
      </x:c>
      <x:c r="C18" s="13" t="str">
        <x:v>Подготовка</x:v>
      </x:c>
      <x:c r="D18" s="138" t="str">
        <x:v>2026-09-06</x:v>
      </x:c>
      <x:c r="E18" s="13" t="str">
        <x:v>Воскресенье</x:v>
      </x:c>
      <x:c r="F18" s="13" t="str">
        <x:v>Подготовка</x:v>
      </x:c>
      <x:c r="G18" s="44" t="n">
        <x:v>0</x:v>
      </x:c>
      <x:c r="H18" s="44" t="n">
        <x:v>0.0020833333333333333</x:v>
      </x:c>
      <x:c r="I18" s="32" t="n">
        <x:f>ROUND((H18-G18)*1440,0)</x:f>
        <x:v>3</x:v>
      </x:c>
      <x:c r="J18" s="13" t="str">
        <x:v>Выбор сценария</x:v>
      </x:c>
      <x:c r="K18" s="13" t="str">
        <x:v>Выбери: лёгкая fun-сессия до 60 минут или полный отдых. Оба варианта считаются выполнением подготовки.</x:v>
      </x:c>
      <x:c r="L18" s="13" t="str">
        <x:v>☐ Не начато</x:v>
      </x:c>
      <x:c r="M18" s="13" t="str">
        <x:v>Выбрать один сценарий</x:v>
      </x:c>
      <x:c r="N18" s="13" t="str">
        <x:v>По состоянию</x:v>
      </x:c>
      <x:c r="O18" s="13" t="str"/>
      <x:c r="P18" s="13" t="str">
        <x:v>00_START/PRESTART/04_SUNDAY_2026-09-06.md</x:v>
      </x:c>
      <x:c r="Q18" s="138" t="str">
        <x:v>Markdown</x:v>
      </x:c>
      <x:c r="R18" s="20" t="str"/>
    </x:row>
    <x:row r="19" ht="36" customHeight="1">
      <x:c r="A19" s="19" t="str">
        <x:v>W00-20260906-0018</x:v>
      </x:c>
      <x:c r="B19" s="13" t="n">
        <x:v>0</x:v>
      </x:c>
      <x:c r="C19" s="13" t="str">
        <x:v>Подготовка</x:v>
      </x:c>
      <x:c r="D19" s="138" t="str">
        <x:v>2026-09-06</x:v>
      </x:c>
      <x:c r="E19" s="13" t="str">
        <x:v>Воскресенье</x:v>
      </x:c>
      <x:c r="F19" s="13" t="str">
        <x:v>Подготовка</x:v>
      </x:c>
      <x:c r="G19" s="44" t="n">
        <x:v>0.0020833333333333333</x:v>
      </x:c>
      <x:c r="H19" s="44" t="n">
        <x:v>0.010416666666666666</x:v>
      </x:c>
      <x:c r="I19" s="32" t="n">
        <x:f>ROUND((H19-G19)*1440,0)</x:f>
        <x:v>12</x:v>
      </x:c>
      <x:c r="J19" s="13" t="str">
        <x:v>Разминка в зале</x:v>
      </x:c>
      <x:c r="K19" s="13" t="str">
        <x:v>При fun-сессии выполни 12 минут постепенной разминки и только лёгкие трассы.</x:v>
      </x:c>
      <x:c r="L19" s="13" t="str">
        <x:v>☐ Не начато</x:v>
      </x:c>
      <x:c r="M19" s="13" t="str">
        <x:v>Опционально</x:v>
      </x:c>
      <x:c r="N19" s="13" t="str">
        <x:v>RPE 2–3</x:v>
      </x:c>
      <x:c r="O19" s="13" t="str">
        <x:v>Плечевой press/mantle пропустить.</x:v>
      </x:c>
      <x:c r="P19" s="13" t="str">
        <x:v>00_START/PRESTART/04_SUNDAY_2026-09-06.md</x:v>
      </x:c>
      <x:c r="Q19" s="138" t="str">
        <x:v>Markdown</x:v>
      </x:c>
      <x:c r="R19" s="20" t="str"/>
    </x:row>
    <x:row r="20" ht="36" customHeight="1">
      <x:c r="A20" s="19" t="str">
        <x:v>W00-20260906-0019</x:v>
      </x:c>
      <x:c r="B20" s="13" t="n">
        <x:v>0</x:v>
      </x:c>
      <x:c r="C20" s="13" t="str">
        <x:v>Подготовка</x:v>
      </x:c>
      <x:c r="D20" s="138" t="str">
        <x:v>2026-09-06</x:v>
      </x:c>
      <x:c r="E20" s="13" t="str">
        <x:v>Воскресенье</x:v>
      </x:c>
      <x:c r="F20" s="13" t="str">
        <x:v>Подготовка</x:v>
      </x:c>
      <x:c r="G20" s="44" t="n">
        <x:v>0.010416666666666666</x:v>
      </x:c>
      <x:c r="H20" s="44" t="n">
        <x:v>0.03125</x:v>
      </x:c>
      <x:c r="I20" s="32" t="n">
        <x:f>ROUND((H20-G20)*1440,0)</x:f>
        <x:v>30</x:v>
      </x:c>
      <x:c r="J20" s="13" t="str">
        <x:v>Лёгкое лазание</x:v>
      </x:c>
      <x:c r="K20" s="13" t="str">
        <x:v>Лазай по уровням 1–3, максимум несколько комфортных четвёрок; не тестируй максимум хвата.</x:v>
      </x:c>
      <x:c r="L20" s="13" t="str">
        <x:v>☐ Не начато</x:v>
      </x:c>
      <x:c r="M20" s="13" t="str">
        <x:v>Опционально</x:v>
      </x:c>
      <x:c r="N20" s="13" t="str">
        <x:v>RPE 3–6</x:v>
      </x:c>
      <x:c r="O20" s="13" t="str"/>
      <x:c r="P20" s="13" t="str">
        <x:v>00_START/PRESTART/04_SUNDAY_2026-09-06.md</x:v>
      </x:c>
      <x:c r="Q20" s="138" t="str">
        <x:v>Markdown</x:v>
      </x:c>
      <x:c r="R20" s="20" t="str"/>
    </x:row>
    <x:row r="21" ht="36" customHeight="1">
      <x:c r="A21" s="19" t="str">
        <x:v>W00-20260906-0020</x:v>
      </x:c>
      <x:c r="B21" s="13" t="n">
        <x:v>0</x:v>
      </x:c>
      <x:c r="C21" s="13" t="str">
        <x:v>Подготовка</x:v>
      </x:c>
      <x:c r="D21" s="138" t="str">
        <x:v>2026-09-06</x:v>
      </x:c>
      <x:c r="E21" s="13" t="str">
        <x:v>Воскресенье</x:v>
      </x:c>
      <x:c r="F21" s="13" t="str">
        <x:v>Подготовка</x:v>
      </x:c>
      <x:c r="G21" s="44" t="n">
        <x:v>0.03125</x:v>
      </x:c>
      <x:c r="H21" s="44" t="n">
        <x:v>0.03819444444444445</x:v>
      </x:c>
      <x:c r="I21" s="32" t="n">
        <x:f>ROUND((H21-G21)*1440,0)</x:f>
        <x:v>10</x:v>
      </x:c>
      <x:c r="J21" s="13" t="str">
        <x:v>Знакомство с логом</x:v>
      </x:c>
      <x:c r="K21" s="13" t="str">
        <x:v>Сохрани 1–2 трассы в BETA7/листе «Маршруты»; сними одну простую трассу целиком.</x:v>
      </x:c>
      <x:c r="L21" s="13" t="str">
        <x:v>☐ Не начато</x:v>
      </x:c>
      <x:c r="M21" s="13" t="str">
        <x:v>Опционально</x:v>
      </x:c>
      <x:c r="N21" s="13" t="str">
        <x:v>Очень легко</x:v>
      </x:c>
      <x:c r="O21" s="13" t="str"/>
      <x:c r="P21" s="13" t="str">
        <x:v>00_START/PRESTART/04_SUNDAY_2026-09-06.md</x:v>
      </x:c>
      <x:c r="Q21" s="138" t="str">
        <x:v>Markdown</x:v>
      </x:c>
      <x:c r="R21" s="20" t="str"/>
    </x:row>
    <x:row r="22" ht="36" customHeight="1">
      <x:c r="A22" s="19" t="str">
        <x:v>W00-20260906-0021</x:v>
      </x:c>
      <x:c r="B22" s="13" t="n">
        <x:v>0</x:v>
      </x:c>
      <x:c r="C22" s="13" t="str">
        <x:v>Подготовка</x:v>
      </x:c>
      <x:c r="D22" s="138" t="str">
        <x:v>2026-09-06</x:v>
      </x:c>
      <x:c r="E22" s="13" t="str">
        <x:v>Воскресенье</x:v>
      </x:c>
      <x:c r="F22" s="13" t="str">
        <x:v>Подготовка</x:v>
      </x:c>
      <x:c r="G22" s="44" t="n">
        <x:v>0.03819444444444445</x:v>
      </x:c>
      <x:c r="H22" s="44" t="n">
        <x:v>0.041666666666666664</x:v>
      </x:c>
      <x:c r="I22" s="32" t="n">
        <x:f>ROUND((H22-G22)*1440,0)</x:f>
        <x:v>5</x:v>
      </x:c>
      <x:c r="J22" s="13" t="str">
        <x:v>Завершение</x:v>
      </x:c>
      <x:c r="K22" s="13" t="str">
        <x:v>Уйди до утомления пальцев; фингерборда нет.</x:v>
      </x:c>
      <x:c r="L22" s="13" t="str">
        <x:v>☐ Не начато</x:v>
      </x:c>
      <x:c r="M22" s="13" t="str">
        <x:v>Опционально</x:v>
      </x:c>
      <x:c r="N22" s="13" t="str">
        <x:v>RPE 1–2</x:v>
      </x:c>
      <x:c r="O22" s="13" t="str"/>
      <x:c r="P22" s="13" t="str">
        <x:v>00_START/PRESTART/04_SUNDAY_2026-09-06.md</x:v>
      </x:c>
      <x:c r="Q22" s="138" t="str">
        <x:v>Markdown</x:v>
      </x:c>
      <x:c r="R22" s="20" t="str"/>
    </x:row>
    <x:row r="23" ht="36" customHeight="1">
      <x:c r="A23" s="19" t="str">
        <x:v>W00-20260906-0022</x:v>
      </x:c>
      <x:c r="B23" s="13" t="n">
        <x:v>0</x:v>
      </x:c>
      <x:c r="C23" s="13" t="str">
        <x:v>Подготовка</x:v>
      </x:c>
      <x:c r="D23" s="138" t="str">
        <x:v>2026-09-06</x:v>
      </x:c>
      <x:c r="E23" s="13" t="str">
        <x:v>Воскресенье</x:v>
      </x:c>
      <x:c r="F23" s="13" t="str">
        <x:v>Подготовка</x:v>
      </x:c>
      <x:c r="G23" s="44" t="n">
        <x:v>0</x:v>
      </x:c>
      <x:c r="H23" s="44" t="n">
        <x:v>0.013888888888888888</x:v>
      </x:c>
      <x:c r="I23" s="32" t="n">
        <x:f>ROUND((H23-G23)*1440,0)</x:f>
        <x:v>20</x:v>
      </x:c>
      <x:c r="J23" s="13" t="str">
        <x:v>Отдых дома</x:v>
      </x:c>
      <x:c r="K23" s="13" t="str">
        <x:v>При выборе отдыха: 15 минут прогулки и 5 минут подготовки одежды/сумки к понедельнику.</x:v>
      </x:c>
      <x:c r="L23" s="13" t="str">
        <x:v>☐ Не начато</x:v>
      </x:c>
      <x:c r="M23" s="13" t="str">
        <x:v>Опционально</x:v>
      </x:c>
      <x:c r="N23" s="13" t="str">
        <x:v>RPE 1–2</x:v>
      </x:c>
      <x:c r="O23" s="13" t="str"/>
      <x:c r="P23" s="13" t="str">
        <x:v>00_START/PRESTART/04_SUNDAY_2026-09-06.md</x:v>
      </x:c>
      <x:c r="Q23" s="138" t="str">
        <x:v>Markdown</x:v>
      </x:c>
      <x:c r="R23" s="20" t="str"/>
    </x:row>
    <x:row r="24" ht="36" customHeight="1">
      <x:c r="A24" s="19" t="str">
        <x:v>W01-20260907-0023</x:v>
      </x:c>
      <x:c r="B24" s="13" t="n">
        <x:v>1</x:v>
      </x:c>
      <x:c r="C24" s="13" t="str">
        <x:v>Этап 1 — База, разминка и исходная точка</x:v>
      </x:c>
      <x:c r="D24" s="138" t="str">
        <x:v>2026-09-07</x:v>
      </x:c>
      <x:c r="E24" s="13" t="str">
        <x:v>Понедельник</x:v>
      </x:c>
      <x:c r="F24" s="13" t="str">
        <x:v>Дом / теория</x:v>
      </x:c>
      <x:c r="G24" s="44" t="n">
        <x:v>0</x:v>
      </x:c>
      <x:c r="H24" s="44" t="n">
        <x:v>0.0020833333333333333</x:v>
      </x:c>
      <x:c r="I24" s="32" t="n">
        <x:f>ROUND((H24-G24)*1440,0)</x:f>
        <x:v>3</x:v>
      </x:c>
      <x:c r="J24" s="13" t="str">
        <x:v>Самопроверка</x:v>
      </x:c>
      <x:c r="K24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24" s="13" t="str">
        <x:v>☐ Не начато</x:v>
      </x:c>
      <x:c r="M24" s="13" t="str">
        <x:v>Обязательно</x:v>
      </x:c>
      <x:c r="N24" s="13" t="str">
        <x:v>Очень легко</x:v>
      </x:c>
      <x:c r="O24" s="13" t="str">
        <x:v>Не диагностируй травму самостоятельно; используй правила из документа безопасности.</x:v>
      </x:c>
      <x:c r="P24" s="13" t="str">
        <x:v>milestone_01_foundation/week_01_2026-09-07/01_MONDAY.md</x:v>
      </x:c>
      <x:c r="Q24" s="138" t="str">
        <x:v>Markdown</x:v>
      </x:c>
      <x:c r="R24" s="20" t="str"/>
    </x:row>
    <x:row r="25" ht="36" customHeight="1">
      <x:c r="A25" s="19" t="str">
        <x:v>W01-20260907-0024</x:v>
      </x:c>
      <x:c r="B25" s="13" t="n">
        <x:v>1</x:v>
      </x:c>
      <x:c r="C25" s="13" t="str">
        <x:v>Этап 1 — База, разминка и исходная точка</x:v>
      </x:c>
      <x:c r="D25" s="138" t="str">
        <x:v>2026-09-07</x:v>
      </x:c>
      <x:c r="E25" s="13" t="str">
        <x:v>Понедельник</x:v>
      </x:c>
      <x:c r="F25" s="13" t="str">
        <x:v>Дом / теория</x:v>
      </x:c>
      <x:c r="G25" s="44" t="n">
        <x:v>0.0020833333333333333</x:v>
      </x:c>
      <x:c r="H25" s="44" t="n">
        <x:v>0.005555555555555556</x:v>
      </x:c>
      <x:c r="I25" s="32" t="n">
        <x:f>ROUND((H25-G25)*1440,0)</x:f>
        <x:v>5</x:v>
      </x:c>
      <x:c r="J25" s="13" t="str">
        <x:v>Планирование</x:v>
      </x:c>
      <x:c r="K25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«Смотри на стопу до момента, когда вес уже передан на неё.»</x:v>
      </x:c>
      <x:c r="L25" s="13" t="str">
        <x:v>☐ Не начато</x:v>
      </x:c>
      <x:c r="M25" s="13" t="str">
        <x:v>Обязательно</x:v>
      </x:c>
      <x:c r="N25" s="13" t="str">
        <x:v>Без нагрузки</x:v>
      </x:c>
      <x:c r="O25" s="13" t="str"/>
      <x:c r="P25" s="13" t="str">
        <x:v>milestone_01_foundation/week_01_2026-09-07/01_MONDAY.md</x:v>
      </x:c>
      <x:c r="Q25" s="138" t="str">
        <x:v>Markdown</x:v>
      </x:c>
      <x:c r="R25" s="20" t="str"/>
    </x:row>
    <x:row r="26" ht="36" customHeight="1">
      <x:c r="A26" s="19" t="str">
        <x:v>W01-20260907-0025</x:v>
      </x:c>
      <x:c r="B26" s="13" t="n">
        <x:v>1</x:v>
      </x:c>
      <x:c r="C26" s="13" t="str">
        <x:v>Этап 1 — База, разминка и исходная точка</x:v>
      </x:c>
      <x:c r="D26" s="138" t="str">
        <x:v>2026-09-07</x:v>
      </x:c>
      <x:c r="E26" s="13" t="str">
        <x:v>Понедельник</x:v>
      </x:c>
      <x:c r="F26" s="13" t="str">
        <x:v>Дом / теория</x:v>
      </x:c>
      <x:c r="G26" s="44" t="n">
        <x:v>0.005555555555555556</x:v>
      </x:c>
      <x:c r="H26" s="44" t="n">
        <x:v>0.0125</x:v>
      </x:c>
      <x:c r="I26" s="32" t="n">
        <x:f>ROUND((H26-G26)*1440,0)</x:f>
        <x:v>10</x:v>
      </x:c>
      <x:c r="J26" s="13" t="str">
        <x:v>Теория</x:v>
      </x:c>
      <x:c r="K26" s="13" t="str">
        <x:v>Посмотри/прочитай [R01: BMC — How to warm up for a climbing session](https://www.thebmc.co.uk/en/how-to-warm-up-for-a-climbing-session-video). Задача: Посмотреть до первой структурированной тренировки; выписать порядок: разогрев тела → суставы → лёгкое лазание → постепенная нагрузка пальцев.</x:v>
      </x:c>
      <x:c r="L26" s="13" t="str">
        <x:v>☐ Не начато</x:v>
      </x:c>
      <x:c r="M26" s="13" t="str">
        <x:v>Обязательно</x:v>
      </x:c>
      <x:c r="N26" s="13" t="str">
        <x:v>Без нагрузки</x:v>
      </x:c>
      <x:c r="O26" s="13" t="str"/>
      <x:c r="P26" s="13" t="str">
        <x:v>milestone_01_foundation/week_01_2026-09-07/01_MONDAY.md</x:v>
      </x:c>
      <x:c r="Q26" s="138" t="str">
        <x:v>Markdown</x:v>
      </x:c>
      <x:c r="R26" s="20" t="str"/>
    </x:row>
    <x:row r="27" ht="36" customHeight="1">
      <x:c r="A27" s="19" t="str">
        <x:v>W01-20260907-0026</x:v>
      </x:c>
      <x:c r="B27" s="13" t="n">
        <x:v>1</x:v>
      </x:c>
      <x:c r="C27" s="13" t="str">
        <x:v>Этап 1 — База, разминка и исходная точка</x:v>
      </x:c>
      <x:c r="D27" s="138" t="str">
        <x:v>2026-09-07</x:v>
      </x:c>
      <x:c r="E27" s="13" t="str">
        <x:v>Понедельник</x:v>
      </x:c>
      <x:c r="F27" s="13" t="str">
        <x:v>Дом / теория</x:v>
      </x:c>
      <x:c r="G27" s="44" t="n">
        <x:v>0.0125</x:v>
      </x:c>
      <x:c r="H27" s="44" t="n">
        <x:v>0.01597222222222222</x:v>
      </x:c>
      <x:c r="I27" s="32" t="n">
        <x:f>ROUND((H27-G27)*1440,0)</x:f>
        <x:v>5</x:v>
      </x:c>
      <x:c r="J27" s="13" t="str">
        <x:v>Конспект</x:v>
      </x:c>
      <x:c r="K27" s="13" t="str">
        <x:v>Запиши ровно 3 пункта: (1) что делать ногами/тазом; (2) что не делать руками; (3) какой признак успеха проверишь на стене для темы «Тихие ноги».</x:v>
      </x:c>
      <x:c r="L27" s="13" t="str">
        <x:v>☐ Не начато</x:v>
      </x:c>
      <x:c r="M27" s="13" t="str">
        <x:v>Обязательно</x:v>
      </x:c>
      <x:c r="N27" s="13" t="str">
        <x:v>Без нагрузки</x:v>
      </x:c>
      <x:c r="O27" s="13" t="str"/>
      <x:c r="P27" s="13" t="str">
        <x:v>milestone_01_foundation/week_01_2026-09-07/01_MONDAY.md</x:v>
      </x:c>
      <x:c r="Q27" s="138" t="str">
        <x:v>Markdown</x:v>
      </x:c>
      <x:c r="R27" s="20" t="str"/>
    </x:row>
    <x:row r="28" ht="36" customHeight="1">
      <x:c r="A28" s="19" t="str">
        <x:v>W01-20260907-0027</x:v>
      </x:c>
      <x:c r="B28" s="13" t="n">
        <x:v>1</x:v>
      </x:c>
      <x:c r="C28" s="13" t="str">
        <x:v>Этап 1 — База, разминка и исходная точка</x:v>
      </x:c>
      <x:c r="D28" s="138" t="str">
        <x:v>2026-09-07</x:v>
      </x:c>
      <x:c r="E28" s="13" t="str">
        <x:v>Понедельник</x:v>
      </x:c>
      <x:c r="F28" s="13" t="str">
        <x:v>Дом / теория</x:v>
      </x:c>
      <x:c r="G28" s="44" t="n">
        <x:v>0.01597222222222222</x:v>
      </x:c>
      <x:c r="H28" s="44" t="n">
        <x:v>0.024305555555555556</x:v>
      </x:c>
      <x:c r="I28" s="32" t="n">
        <x:f>ROUND((H28-G28)*1440,0)</x:f>
        <x:v>12</x:v>
      </x:c>
      <x:c r="J28" s="13" t="str">
        <x:v>Домашняя мобильность</x:v>
      </x:c>
      <x:c r="K28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28" s="13" t="str">
        <x:v>☐ Не начато</x:v>
      </x:c>
      <x:c r="M28" s="13" t="str">
        <x:v>Обязательно</x:v>
      </x:c>
      <x:c r="N28" s="13" t="str">
        <x:v>RPE 2–3</x:v>
      </x:c>
      <x:c r="O28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28" s="13" t="str">
        <x:v>milestone_01_foundation/week_01_2026-09-07/01_MONDAY.md</x:v>
      </x:c>
      <x:c r="Q28" s="138" t="str">
        <x:v>Markdown</x:v>
      </x:c>
      <x:c r="R28" s="20" t="str"/>
    </x:row>
    <x:row r="29" ht="36" customHeight="1">
      <x:c r="A29" s="19" t="str">
        <x:v>W01-20260907-0028</x:v>
      </x:c>
      <x:c r="B29" s="13" t="n">
        <x:v>1</x:v>
      </x:c>
      <x:c r="C29" s="13" t="str">
        <x:v>Этап 1 — База, разминка и исходная точка</x:v>
      </x:c>
      <x:c r="D29" s="138" t="str">
        <x:v>2026-09-07</x:v>
      </x:c>
      <x:c r="E29" s="13" t="str">
        <x:v>Понедельник</x:v>
      </x:c>
      <x:c r="F29" s="13" t="str">
        <x:v>Дом / теория</x:v>
      </x:c>
      <x:c r="G29" s="44" t="n">
        <x:v>0.024305555555555556</x:v>
      </x:c>
      <x:c r="H29" s="44" t="n">
        <x:v>0.03819444444444445</x:v>
      </x:c>
      <x:c r="I29" s="32" t="n">
        <x:f>ROUND((H29-G29)*1440,0)</x:f>
        <x:v>20</x:v>
      </x:c>
      <x:c r="J29" s="13" t="str">
        <x:v>Физиотерапия</x:v>
      </x:c>
      <x:c r="K29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29" s="13" t="str">
        <x:v>☐ Не начато</x:v>
      </x:c>
      <x:c r="M29" s="13" t="str">
        <x:v>По назначению</x:v>
      </x:c>
      <x:c r="N29" s="13" t="str">
        <x:v>По назначению физиотерапевта</x:v>
      </x:c>
      <x:c r="O29" s="13" t="str">
        <x:v>Любые указания физиотерапевта имеют приоритет над этим планом.</x:v>
      </x:c>
      <x:c r="P29" s="13" t="str">
        <x:v>milestone_01_foundation/week_01_2026-09-07/01_MONDAY.md</x:v>
      </x:c>
      <x:c r="Q29" s="138" t="str">
        <x:v>Markdown</x:v>
      </x:c>
      <x:c r="R29" s="20" t="str"/>
    </x:row>
    <x:row r="30" ht="36" customHeight="1">
      <x:c r="A30" s="19" t="str">
        <x:v>W01-20260907-0029</x:v>
      </x:c>
      <x:c r="B30" s="13" t="n">
        <x:v>1</x:v>
      </x:c>
      <x:c r="C30" s="13" t="str">
        <x:v>Этап 1 — База, разминка и исходная точка</x:v>
      </x:c>
      <x:c r="D30" s="138" t="str">
        <x:v>2026-09-07</x:v>
      </x:c>
      <x:c r="E30" s="13" t="str">
        <x:v>Понедельник</x:v>
      </x:c>
      <x:c r="F30" s="13" t="str">
        <x:v>Дом / теория</x:v>
      </x:c>
      <x:c r="G30" s="44" t="n">
        <x:v>0.03819444444444445</x:v>
      </x:c>
      <x:c r="H30" s="44" t="n">
        <x:v>0.041666666666666664</x:v>
      </x:c>
      <x:c r="I30" s="32" t="n">
        <x:f>ROUND((H30-G30)*1440,0)</x:f>
        <x:v>5</x:v>
      </x:c>
      <x:c r="J30" s="13" t="str">
        <x:v>Покупка / организация</x:v>
      </x:c>
      <x:c r="K30" s="13" t="str">
        <x:v>Поставить BETA7; заказать/купить простой штатив или зажим для телефона и маленькую щётку.</x:v>
      </x:c>
      <x:c r="L30" s="13" t="str">
        <x:v>☐ Не начато</x:v>
      </x:c>
      <x:c r="M30" s="13" t="str">
        <x:v>Опционально</x:v>
      </x:c>
      <x:c r="N30" s="13" t="str">
        <x:v>Без нагрузки</x:v>
      </x:c>
      <x:c r="O30" s="13" t="str"/>
      <x:c r="P30" s="13" t="str">
        <x:v>milestone_01_foundation/week_01_2026-09-07/01_MONDAY.md</x:v>
      </x:c>
      <x:c r="Q30" s="138" t="str">
        <x:v>Markdown</x:v>
      </x:c>
      <x:c r="R30" s="20" t="str"/>
    </x:row>
    <x:row r="31" ht="36" customHeight="1">
      <x:c r="A31" s="19" t="str">
        <x:v>W01-20260907-0030</x:v>
      </x:c>
      <x:c r="B31" s="13" t="n">
        <x:v>1</x:v>
      </x:c>
      <x:c r="C31" s="13" t="str">
        <x:v>Этап 1 — База, разминка и исходная точка</x:v>
      </x:c>
      <x:c r="D31" s="138" t="str">
        <x:v>2026-09-07</x:v>
      </x:c>
      <x:c r="E31" s="13" t="str">
        <x:v>Понедельник</x:v>
      </x:c>
      <x:c r="F31" s="13" t="str">
        <x:v>Дом / теория</x:v>
      </x:c>
      <x:c r="G31" s="44" t="n">
        <x:v>0.041666666666666664</x:v>
      </x:c>
      <x:c r="H31" s="44" t="n">
        <x:v>0.04375</x:v>
      </x:c>
      <x:c r="I31" s="32" t="n">
        <x:f>ROUND((H31-G31)*1440,0)</x:f>
        <x:v>3</x:v>
      </x:c>
      <x:c r="J31" s="13" t="str">
        <x:v>Подготовка</x:v>
      </x:c>
      <x:c r="K31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31" s="13" t="str">
        <x:v>☐ Не начато</x:v>
      </x:c>
      <x:c r="M31" s="13" t="str">
        <x:v>Обязательно</x:v>
      </x:c>
      <x:c r="N31" s="13" t="str">
        <x:v>Без нагрузки</x:v>
      </x:c>
      <x:c r="O31" s="13" t="str">
        <x:v>Кольца и турник — только в рамках программы физиотерапевта.</x:v>
      </x:c>
      <x:c r="P31" s="13" t="str">
        <x:v>milestone_01_foundation/week_01_2026-09-07/01_MONDAY.md</x:v>
      </x:c>
      <x:c r="Q31" s="138" t="str">
        <x:v>Markdown</x:v>
      </x:c>
      <x:c r="R31" s="20" t="str"/>
    </x:row>
    <x:row r="32" ht="36" customHeight="1">
      <x:c r="A32" s="19" t="str">
        <x:v>W01-20260908-0031</x:v>
      </x:c>
      <x:c r="B32" s="13" t="n">
        <x:v>1</x:v>
      </x:c>
      <x:c r="C32" s="13" t="str">
        <x:v>Этап 1 — База, разминка и исходная точка</x:v>
      </x:c>
      <x:c r="D32" s="138" t="str">
        <x:v>2026-09-08</x:v>
      </x:c>
      <x:c r="E32" s="13" t="str">
        <x:v>Вторник</x:v>
      </x:c>
      <x:c r="F32" s="13" t="str">
        <x:v>Тренировка A — техника/объём</x:v>
      </x:c>
      <x:c r="G32" s="44" t="n">
        <x:v>0</x:v>
      </x:c>
      <x:c r="H32" s="44" t="n">
        <x:v>0.0020833333333333333</x:v>
      </x:c>
      <x:c r="I32" s="32" t="n">
        <x:f>ROUND((H32-G32)*1440,0)</x:f>
        <x:v>3</x:v>
      </x:c>
      <x:c r="J32" s="13" t="str">
        <x:v>Самопроверка</x:v>
      </x:c>
      <x:c r="K3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32" s="13" t="str">
        <x:v>☐ Не начато</x:v>
      </x:c>
      <x:c r="M32" s="13" t="str">
        <x:v>Обязательно</x:v>
      </x:c>
      <x:c r="N32" s="13" t="str">
        <x:v>Без нагрузки</x:v>
      </x:c>
      <x:c r="O32" s="13" t="str">
        <x:v>Красный флаг = не начинать пальцевую нагрузку.</x:v>
      </x:c>
      <x:c r="P32" s="13" t="str">
        <x:v>milestone_01_foundation/week_01_2026-09-07/02_TUESDAY.md</x:v>
      </x:c>
      <x:c r="Q32" s="138" t="str">
        <x:v>Markdown</x:v>
      </x:c>
      <x:c r="R32" s="20" t="str"/>
    </x:row>
    <x:row r="33" ht="36" customHeight="1">
      <x:c r="A33" s="19" t="str">
        <x:v>W01-20260908-0032</x:v>
      </x:c>
      <x:c r="B33" s="13" t="n">
        <x:v>1</x:v>
      </x:c>
      <x:c r="C33" s="13" t="str">
        <x:v>Этап 1 — База, разминка и исходная точка</x:v>
      </x:c>
      <x:c r="D33" s="138" t="str">
        <x:v>2026-09-08</x:v>
      </x:c>
      <x:c r="E33" s="13" t="str">
        <x:v>Вторник</x:v>
      </x:c>
      <x:c r="F33" s="13" t="str">
        <x:v>Тренировка A — техника/объём</x:v>
      </x:c>
      <x:c r="G33" s="44" t="n">
        <x:v>0.0020833333333333333</x:v>
      </x:c>
      <x:c r="H33" s="44" t="n">
        <x:v>0.005555555555555556</x:v>
      </x:c>
      <x:c r="I33" s="32" t="n">
        <x:f>ROUND((H33-G33)*1440,0)</x:f>
        <x:v>5</x:v>
      </x:c>
      <x:c r="J33" s="13" t="str">
        <x:v>Разминка</x:v>
      </x:c>
      <x:c r="K33" s="13" t="str">
        <x:v>Подними температуру: быстрая ходьба, лестница или лёгкий велотренажёр 5 минут.</x:v>
      </x:c>
      <x:c r="L33" s="13" t="str">
        <x:v>☐ Не начато</x:v>
      </x:c>
      <x:c r="M33" s="13" t="str">
        <x:v>Обязательно</x:v>
      </x:c>
      <x:c r="N33" s="13" t="str">
        <x:v>RPE 2–3</x:v>
      </x:c>
      <x:c r="O33" s="13" t="str"/>
      <x:c r="P33" s="13" t="str">
        <x:v>milestone_01_foundation/week_01_2026-09-07/02_TUESDAY.md</x:v>
      </x:c>
      <x:c r="Q33" s="138" t="str">
        <x:v>Markdown</x:v>
      </x:c>
      <x:c r="R33" s="20" t="str"/>
    </x:row>
    <x:row r="34" ht="36" customHeight="1">
      <x:c r="A34" s="19" t="str">
        <x:v>W01-20260908-0033</x:v>
      </x:c>
      <x:c r="B34" s="13" t="n">
        <x:v>1</x:v>
      </x:c>
      <x:c r="C34" s="13" t="str">
        <x:v>Этап 1 — База, разминка и исходная точка</x:v>
      </x:c>
      <x:c r="D34" s="138" t="str">
        <x:v>2026-09-08</x:v>
      </x:c>
      <x:c r="E34" s="13" t="str">
        <x:v>Вторник</x:v>
      </x:c>
      <x:c r="F34" s="13" t="str">
        <x:v>Тренировка A — техника/объём</x:v>
      </x:c>
      <x:c r="G34" s="44" t="n">
        <x:v>0.005555555555555556</x:v>
      </x:c>
      <x:c r="H34" s="44" t="n">
        <x:v>0.009027777777777777</x:v>
      </x:c>
      <x:c r="I34" s="32" t="n">
        <x:f>ROUND((H34-G34)*1440,0)</x:f>
        <x:v>5</x:v>
      </x:c>
      <x:c r="J34" s="13" t="str">
        <x:v>Разминка</x:v>
      </x:c>
      <x:c r="K3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34" s="13" t="str">
        <x:v>☐ Не начато</x:v>
      </x:c>
      <x:c r="M34" s="13" t="str">
        <x:v>Обязательно</x:v>
      </x:c>
      <x:c r="N34" s="13" t="str">
        <x:v>Очень легко</x:v>
      </x:c>
      <x:c r="O34" s="13" t="str">
        <x:v>Не делай press/отжимания и движения, которые раздражают плечо.</x:v>
      </x:c>
      <x:c r="P34" s="13" t="str">
        <x:v>milestone_01_foundation/week_01_2026-09-07/02_TUESDAY.md</x:v>
      </x:c>
      <x:c r="Q34" s="138" t="str">
        <x:v>Markdown</x:v>
      </x:c>
      <x:c r="R34" s="20" t="str"/>
    </x:row>
    <x:row r="35" ht="36" customHeight="1">
      <x:c r="A35" s="19" t="str">
        <x:v>W01-20260908-0034</x:v>
      </x:c>
      <x:c r="B35" s="13" t="n">
        <x:v>1</x:v>
      </x:c>
      <x:c r="C35" s="13" t="str">
        <x:v>Этап 1 — База, разминка и исходная точка</x:v>
      </x:c>
      <x:c r="D35" s="138" t="str">
        <x:v>2026-09-08</x:v>
      </x:c>
      <x:c r="E35" s="13" t="str">
        <x:v>Вторник</x:v>
      </x:c>
      <x:c r="F35" s="13" t="str">
        <x:v>Тренировка A — техника/объём</x:v>
      </x:c>
      <x:c r="G35" s="44" t="n">
        <x:v>0.009027777777777777</x:v>
      </x:c>
      <x:c r="H35" s="44" t="n">
        <x:v>0.011805555555555555</x:v>
      </x:c>
      <x:c r="I35" s="32" t="n">
        <x:f>ROUND((H35-G35)*1440,0)</x:f>
        <x:v>4</x:v>
      </x:c>
      <x:c r="J35" s="13" t="str">
        <x:v>Разминка пальцев</x:v>
      </x:c>
      <x:c r="K3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35" s="13" t="str">
        <x:v>☐ Не начато</x:v>
      </x:c>
      <x:c r="M35" s="13" t="str">
        <x:v>Обязательно</x:v>
      </x:c>
      <x:c r="N35" s="13" t="str">
        <x:v>Очень легко</x:v>
      </x:c>
      <x:c r="O35" s="13" t="str"/>
      <x:c r="P35" s="13" t="str">
        <x:v>milestone_01_foundation/week_01_2026-09-07/02_TUESDAY.md</x:v>
      </x:c>
      <x:c r="Q35" s="138" t="str">
        <x:v>Markdown</x:v>
      </x:c>
      <x:c r="R35" s="20" t="str"/>
    </x:row>
    <x:row r="36" ht="36" customHeight="1">
      <x:c r="A36" s="19" t="str">
        <x:v>W01-20260908-0035</x:v>
      </x:c>
      <x:c r="B36" s="13" t="n">
        <x:v>1</x:v>
      </x:c>
      <x:c r="C36" s="13" t="str">
        <x:v>Этап 1 — База, разминка и исходная точка</x:v>
      </x:c>
      <x:c r="D36" s="138" t="str">
        <x:v>2026-09-08</x:v>
      </x:c>
      <x:c r="E36" s="13" t="str">
        <x:v>Вторник</x:v>
      </x:c>
      <x:c r="F36" s="13" t="str">
        <x:v>Тренировка A — техника/объём</x:v>
      </x:c>
      <x:c r="G36" s="44" t="n">
        <x:v>0.011805555555555555</x:v>
      </x:c>
      <x:c r="H36" s="44" t="n">
        <x:v>0.014583333333333334</x:v>
      </x:c>
      <x:c r="I36" s="32" t="n">
        <x:f>ROUND((H36-G36)*1440,0)</x:f>
        <x:v>4</x:v>
      </x:c>
      <x:c r="J36" s="13" t="str">
        <x:v>Разминочное лазание</x:v>
      </x:c>
      <x:c r="K36" s="13" t="str">
        <x:v>Пройди 2 очень лёгкие трассы уровня 1–2; двигайся медленно, спускайся по зацепам.</x:v>
      </x:c>
      <x:c r="L36" s="13" t="str">
        <x:v>☐ Не начато</x:v>
      </x:c>
      <x:c r="M36" s="13" t="str">
        <x:v>Обязательно</x:v>
      </x:c>
      <x:c r="N36" s="13" t="str">
        <x:v>RPE 2–3</x:v>
      </x:c>
      <x:c r="O36" s="13" t="str">
        <x:v>Финиш с обязательным болезненным mantle/press пропусти.</x:v>
      </x:c>
      <x:c r="P36" s="13" t="str">
        <x:v>milestone_01_foundation/week_01_2026-09-07/02_TUESDAY.md</x:v>
      </x:c>
      <x:c r="Q36" s="138" t="str">
        <x:v>Markdown</x:v>
      </x:c>
      <x:c r="R36" s="20" t="str"/>
    </x:row>
    <x:row r="37" ht="36" customHeight="1">
      <x:c r="A37" s="19" t="str">
        <x:v>W01-20260908-0036</x:v>
      </x:c>
      <x:c r="B37" s="13" t="n">
        <x:v>1</x:v>
      </x:c>
      <x:c r="C37" s="13" t="str">
        <x:v>Этап 1 — База, разминка и исходная точка</x:v>
      </x:c>
      <x:c r="D37" s="138" t="str">
        <x:v>2026-09-08</x:v>
      </x:c>
      <x:c r="E37" s="13" t="str">
        <x:v>Вторник</x:v>
      </x:c>
      <x:c r="F37" s="13" t="str">
        <x:v>Тренировка A — техника/объём</x:v>
      </x:c>
      <x:c r="G37" s="44" t="n">
        <x:v>0.014583333333333334</x:v>
      </x:c>
      <x:c r="H37" s="44" t="n">
        <x:v>0.017361111111111112</x:v>
      </x:c>
      <x:c r="I37" s="32" t="n">
        <x:f>ROUND((H37-G37)*1440,0)</x:f>
        <x:v>4</x:v>
      </x:c>
      <x:c r="J37" s="13" t="str">
        <x:v>Разминочное лазание</x:v>
      </x:c>
      <x:c r="K37" s="13" t="str">
        <x:v>Пройди 2 трассы уровня 2–3, затем сделай 2–3 движения на комфортной четвёрке. Между ними 45–60 секунд.</x:v>
      </x:c>
      <x:c r="L37" s="13" t="str">
        <x:v>☐ Не начато</x:v>
      </x:c>
      <x:c r="M37" s="13" t="str">
        <x:v>Обязательно</x:v>
      </x:c>
      <x:c r="N37" s="13" t="str">
        <x:v>RPE 3–4</x:v>
      </x:c>
      <x:c r="O37" s="13" t="str">
        <x:v>Разминка не должна утомить пальцы.</x:v>
      </x:c>
      <x:c r="P37" s="13" t="str">
        <x:v>milestone_01_foundation/week_01_2026-09-07/02_TUESDAY.md</x:v>
      </x:c>
      <x:c r="Q37" s="138" t="str">
        <x:v>Markdown</x:v>
      </x:c>
      <x:c r="R37" s="20" t="str"/>
    </x:row>
    <x:row r="38" ht="36" customHeight="1">
      <x:c r="A38" s="19" t="str">
        <x:v>W01-20260908-0037</x:v>
      </x:c>
      <x:c r="B38" s="13" t="n">
        <x:v>1</x:v>
      </x:c>
      <x:c r="C38" s="13" t="str">
        <x:v>Этап 1 — База, разминка и исходная точка</x:v>
      </x:c>
      <x:c r="D38" s="138" t="str">
        <x:v>2026-09-08</x:v>
      </x:c>
      <x:c r="E38" s="13" t="str">
        <x:v>Вторник</x:v>
      </x:c>
      <x:c r="F38" s="13" t="str">
        <x:v>Тренировка A — техника/объём</x:v>
      </x:c>
      <x:c r="G38" s="44" t="n">
        <x:v>0.017361111111111112</x:v>
      </x:c>
      <x:c r="H38" s="44" t="n">
        <x:v>0.021527777777777778</x:v>
      </x:c>
      <x:c r="I38" s="32" t="n">
        <x:f>ROUND((H38-G38)*1440,0)</x:f>
        <x:v>6</x:v>
      </x:c>
      <x:c r="J38" s="13" t="str">
        <x:v>Техника</x:v>
      </x:c>
      <x:c r="K38" s="13" t="str">
        <x:v>Короткий технический праймер «Тихие ноги»: выбери одну трассу 2–3 и пройди её дважды. До движения выбери точную часть зацепа и часть носка, которой наступишь. Смотри на стопу до тех пор, пока вес уже не перешёл на неё.</x:v>
      </x:c>
      <x:c r="L38" s="13" t="str">
        <x:v>☐ Не начато</x:v>
      </x:c>
      <x:c r="M38" s="13" t="str">
        <x:v>Обязательно</x:v>
      </x:c>
      <x:c r="N38" s="13" t="str">
        <x:v>RPE 3–4</x:v>
      </x:c>
      <x:c r="O38" s="13" t="str">
        <x:v>Не ловить промах резким толчком плечом. При неуверенном правом колене выбрать более крупные ноги.</x:v>
      </x:c>
      <x:c r="P38" s="13" t="str">
        <x:v>milestone_01_foundation/week_01_2026-09-07/02_TUESDAY.md</x:v>
      </x:c>
      <x:c r="Q38" s="138" t="str">
        <x:v>Markdown</x:v>
      </x:c>
      <x:c r="R38" s="20" t="str"/>
    </x:row>
    <x:row r="39" ht="36" customHeight="1">
      <x:c r="A39" s="19" t="str">
        <x:v>W01-20260908-0038</x:v>
      </x:c>
      <x:c r="B39" s="13" t="n">
        <x:v>1</x:v>
      </x:c>
      <x:c r="C39" s="13" t="str">
        <x:v>Этап 1 — База, разминка и исходная точка</x:v>
      </x:c>
      <x:c r="D39" s="138" t="str">
        <x:v>2026-09-08</x:v>
      </x:c>
      <x:c r="E39" s="13" t="str">
        <x:v>Вторник</x:v>
      </x:c>
      <x:c r="F39" s="13" t="str">
        <x:v>Тренировка A — техника/объём</x:v>
      </x:c>
      <x:c r="G39" s="44" t="n">
        <x:v>0.021527777777777778</x:v>
      </x:c>
      <x:c r="H39" s="44" t="n">
        <x:v>0.03888888888888889</x:v>
      </x:c>
      <x:c r="I39" s="32" t="n">
        <x:f>ROUND((H39-G39)*1440,0)</x:f>
        <x:v>25</x:v>
      </x:c>
      <x:c r="J39" s="13" t="str">
        <x:v>Контрольный объём</x:v>
      </x:c>
      <x:c r="K39" s="13" t="str">
        <x:v>Пройди 4 новые четвёрки. На каждую максимум 2 попытки; отдых 2:00–2:30. После первой неудачи назови одну техническую правку.</x:v>
      </x:c>
      <x:c r="L39" s="13" t="str">
        <x:v>☐ Не начато</x:v>
      </x:c>
      <x:c r="M39" s="13" t="str">
        <x:v>Обязательно</x:v>
      </x:c>
      <x:c r="N39" s="13" t="str">
        <x:v>RPE 6–8</x:v>
      </x:c>
      <x:c r="O39" s="13" t="str">
        <x:v>Плечо: пропусти финал с больным press/mantle. Колено: без глубоких приседаний и скручивания.</x:v>
      </x:c>
      <x:c r="P39" s="13" t="str">
        <x:v>milestone_01_foundation/week_01_2026-09-07/02_TUESDAY.md</x:v>
      </x:c>
      <x:c r="Q39" s="138" t="str">
        <x:v>Markdown</x:v>
      </x:c>
      <x:c r="R39" s="20" t="str"/>
    </x:row>
    <x:row r="40" ht="36" customHeight="1">
      <x:c r="A40" s="19" t="str">
        <x:v>W01-20260908-0039</x:v>
      </x:c>
      <x:c r="B40" s="13" t="n">
        <x:v>1</x:v>
      </x:c>
      <x:c r="C40" s="13" t="str">
        <x:v>Этап 1 — База, разминка и исходная точка</x:v>
      </x:c>
      <x:c r="D40" s="138" t="str">
        <x:v>2026-09-08</x:v>
      </x:c>
      <x:c r="E40" s="13" t="str">
        <x:v>Вторник</x:v>
      </x:c>
      <x:c r="F40" s="13" t="str">
        <x:v>Тренировка A — техника/объём</x:v>
      </x:c>
      <x:c r="G40" s="44" t="n">
        <x:v>0.03888888888888889</x:v>
      </x:c>
      <x:c r="H40" s="44" t="n">
        <x:v>0.05625</x:v>
      </x:c>
      <x:c r="I40" s="32" t="n">
        <x:f>ROUND((H40-G40)*1440,0)</x:f>
        <x:v>25</x:v>
      </x:c>
      <x:c r="J40" s="13" t="str">
        <x:v>Контрольный объём</x:v>
      </x:c>
      <x:c r="K40" s="13" t="str">
        <x:v>Попробуй 3 новые пятёрки. На каждую максимум 3 попытки; отдых 3:00. Отметь трассу, попытки и результат в трекере/BETA7.</x:v>
      </x:c>
      <x:c r="L40" s="13" t="str">
        <x:v>☐ Не начато</x:v>
      </x:c>
      <x:c r="M40" s="13" t="str">
        <x:v>Обязательно</x:v>
      </x:c>
      <x:c r="N40" s="13" t="str">
        <x:v>RPE 7–8, без отказа</x:v>
      </x:c>
      <x:c r="O40" s="13" t="str">
        <x:v>После двух явно хуже выполненных попыток блок закончить.</x:v>
      </x:c>
      <x:c r="P40" s="13" t="str">
        <x:v>milestone_01_foundation/week_01_2026-09-07/02_TUESDAY.md</x:v>
      </x:c>
      <x:c r="Q40" s="138" t="str">
        <x:v>Markdown</x:v>
      </x:c>
      <x:c r="R40" s="20" t="str"/>
    </x:row>
    <x:row r="41" ht="36" customHeight="1">
      <x:c r="A41" s="19" t="str">
        <x:v>W01-20260908-0040</x:v>
      </x:c>
      <x:c r="B41" s="13" t="n">
        <x:v>1</x:v>
      </x:c>
      <x:c r="C41" s="13" t="str">
        <x:v>Этап 1 — База, разминка и исходная точка</x:v>
      </x:c>
      <x:c r="D41" s="138" t="str">
        <x:v>2026-09-08</x:v>
      </x:c>
      <x:c r="E41" s="13" t="str">
        <x:v>Вторник</x:v>
      </x:c>
      <x:c r="F41" s="13" t="str">
        <x:v>Тренировка A — техника/объём</x:v>
      </x:c>
      <x:c r="G41" s="44" t="n">
        <x:v>0.05625</x:v>
      </x:c>
      <x:c r="H41" s="44" t="n">
        <x:v>0.058333333333333334</x:v>
      </x:c>
      <x:c r="I41" s="32" t="n">
        <x:f>ROUND((H41-G41)*1440,0)</x:f>
        <x:v>3</x:v>
      </x:c>
      <x:c r="J41" s="13" t="str">
        <x:v>Проверка хвата</x:v>
      </x:c>
      <x:c r="K41" s="13" t="str">
        <x:v>Запиши минуту, когда впервые заметно снизилась способность держать обычные кромки. Не устраивай дополнительный тест висом.</x:v>
      </x:c>
      <x:c r="L41" s="13" t="str">
        <x:v>☐ Не начато</x:v>
      </x:c>
      <x:c r="M41" s="13" t="str">
        <x:v>Обязательно</x:v>
      </x:c>
      <x:c r="N41" s="13" t="str">
        <x:v>Без дополнительной нагрузки</x:v>
      </x:c>
      <x:c r="O41" s="13" t="str"/>
      <x:c r="P41" s="13" t="str">
        <x:v>milestone_01_foundation/week_01_2026-09-07/02_TUESDAY.md</x:v>
      </x:c>
      <x:c r="Q41" s="138" t="str">
        <x:v>Markdown</x:v>
      </x:c>
      <x:c r="R41" s="20" t="str"/>
    </x:row>
    <x:row r="42" ht="36" customHeight="1">
      <x:c r="A42" s="19" t="str">
        <x:v>W01-20260908-0041</x:v>
      </x:c>
      <x:c r="B42" s="13" t="n">
        <x:v>1</x:v>
      </x:c>
      <x:c r="C42" s="13" t="str">
        <x:v>Этап 1 — База, разминка и исходная точка</x:v>
      </x:c>
      <x:c r="D42" s="138" t="str">
        <x:v>2026-09-08</x:v>
      </x:c>
      <x:c r="E42" s="13" t="str">
        <x:v>Вторник</x:v>
      </x:c>
      <x:c r="F42" s="13" t="str">
        <x:v>Тренировка A — техника/объём</x:v>
      </x:c>
      <x:c r="G42" s="44" t="n">
        <x:v>0.058333333333333334</x:v>
      </x:c>
      <x:c r="H42" s="44" t="n">
        <x:v>0.06041666666666667</x:v>
      </x:c>
      <x:c r="I42" s="32" t="n">
        <x:f>ROUND((H42-G42)*1440,0)</x:f>
        <x:v>3</x:v>
      </x:c>
      <x:c r="J42" s="13" t="str">
        <x:v>Завершение</x:v>
      </x:c>
      <x:c r="K42" s="13" t="str">
        <x:v>Пройди или спустись по одной очень лёгкой трассе; встряхни руки, спокойно походи.</x:v>
      </x:c>
      <x:c r="L42" s="13" t="str">
        <x:v>☐ Не начато</x:v>
      </x:c>
      <x:c r="M42" s="13" t="str">
        <x:v>Обязательно</x:v>
      </x:c>
      <x:c r="N42" s="13" t="str">
        <x:v>RPE 1–2</x:v>
      </x:c>
      <x:c r="O42" s="13" t="str"/>
      <x:c r="P42" s="13" t="str">
        <x:v>milestone_01_foundation/week_01_2026-09-07/02_TUESDAY.md</x:v>
      </x:c>
      <x:c r="Q42" s="138" t="str">
        <x:v>Markdown</x:v>
      </x:c>
      <x:c r="R42" s="20" t="str"/>
    </x:row>
    <x:row r="43" ht="36" customHeight="1">
      <x:c r="A43" s="19" t="str">
        <x:v>W01-20260908-0042</x:v>
      </x:c>
      <x:c r="B43" s="13" t="n">
        <x:v>1</x:v>
      </x:c>
      <x:c r="C43" s="13" t="str">
        <x:v>Этап 1 — База, разминка и исходная точка</x:v>
      </x:c>
      <x:c r="D43" s="138" t="str">
        <x:v>2026-09-08</x:v>
      </x:c>
      <x:c r="E43" s="13" t="str">
        <x:v>Вторник</x:v>
      </x:c>
      <x:c r="F43" s="13" t="str">
        <x:v>Тренировка A — техника/объём</x:v>
      </x:c>
      <x:c r="G43" s="44" t="n">
        <x:v>0.06041666666666667</x:v>
      </x:c>
      <x:c r="H43" s="44" t="n">
        <x:v>0.0625</x:v>
      </x:c>
      <x:c r="I43" s="32" t="n">
        <x:f>ROUND((H43-G43)*1440,0)</x:f>
        <x:v>3</x:v>
      </x:c>
      <x:c r="J43" s="13" t="str">
        <x:v>Журнал</x:v>
      </x:c>
      <x:c r="K43" s="13" t="str">
        <x:v>Запиши результат и benchmark недели: Базовый тест: 4 новые четвёрки (≤2 попыток каждая) + 3 пятёрки (≤3 попыток). Записать минуту первой явной просадки хвата.</x:v>
      </x:c>
      <x:c r="L43" s="13" t="str">
        <x:v>☐ Не начато</x:v>
      </x:c>
      <x:c r="M43" s="13" t="str">
        <x:v>Обязательно</x:v>
      </x:c>
      <x:c r="N43" s="13" t="str">
        <x:v>Без нагрузки</x:v>
      </x:c>
      <x:c r="O43" s="13" t="str"/>
      <x:c r="P43" s="13" t="str">
        <x:v>milestone_01_foundation/week_01_2026-09-07/02_TUESDAY.md</x:v>
      </x:c>
      <x:c r="Q43" s="138" t="str">
        <x:v>Markdown</x:v>
      </x:c>
      <x:c r="R43" s="20" t="str"/>
    </x:row>
    <x:row r="44" ht="36" customHeight="1">
      <x:c r="A44" s="19" t="str">
        <x:v>W01-20260909-0043</x:v>
      </x:c>
      <x:c r="B44" s="13" t="n">
        <x:v>1</x:v>
      </x:c>
      <x:c r="C44" s="13" t="str">
        <x:v>Этап 1 — База, разминка и исходная точка</x:v>
      </x:c>
      <x:c r="D44" s="138" t="str">
        <x:v>2026-09-09</x:v>
      </x:c>
      <x:c r="E44" s="13" t="str">
        <x:v>Среда</x:v>
      </x:c>
      <x:c r="F44" s="13" t="str">
        <x:v>Восстановление / видео</x:v>
      </x:c>
      <x:c r="G44" s="44" t="n">
        <x:v>0</x:v>
      </x:c>
      <x:c r="H44" s="44" t="n">
        <x:v>0.006944444444444444</x:v>
      </x:c>
      <x:c r="I44" s="32" t="n">
        <x:f>ROUND((H44-G44)*1440,0)</x:f>
        <x:v>10</x:v>
      </x:c>
      <x:c r="J44" s="13" t="str">
        <x:v>Восстановление</x:v>
      </x:c>
      <x:c r="K44" s="13" t="str">
        <x:v>10 минут спокойной ходьбы. Руки расслаблены; это не тренировка выносливости.</x:v>
      </x:c>
      <x:c r="L44" s="13" t="str">
        <x:v>☐ Не начато</x:v>
      </x:c>
      <x:c r="M44" s="13" t="str">
        <x:v>Обязательно</x:v>
      </x:c>
      <x:c r="N44" s="13" t="str">
        <x:v>RPE 1–2</x:v>
      </x:c>
      <x:c r="O44" s="13" t="str"/>
      <x:c r="P44" s="13" t="str">
        <x:v>milestone_01_foundation/week_01_2026-09-07/03_WEDNESDAY.md</x:v>
      </x:c>
      <x:c r="Q44" s="138" t="str">
        <x:v>Markdown</x:v>
      </x:c>
      <x:c r="R44" s="20" t="str"/>
    </x:row>
    <x:row r="45" ht="36" customHeight="1">
      <x:c r="A45" s="19" t="str">
        <x:v>W01-20260909-0044</x:v>
      </x:c>
      <x:c r="B45" s="13" t="n">
        <x:v>1</x:v>
      </x:c>
      <x:c r="C45" s="13" t="str">
        <x:v>Этап 1 — База, разминка и исходная точка</x:v>
      </x:c>
      <x:c r="D45" s="138" t="str">
        <x:v>2026-09-09</x:v>
      </x:c>
      <x:c r="E45" s="13" t="str">
        <x:v>Среда</x:v>
      </x:c>
      <x:c r="F45" s="13" t="str">
        <x:v>Восстановление / видео</x:v>
      </x:c>
      <x:c r="G45" s="44" t="n">
        <x:v>0.006944444444444444</x:v>
      </x:c>
      <x:c r="H45" s="44" t="n">
        <x:v>0.009027777777777777</x:v>
      </x:c>
      <x:c r="I45" s="32" t="n">
        <x:f>ROUND((H45-G45)*1440,0)</x:f>
        <x:v>3</x:v>
      </x:c>
      <x:c r="J45" s="13" t="str">
        <x:v>Самопроверка</x:v>
      </x:c>
      <x:c r="K45" s="13" t="str">
        <x:v>Оцени реакцию после вторника: плечо, пальцы, правое колено 0–10. Запиши, что изменилось относительно вчерашнего утра.</x:v>
      </x:c>
      <x:c r="L45" s="13" t="str">
        <x:v>☐ Не начато</x:v>
      </x:c>
      <x:c r="M45" s="13" t="str">
        <x:v>Обязательно</x:v>
      </x:c>
      <x:c r="N45" s="13" t="str">
        <x:v>Без нагрузки</x:v>
      </x:c>
      <x:c r="O45" s="13" t="str">
        <x:v>Острая локальная боль пальца или ухудшение плеча = не делать четверговую пальцевую нагрузку.</x:v>
      </x:c>
      <x:c r="P45" s="13" t="str">
        <x:v>milestone_01_foundation/week_01_2026-09-07/03_WEDNESDAY.md</x:v>
      </x:c>
      <x:c r="Q45" s="138" t="str">
        <x:v>Markdown</x:v>
      </x:c>
      <x:c r="R45" s="20" t="str"/>
    </x:row>
    <x:row r="46" ht="36" customHeight="1">
      <x:c r="A46" s="19" t="str">
        <x:v>W01-20260909-0045</x:v>
      </x:c>
      <x:c r="B46" s="13" t="n">
        <x:v>1</x:v>
      </x:c>
      <x:c r="C46" s="13" t="str">
        <x:v>Этап 1 — База, разминка и исходная точка</x:v>
      </x:c>
      <x:c r="D46" s="138" t="str">
        <x:v>2026-09-09</x:v>
      </x:c>
      <x:c r="E46" s="13" t="str">
        <x:v>Среда</x:v>
      </x:c>
      <x:c r="F46" s="13" t="str">
        <x:v>Восстановление / видео</x:v>
      </x:c>
      <x:c r="G46" s="44" t="n">
        <x:v>0.009027777777777777</x:v>
      </x:c>
      <x:c r="H46" s="44" t="n">
        <x:v>0.01597222222222222</x:v>
      </x:c>
      <x:c r="I46" s="32" t="n">
        <x:f>ROUND((H46-G46)*1440,0)</x:f>
        <x:v>10</x:v>
      </x:c>
      <x:c r="J46" s="13" t="str">
        <x:v>Видеоразбор</x:v>
      </x:c>
      <x:c r="K46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46" s="13" t="str">
        <x:v>☐ Не начато</x:v>
      </x:c>
      <x:c r="M46" s="13" t="str">
        <x:v>Обязательно</x:v>
      </x:c>
      <x:c r="N46" s="13" t="str">
        <x:v>Без нагрузки</x:v>
      </x:c>
      <x:c r="O46" s="13" t="str"/>
      <x:c r="P46" s="13" t="str">
        <x:v>milestone_01_foundation/week_01_2026-09-07/03_WEDNESDAY.md</x:v>
      </x:c>
      <x:c r="Q46" s="138" t="str">
        <x:v>Markdown</x:v>
      </x:c>
      <x:c r="R46" s="20" t="str"/>
    </x:row>
    <x:row r="47" ht="36" customHeight="1">
      <x:c r="A47" s="19" t="str">
        <x:v>W01-20260909-0046</x:v>
      </x:c>
      <x:c r="B47" s="13" t="n">
        <x:v>1</x:v>
      </x:c>
      <x:c r="C47" s="13" t="str">
        <x:v>Этап 1 — База, разминка и исходная точка</x:v>
      </x:c>
      <x:c r="D47" s="138" t="str">
        <x:v>2026-09-09</x:v>
      </x:c>
      <x:c r="E47" s="13" t="str">
        <x:v>Среда</x:v>
      </x:c>
      <x:c r="F47" s="13" t="str">
        <x:v>Восстановление / видео</x:v>
      </x:c>
      <x:c r="G47" s="44" t="n">
        <x:v>0.01597222222222222</x:v>
      </x:c>
      <x:c r="H47" s="44" t="n">
        <x:v>0.01875</x:v>
      </x:c>
      <x:c r="I47" s="32" t="n">
        <x:f>ROUND((H47-G47)*1440,0)</x:f>
        <x:v>4</x:v>
      </x:c>
      <x:c r="J47" s="13" t="str">
        <x:v>Конспект</x:v>
      </x:c>
      <x:c r="K47" s="13" t="str">
        <x:v>Запиши одну правку на четверг в формате «В следующей попытке я…». Используй cue: «Смотри на стопу до момента, когда вес уже передан на неё.».</x:v>
      </x:c>
      <x:c r="L47" s="13" t="str">
        <x:v>☐ Не начато</x:v>
      </x:c>
      <x:c r="M47" s="13" t="str">
        <x:v>Обязательно</x:v>
      </x:c>
      <x:c r="N47" s="13" t="str">
        <x:v>Без нагрузки</x:v>
      </x:c>
      <x:c r="O47" s="13" t="str"/>
      <x:c r="P47" s="13" t="str">
        <x:v>milestone_01_foundation/week_01_2026-09-07/03_WEDNESDAY.md</x:v>
      </x:c>
      <x:c r="Q47" s="138" t="str">
        <x:v>Markdown</x:v>
      </x:c>
      <x:c r="R47" s="20" t="str"/>
    </x:row>
    <x:row r="48" ht="36" customHeight="1">
      <x:c r="A48" s="19" t="str">
        <x:v>W01-20260909-0047</x:v>
      </x:c>
      <x:c r="B48" s="13" t="n">
        <x:v>1</x:v>
      </x:c>
      <x:c r="C48" s="13" t="str">
        <x:v>Этап 1 — База, разминка и исходная точка</x:v>
      </x:c>
      <x:c r="D48" s="138" t="str">
        <x:v>2026-09-09</x:v>
      </x:c>
      <x:c r="E48" s="13" t="str">
        <x:v>Среда</x:v>
      </x:c>
      <x:c r="F48" s="13" t="str">
        <x:v>Восстановление / видео</x:v>
      </x:c>
      <x:c r="G48" s="44" t="n">
        <x:v>0.01875</x:v>
      </x:c>
      <x:c r="H48" s="44" t="n">
        <x:v>0.027083333333333334</x:v>
      </x:c>
      <x:c r="I48" s="32" t="n">
        <x:f>ROUND((H48-G48)*1440,0)</x:f>
        <x:v>12</x:v>
      </x:c>
      <x:c r="J48" s="13" t="str">
        <x:v>Домашняя мобильность</x:v>
      </x:c>
      <x:c r="K48" s="13" t="str">
        <x:v>Выполни комплекс H2 «Баланс и опора ног», 12 минут. Ни турника, ни колец для дополнительного хвата.</x:v>
      </x:c>
      <x:c r="L48" s="13" t="str">
        <x:v>☐ Не начато</x:v>
      </x:c>
      <x:c r="M48" s="13" t="str">
        <x:v>Обязательно</x:v>
      </x:c>
      <x:c r="N48" s="13" t="str">
        <x:v>RPE 2–3</x:v>
      </x:c>
      <x:c r="O48" s="13" t="str">
        <x:v>Не уходи в глубокий присед. Стена используется как страховка; упражнение не должно провоцировать правое колено.</x:v>
      </x:c>
      <x:c r="P48" s="13" t="str">
        <x:v>milestone_01_foundation/week_01_2026-09-07/03_WEDNESDAY.md</x:v>
      </x:c>
      <x:c r="Q48" s="138" t="str">
        <x:v>Markdown</x:v>
      </x:c>
      <x:c r="R48" s="20" t="str"/>
    </x:row>
    <x:row r="49" ht="36" customHeight="1">
      <x:c r="A49" s="19" t="str">
        <x:v>W01-20260909-0048</x:v>
      </x:c>
      <x:c r="B49" s="13" t="n">
        <x:v>1</x:v>
      </x:c>
      <x:c r="C49" s="13" t="str">
        <x:v>Этап 1 — База, разминка и исходная точка</x:v>
      </x:c>
      <x:c r="D49" s="138" t="str">
        <x:v>2026-09-09</x:v>
      </x:c>
      <x:c r="E49" s="13" t="str">
        <x:v>Среда</x:v>
      </x:c>
      <x:c r="F49" s="13" t="str">
        <x:v>Восстановление / видео</x:v>
      </x:c>
      <x:c r="G49" s="44" t="n">
        <x:v>0.027083333333333334</x:v>
      </x:c>
      <x:c r="H49" s="44" t="n">
        <x:v>0.04097222222222222</x:v>
      </x:c>
      <x:c r="I49" s="32" t="n">
        <x:f>ROUND((H49-G49)*1440,0)</x:f>
        <x:v>20</x:v>
      </x:c>
      <x:c r="J49" s="13" t="str">
        <x:v>Физиотерапия</x:v>
      </x:c>
      <x:c r="K49" s="13" t="str">
        <x:v>Выполни свой назначенный физиотерапевтом комплекс, если среда входит в его расписание.</x:v>
      </x:c>
      <x:c r="L49" s="13" t="str">
        <x:v>☐ Не начато</x:v>
      </x:c>
      <x:c r="M49" s="13" t="str">
        <x:v>По назначению</x:v>
      </x:c>
      <x:c r="N49" s="13" t="str">
        <x:v>По назначению</x:v>
      </x:c>
      <x:c r="O49" s="13" t="str">
        <x:v>Назначения физиотерапевта имеют приоритет.</x:v>
      </x:c>
      <x:c r="P49" s="13" t="str">
        <x:v>milestone_01_foundation/week_01_2026-09-07/03_WEDNESDAY.md</x:v>
      </x:c>
      <x:c r="Q49" s="138" t="str">
        <x:v>Markdown</x:v>
      </x:c>
      <x:c r="R49" s="20" t="str"/>
    </x:row>
    <x:row r="50" ht="36" customHeight="1">
      <x:c r="A50" s="19" t="str">
        <x:v>W01-20260909-0049</x:v>
      </x:c>
      <x:c r="B50" s="13" t="n">
        <x:v>1</x:v>
      </x:c>
      <x:c r="C50" s="13" t="str">
        <x:v>Этап 1 — База, разминка и исходная точка</x:v>
      </x:c>
      <x:c r="D50" s="138" t="str">
        <x:v>2026-09-09</x:v>
      </x:c>
      <x:c r="E50" s="13" t="str">
        <x:v>Среда</x:v>
      </x:c>
      <x:c r="F50" s="13" t="str">
        <x:v>Восстановление / видео</x:v>
      </x:c>
      <x:c r="G50" s="44" t="n">
        <x:v>0.04097222222222222</x:v>
      </x:c>
      <x:c r="H50" s="44" t="n">
        <x:v>0.043055555555555555</x:v>
      </x:c>
      <x:c r="I50" s="32" t="n">
        <x:f>ROUND((H50-G50)*1440,0)</x:f>
        <x:v>3</x:v>
      </x:c>
      <x:c r="J50" s="13" t="str">
        <x:v>Запрет лишней нагрузки</x:v>
      </x:c>
      <x:c r="K50" s="13" t="str">
        <x:v>Поставь отметку: сегодня не было висов, подтягиваний «на проверку», эспандера-сжимателя или тяжёлого ношения.</x:v>
      </x:c>
      <x:c r="L50" s="13" t="str">
        <x:v>☐ Не начато</x:v>
      </x:c>
      <x:c r="M50" s="13" t="str">
        <x:v>Обязательно</x:v>
      </x:c>
      <x:c r="N50" s="13" t="str">
        <x:v>Восстановление</x:v>
      </x:c>
      <x:c r="O50" s="13" t="str"/>
      <x:c r="P50" s="13" t="str">
        <x:v>milestone_01_foundation/week_01_2026-09-07/03_WEDNESDAY.md</x:v>
      </x:c>
      <x:c r="Q50" s="138" t="str">
        <x:v>Markdown</x:v>
      </x:c>
      <x:c r="R50" s="20" t="str"/>
    </x:row>
    <x:row r="51" ht="36" customHeight="1">
      <x:c r="A51" s="19" t="str">
        <x:v>W01-20260910-0050</x:v>
      </x:c>
      <x:c r="B51" s="13" t="n">
        <x:v>1</x:v>
      </x:c>
      <x:c r="C51" s="13" t="str">
        <x:v>Этап 1 — База, разминка и исходная точка</x:v>
      </x:c>
      <x:c r="D51" s="138" t="str">
        <x:v>2026-09-10</x:v>
      </x:c>
      <x:c r="E51" s="13" t="str">
        <x:v>Четверг</x:v>
      </x:c>
      <x:c r="F51" s="13" t="str">
        <x:v>Тренировка B — пальцы/проект</x:v>
      </x:c>
      <x:c r="G51" s="44" t="n">
        <x:v>0</x:v>
      </x:c>
      <x:c r="H51" s="44" t="n">
        <x:v>0.0020833333333333333</x:v>
      </x:c>
      <x:c r="I51" s="32" t="n">
        <x:f>ROUND((H51-G51)*1440,0)</x:f>
        <x:v>3</x:v>
      </x:c>
      <x:c r="J51" s="13" t="str">
        <x:v>Самопроверка</x:v>
      </x:c>
      <x:c r="K51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51" s="13" t="str">
        <x:v>☐ Не начато</x:v>
      </x:c>
      <x:c r="M51" s="13" t="str">
        <x:v>Обязательно</x:v>
      </x:c>
      <x:c r="N51" s="13" t="str">
        <x:v>Без нагрузки</x:v>
      </x:c>
      <x:c r="O51" s="13" t="str">
        <x:v>Красный флаг = не начинать пальцевую нагрузку.</x:v>
      </x:c>
      <x:c r="P51" s="13" t="str">
        <x:v>milestone_01_foundation/week_01_2026-09-07/04_THURSDAY.md</x:v>
      </x:c>
      <x:c r="Q51" s="138" t="str">
        <x:v>Markdown</x:v>
      </x:c>
      <x:c r="R51" s="20" t="str"/>
    </x:row>
    <x:row r="52" ht="36" customHeight="1">
      <x:c r="A52" s="19" t="str">
        <x:v>W01-20260910-0051</x:v>
      </x:c>
      <x:c r="B52" s="13" t="n">
        <x:v>1</x:v>
      </x:c>
      <x:c r="C52" s="13" t="str">
        <x:v>Этап 1 — База, разминка и исходная точка</x:v>
      </x:c>
      <x:c r="D52" s="138" t="str">
        <x:v>2026-09-10</x:v>
      </x:c>
      <x:c r="E52" s="13" t="str">
        <x:v>Четверг</x:v>
      </x:c>
      <x:c r="F52" s="13" t="str">
        <x:v>Тренировка B — пальцы/проект</x:v>
      </x:c>
      <x:c r="G52" s="44" t="n">
        <x:v>0.0020833333333333333</x:v>
      </x:c>
      <x:c r="H52" s="44" t="n">
        <x:v>0.005555555555555556</x:v>
      </x:c>
      <x:c r="I52" s="32" t="n">
        <x:f>ROUND((H52-G52)*1440,0)</x:f>
        <x:v>5</x:v>
      </x:c>
      <x:c r="J52" s="13" t="str">
        <x:v>Разминка</x:v>
      </x:c>
      <x:c r="K52" s="13" t="str">
        <x:v>Подними температуру: быстрая ходьба, лестница или лёгкий велотренажёр 5 минут.</x:v>
      </x:c>
      <x:c r="L52" s="13" t="str">
        <x:v>☐ Не начато</x:v>
      </x:c>
      <x:c r="M52" s="13" t="str">
        <x:v>Обязательно</x:v>
      </x:c>
      <x:c r="N52" s="13" t="str">
        <x:v>RPE 2–3</x:v>
      </x:c>
      <x:c r="O52" s="13" t="str"/>
      <x:c r="P52" s="13" t="str">
        <x:v>milestone_01_foundation/week_01_2026-09-07/04_THURSDAY.md</x:v>
      </x:c>
      <x:c r="Q52" s="138" t="str">
        <x:v>Markdown</x:v>
      </x:c>
      <x:c r="R52" s="20" t="str"/>
    </x:row>
    <x:row r="53" ht="36" customHeight="1">
      <x:c r="A53" s="19" t="str">
        <x:v>W01-20260910-0052</x:v>
      </x:c>
      <x:c r="B53" s="13" t="n">
        <x:v>1</x:v>
      </x:c>
      <x:c r="C53" s="13" t="str">
        <x:v>Этап 1 — База, разминка и исходная точка</x:v>
      </x:c>
      <x:c r="D53" s="138" t="str">
        <x:v>2026-09-10</x:v>
      </x:c>
      <x:c r="E53" s="13" t="str">
        <x:v>Четверг</x:v>
      </x:c>
      <x:c r="F53" s="13" t="str">
        <x:v>Тренировка B — пальцы/проект</x:v>
      </x:c>
      <x:c r="G53" s="44" t="n">
        <x:v>0.005555555555555556</x:v>
      </x:c>
      <x:c r="H53" s="44" t="n">
        <x:v>0.009027777777777777</x:v>
      </x:c>
      <x:c r="I53" s="32" t="n">
        <x:f>ROUND((H53-G53)*1440,0)</x:f>
        <x:v>5</x:v>
      </x:c>
      <x:c r="J53" s="13" t="str">
        <x:v>Разминка</x:v>
      </x:c>
      <x:c r="K53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53" s="13" t="str">
        <x:v>☐ Не начато</x:v>
      </x:c>
      <x:c r="M53" s="13" t="str">
        <x:v>Обязательно</x:v>
      </x:c>
      <x:c r="N53" s="13" t="str">
        <x:v>Очень легко</x:v>
      </x:c>
      <x:c r="O53" s="13" t="str">
        <x:v>Не делай press/отжимания и движения, которые раздражают плечо.</x:v>
      </x:c>
      <x:c r="P53" s="13" t="str">
        <x:v>milestone_01_foundation/week_01_2026-09-07/04_THURSDAY.md</x:v>
      </x:c>
      <x:c r="Q53" s="138" t="str">
        <x:v>Markdown</x:v>
      </x:c>
      <x:c r="R53" s="20" t="str"/>
    </x:row>
    <x:row r="54" ht="36" customHeight="1">
      <x:c r="A54" s="19" t="str">
        <x:v>W01-20260910-0053</x:v>
      </x:c>
      <x:c r="B54" s="13" t="n">
        <x:v>1</x:v>
      </x:c>
      <x:c r="C54" s="13" t="str">
        <x:v>Этап 1 — База, разминка и исходная точка</x:v>
      </x:c>
      <x:c r="D54" s="138" t="str">
        <x:v>2026-09-10</x:v>
      </x:c>
      <x:c r="E54" s="13" t="str">
        <x:v>Четверг</x:v>
      </x:c>
      <x:c r="F54" s="13" t="str">
        <x:v>Тренировка B — пальцы/проект</x:v>
      </x:c>
      <x:c r="G54" s="44" t="n">
        <x:v>0.009027777777777777</x:v>
      </x:c>
      <x:c r="H54" s="44" t="n">
        <x:v>0.011805555555555555</x:v>
      </x:c>
      <x:c r="I54" s="32" t="n">
        <x:f>ROUND((H54-G54)*1440,0)</x:f>
        <x:v>4</x:v>
      </x:c>
      <x:c r="J54" s="13" t="str">
        <x:v>Разминка пальцев</x:v>
      </x:c>
      <x:c r="K54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54" s="13" t="str">
        <x:v>☐ Не начато</x:v>
      </x:c>
      <x:c r="M54" s="13" t="str">
        <x:v>Обязательно</x:v>
      </x:c>
      <x:c r="N54" s="13" t="str">
        <x:v>Очень легко</x:v>
      </x:c>
      <x:c r="O54" s="13" t="str"/>
      <x:c r="P54" s="13" t="str">
        <x:v>milestone_01_foundation/week_01_2026-09-07/04_THURSDAY.md</x:v>
      </x:c>
      <x:c r="Q54" s="138" t="str">
        <x:v>Markdown</x:v>
      </x:c>
      <x:c r="R54" s="20" t="str"/>
    </x:row>
    <x:row r="55" ht="36" customHeight="1">
      <x:c r="A55" s="19" t="str">
        <x:v>W01-20260910-0054</x:v>
      </x:c>
      <x:c r="B55" s="13" t="n">
        <x:v>1</x:v>
      </x:c>
      <x:c r="C55" s="13" t="str">
        <x:v>Этап 1 — База, разминка и исходная точка</x:v>
      </x:c>
      <x:c r="D55" s="138" t="str">
        <x:v>2026-09-10</x:v>
      </x:c>
      <x:c r="E55" s="13" t="str">
        <x:v>Четверг</x:v>
      </x:c>
      <x:c r="F55" s="13" t="str">
        <x:v>Тренировка B — пальцы/проект</x:v>
      </x:c>
      <x:c r="G55" s="44" t="n">
        <x:v>0.011805555555555555</x:v>
      </x:c>
      <x:c r="H55" s="44" t="n">
        <x:v>0.014583333333333334</x:v>
      </x:c>
      <x:c r="I55" s="32" t="n">
        <x:f>ROUND((H55-G55)*1440,0)</x:f>
        <x:v>4</x:v>
      </x:c>
      <x:c r="J55" s="13" t="str">
        <x:v>Разминочное лазание</x:v>
      </x:c>
      <x:c r="K55" s="13" t="str">
        <x:v>Пройди 2 очень лёгкие трассы уровня 1–2; двигайся медленно, спускайся по зацепам.</x:v>
      </x:c>
      <x:c r="L55" s="13" t="str">
        <x:v>☐ Не начато</x:v>
      </x:c>
      <x:c r="M55" s="13" t="str">
        <x:v>Обязательно</x:v>
      </x:c>
      <x:c r="N55" s="13" t="str">
        <x:v>RPE 2–3</x:v>
      </x:c>
      <x:c r="O55" s="13" t="str">
        <x:v>Финиш с обязательным болезненным mantle/press пропусти.</x:v>
      </x:c>
      <x:c r="P55" s="13" t="str">
        <x:v>milestone_01_foundation/week_01_2026-09-07/04_THURSDAY.md</x:v>
      </x:c>
      <x:c r="Q55" s="138" t="str">
        <x:v>Markdown</x:v>
      </x:c>
      <x:c r="R55" s="20" t="str"/>
    </x:row>
    <x:row r="56" ht="36" customHeight="1">
      <x:c r="A56" s="19" t="str">
        <x:v>W01-20260910-0055</x:v>
      </x:c>
      <x:c r="B56" s="13" t="n">
        <x:v>1</x:v>
      </x:c>
      <x:c r="C56" s="13" t="str">
        <x:v>Этап 1 — База, разминка и исходная точка</x:v>
      </x:c>
      <x:c r="D56" s="138" t="str">
        <x:v>2026-09-10</x:v>
      </x:c>
      <x:c r="E56" s="13" t="str">
        <x:v>Четверг</x:v>
      </x:c>
      <x:c r="F56" s="13" t="str">
        <x:v>Тренировка B — пальцы/проект</x:v>
      </x:c>
      <x:c r="G56" s="44" t="n">
        <x:v>0.014583333333333334</x:v>
      </x:c>
      <x:c r="H56" s="44" t="n">
        <x:v>0.017361111111111112</x:v>
      </x:c>
      <x:c r="I56" s="32" t="n">
        <x:f>ROUND((H56-G56)*1440,0)</x:f>
        <x:v>4</x:v>
      </x:c>
      <x:c r="J56" s="13" t="str">
        <x:v>Разминочное лазание</x:v>
      </x:c>
      <x:c r="K56" s="13" t="str">
        <x:v>Пройди 2 трассы уровня 2–3, затем сделай 2–3 движения на комфортной четвёрке. Между ними 45–60 секунд.</x:v>
      </x:c>
      <x:c r="L56" s="13" t="str">
        <x:v>☐ Не начато</x:v>
      </x:c>
      <x:c r="M56" s="13" t="str">
        <x:v>Обязательно</x:v>
      </x:c>
      <x:c r="N56" s="13" t="str">
        <x:v>RPE 3–4</x:v>
      </x:c>
      <x:c r="O56" s="13" t="str">
        <x:v>Разминка не должна утомить пальцы.</x:v>
      </x:c>
      <x:c r="P56" s="13" t="str">
        <x:v>milestone_01_foundation/week_01_2026-09-07/04_THURSDAY.md</x:v>
      </x:c>
      <x:c r="Q56" s="138" t="str">
        <x:v>Markdown</x:v>
      </x:c>
      <x:c r="R56" s="20" t="str"/>
    </x:row>
    <x:row r="57" ht="36" customHeight="1">
      <x:c r="A57" s="19" t="str">
        <x:v>W01-20260910-0056</x:v>
      </x:c>
      <x:c r="B57" s="13" t="n">
        <x:v>1</x:v>
      </x:c>
      <x:c r="C57" s="13" t="str">
        <x:v>Этап 1 — База, разминка и исходная точка</x:v>
      </x:c>
      <x:c r="D57" s="138" t="str">
        <x:v>2026-09-10</x:v>
      </x:c>
      <x:c r="E57" s="13" t="str">
        <x:v>Четверг</x:v>
      </x:c>
      <x:c r="F57" s="13" t="str">
        <x:v>Тренировка B — пальцы/проект</x:v>
      </x:c>
      <x:c r="G57" s="44" t="n">
        <x:v>0.017361111111111112</x:v>
      </x:c>
      <x:c r="H57" s="44" t="n">
        <x:v>0.02013888888888889</x:v>
      </x:c>
      <x:c r="I57" s="32" t="n">
        <x:f>ROUND((H57-G57)*1440,0)</x:f>
        <x:v>4</x:v>
      </x:c>
      <x:c r="J57" s="13" t="str">
        <x:v>Техника</x:v>
      </x:c>
      <x:c r="K57" s="13" t="str">
        <x:v>Повтори cue недели на одной лёгкой трассе 2–3: «Смотри на стопу до момента, когда вес уже передан на неё.».</x:v>
      </x:c>
      <x:c r="L57" s="13" t="str">
        <x:v>☐ Не начато</x:v>
      </x:c>
      <x:c r="M57" s="13" t="str">
        <x:v>Обязательно</x:v>
      </x:c>
      <x:c r="N57" s="13" t="str">
        <x:v>RPE 3–4</x:v>
      </x:c>
      <x:c r="O57" s="13" t="str">
        <x:v>Плечо: пропусти финал с больным press/mantle. Колено: без глубоких приседаний и скручивания.</x:v>
      </x:c>
      <x:c r="P57" s="13" t="str">
        <x:v>milestone_01_foundation/week_01_2026-09-07/04_THURSDAY.md</x:v>
      </x:c>
      <x:c r="Q57" s="138" t="str">
        <x:v>Markdown</x:v>
      </x:c>
      <x:c r="R57" s="20" t="str"/>
    </x:row>
    <x:row r="58" ht="36" customHeight="1">
      <x:c r="A58" s="19" t="str">
        <x:v>W01-20260910-0057</x:v>
      </x:c>
      <x:c r="B58" s="13" t="n">
        <x:v>1</x:v>
      </x:c>
      <x:c r="C58" s="13" t="str">
        <x:v>Этап 1 — База, разминка и исходная точка</x:v>
      </x:c>
      <x:c r="D58" s="138" t="str">
        <x:v>2026-09-10</x:v>
      </x:c>
      <x:c r="E58" s="13" t="str">
        <x:v>Четверг</x:v>
      </x:c>
      <x:c r="F58" s="13" t="str">
        <x:v>Тренировка B — пальцы/проект</x:v>
      </x:c>
      <x:c r="G58" s="44" t="n">
        <x:v>0.02013888888888889</x:v>
      </x:c>
      <x:c r="H58" s="44" t="n">
        <x:v>0.025</x:v>
      </x:c>
      <x:c r="I58" s="32" t="n">
        <x:f>ROUND((H58-G58)*1440,0)</x:f>
        <x:v>7</x:v>
      </x:c>
      <x:c r="J58" s="13" t="str">
        <x:v>Подготовка проекта</x:v>
      </x:c>
      <x:c r="K58" s="13" t="str">
        <x:v>Выбери основной проект, очисти нужные зацепы, прочитай трассу 90 секунд и запиши предполагаемый crux.</x:v>
      </x:c>
      <x:c r="L58" s="13" t="str">
        <x:v>☐ Не начато</x:v>
      </x:c>
      <x:c r="M58" s="13" t="str">
        <x:v>Обязательно</x:v>
      </x:c>
      <x:c r="N58" s="13" t="str">
        <x:v>Без нагрузки</x:v>
      </x:c>
      <x:c r="O58" s="13" t="str"/>
      <x:c r="P58" s="13" t="str">
        <x:v>milestone_01_foundation/week_01_2026-09-07/04_THURSDAY.md</x:v>
      </x:c>
      <x:c r="Q58" s="138" t="str">
        <x:v>Markdown</x:v>
      </x:c>
      <x:c r="R58" s="20" t="str"/>
    </x:row>
    <x:row r="59" ht="36" customHeight="1">
      <x:c r="A59" s="19" t="str">
        <x:v>W01-20260910-0058</x:v>
      </x:c>
      <x:c r="B59" s="13" t="n">
        <x:v>1</x:v>
      </x:c>
      <x:c r="C59" s="13" t="str">
        <x:v>Этап 1 — База, разминка и исходная точка</x:v>
      </x:c>
      <x:c r="D59" s="138" t="str">
        <x:v>2026-09-10</x:v>
      </x:c>
      <x:c r="E59" s="13" t="str">
        <x:v>Четверг</x:v>
      </x:c>
      <x:c r="F59" s="13" t="str">
        <x:v>Тренировка B — пальцы/проект</x:v>
      </x:c>
      <x:c r="G59" s="44" t="n">
        <x:v>0.025</x:v>
      </x:c>
      <x:c r="H59" s="44" t="n">
        <x:v>0.02847222222222222</x:v>
      </x:c>
      <x:c r="I59" s="32" t="n">
        <x:f>ROUND((H59-G59)*1440,0)</x:f>
        <x:v>5</x:v>
      </x:c>
      <x:c r="J59" s="13" t="str">
        <x:v>Отдых</x:v>
      </x:c>
      <x:c r="K59" s="13" t="str">
        <x:v>Полный отдых перед проектом: походи, не висни на зацепах.</x:v>
      </x:c>
      <x:c r="L59" s="13" t="str">
        <x:v>☐ Не начато</x:v>
      </x:c>
      <x:c r="M59" s="13" t="str">
        <x:v>Обязательно</x:v>
      </x:c>
      <x:c r="N59" s="13" t="str">
        <x:v>Восстановление</x:v>
      </x:c>
      <x:c r="O59" s="13" t="str"/>
      <x:c r="P59" s="13" t="str">
        <x:v>milestone_01_foundation/week_01_2026-09-07/04_THURSDAY.md</x:v>
      </x:c>
      <x:c r="Q59" s="138" t="str">
        <x:v>Markdown</x:v>
      </x:c>
      <x:c r="R59" s="20" t="str"/>
    </x:row>
    <x:row r="60" ht="36" customHeight="1">
      <x:c r="A60" s="19" t="str">
        <x:v>W01-20260910-0059</x:v>
      </x:c>
      <x:c r="B60" s="13" t="n">
        <x:v>1</x:v>
      </x:c>
      <x:c r="C60" s="13" t="str">
        <x:v>Этап 1 — База, разминка и исходная точка</x:v>
      </x:c>
      <x:c r="D60" s="138" t="str">
        <x:v>2026-09-10</x:v>
      </x:c>
      <x:c r="E60" s="13" t="str">
        <x:v>Четверг</x:v>
      </x:c>
      <x:c r="F60" s="13" t="str">
        <x:v>Тренировка B — пальцы/проект</x:v>
      </x:c>
      <x:c r="G60" s="44" t="n">
        <x:v>0.02847222222222222</x:v>
      </x:c>
      <x:c r="H60" s="44" t="n">
        <x:v>0.03125</x:v>
      </x:c>
      <x:c r="I60" s="32" t="n">
        <x:f>ROUND((H60-G60)*1440,0)</x:f>
        <x:v>4</x:v>
      </x:c>
      <x:c r="J60" s="13" t="str">
        <x:v>Выбор проекта</x:v>
      </x:c>
      <x:c r="K60" s="13" t="str">
        <x:v>Выбери трассу по критериям недели: 2 пятёрки: одна с положительными зацепами и понятными ногами, одна другого стиля. Без обязательного жёсткого толчка рукой.</x:v>
      </x:c>
      <x:c r="L60" s="13" t="str">
        <x:v>☐ Не начато</x:v>
      </x:c>
      <x:c r="M60" s="13" t="str">
        <x:v>Обязательно</x:v>
      </x:c>
      <x:c r="N60" s="13" t="str">
        <x:v>Без нагрузки</x:v>
      </x:c>
      <x:c r="O60" s="13" t="str">
        <x:v>Плечо: пропусти финал с больным press/mantle. Колено: без глубоких приседаний и скручивания.</x:v>
      </x:c>
      <x:c r="P60" s="13" t="str">
        <x:v>milestone_01_foundation/week_01_2026-09-07/04_THURSDAY.md</x:v>
      </x:c>
      <x:c r="Q60" s="138" t="str">
        <x:v>Markdown</x:v>
      </x:c>
      <x:c r="R60" s="20" t="str"/>
    </x:row>
    <x:row r="61" ht="36" customHeight="1">
      <x:c r="A61" s="19" t="str">
        <x:v>W01-20260910-0060</x:v>
      </x:c>
      <x:c r="B61" s="13" t="n">
        <x:v>1</x:v>
      </x:c>
      <x:c r="C61" s="13" t="str">
        <x:v>Этап 1 — База, разминка и исходная точка</x:v>
      </x:c>
      <x:c r="D61" s="138" t="str">
        <x:v>2026-09-10</x:v>
      </x:c>
      <x:c r="E61" s="13" t="str">
        <x:v>Четверг</x:v>
      </x:c>
      <x:c r="F61" s="13" t="str">
        <x:v>Тренировка B — пальцы/проект</x:v>
      </x:c>
      <x:c r="G61" s="44" t="n">
        <x:v>0.03125</x:v>
      </x:c>
      <x:c r="H61" s="44" t="n">
        <x:v>0.034722222222222224</x:v>
      </x:c>
      <x:c r="I61" s="32" t="n">
        <x:f>ROUND((H61-G61)*1440,0)</x:f>
        <x:v>5</x:v>
      </x:c>
      <x:c r="J61" s="13" t="str">
        <x:v>Проект — попытка 1</x:v>
      </x:c>
      <x:c r="K61" s="13" t="str">
        <x:v>Сделай первую полную диагностическую попытку. После падения не повторяй сразу: назови точную причину.</x:v>
      </x:c>
      <x:c r="L61" s="13" t="str">
        <x:v>☐ Не начато</x:v>
      </x:c>
      <x:c r="M61" s="13" t="str">
        <x:v>Обязательно</x:v>
      </x:c>
      <x:c r="N61" s="13" t="str">
        <x:v>RPE 7–8</x:v>
      </x:c>
      <x:c r="O61" s="13" t="str">
        <x:v>Прекратить движение при боли, а не после падения.</x:v>
      </x:c>
      <x:c r="P61" s="13" t="str">
        <x:v>milestone_01_foundation/week_01_2026-09-07/04_THURSDAY.md</x:v>
      </x:c>
      <x:c r="Q61" s="138" t="str">
        <x:v>Markdown</x:v>
      </x:c>
      <x:c r="R61" s="20" t="str"/>
    </x:row>
    <x:row r="62" ht="36" customHeight="1">
      <x:c r="A62" s="19" t="str">
        <x:v>W01-20260910-0061</x:v>
      </x:c>
      <x:c r="B62" s="13" t="n">
        <x:v>1</x:v>
      </x:c>
      <x:c r="C62" s="13" t="str">
        <x:v>Этап 1 — База, разминка и исходная точка</x:v>
      </x:c>
      <x:c r="D62" s="138" t="str">
        <x:v>2026-09-10</x:v>
      </x:c>
      <x:c r="E62" s="13" t="str">
        <x:v>Четверг</x:v>
      </x:c>
      <x:c r="F62" s="13" t="str">
        <x:v>Тренировка B — пальцы/проект</x:v>
      </x:c>
      <x:c r="G62" s="44" t="n">
        <x:v>0.034722222222222224</x:v>
      </x:c>
      <x:c r="H62" s="44" t="n">
        <x:v>0.03819444444444445</x:v>
      </x:c>
      <x:c r="I62" s="32" t="n">
        <x:f>ROUND((H62-G62)*1440,0)</x:f>
        <x:v>5</x:v>
      </x:c>
      <x:c r="J62" s="13" t="str">
        <x:v>Отдых / гипотеза</x:v>
      </x:c>
      <x:c r="K62" s="13" t="str">
        <x:v>Отдых 4–5 минут. Запиши одну гипотезу: стопа, положение таза, хват или темп.</x:v>
      </x:c>
      <x:c r="L62" s="13" t="str">
        <x:v>☐ Не начато</x:v>
      </x:c>
      <x:c r="M62" s="13" t="str">
        <x:v>Обязательно</x:v>
      </x:c>
      <x:c r="N62" s="13" t="str">
        <x:v>Восстановление</x:v>
      </x:c>
      <x:c r="O62" s="13" t="str"/>
      <x:c r="P62" s="13" t="str">
        <x:v>milestone_01_foundation/week_01_2026-09-07/04_THURSDAY.md</x:v>
      </x:c>
      <x:c r="Q62" s="138" t="str">
        <x:v>Markdown</x:v>
      </x:c>
      <x:c r="R62" s="20" t="str"/>
    </x:row>
    <x:row r="63" ht="36" customHeight="1">
      <x:c r="A63" s="19" t="str">
        <x:v>W01-20260910-0062</x:v>
      </x:c>
      <x:c r="B63" s="13" t="n">
        <x:v>1</x:v>
      </x:c>
      <x:c r="C63" s="13" t="str">
        <x:v>Этап 1 — База, разминка и исходная точка</x:v>
      </x:c>
      <x:c r="D63" s="138" t="str">
        <x:v>2026-09-10</x:v>
      </x:c>
      <x:c r="E63" s="13" t="str">
        <x:v>Четверг</x:v>
      </x:c>
      <x:c r="F63" s="13" t="str">
        <x:v>Тренировка B — пальцы/проект</x:v>
      </x:c>
      <x:c r="G63" s="44" t="n">
        <x:v>0.03819444444444445</x:v>
      </x:c>
      <x:c r="H63" s="44" t="n">
        <x:v>0.04236111111111111</x:v>
      </x:c>
      <x:c r="I63" s="32" t="n">
        <x:f>ROUND((H63-G63)*1440,0)</x:f>
        <x:v>6</x:v>
      </x:c>
      <x:c r="J63" s="13" t="str">
        <x:v>Проект — попытки 2–3</x:v>
      </x:c>
      <x:c r="K63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63" s="13" t="str">
        <x:v>☐ Не начато</x:v>
      </x:c>
      <x:c r="M63" s="13" t="str">
        <x:v>Обязательно</x:v>
      </x:c>
      <x:c r="N63" s="13" t="str">
        <x:v>RPE 7–8, без отказа</x:v>
      </x:c>
      <x:c r="O63" s="13" t="str">
        <x:v>Не смотреть beta заранее: сначала собственная гипотеза.</x:v>
      </x:c>
      <x:c r="P63" s="13" t="str">
        <x:v>milestone_01_foundation/week_01_2026-09-07/04_THURSDAY.md</x:v>
      </x:c>
      <x:c r="Q63" s="138" t="str">
        <x:v>Markdown</x:v>
      </x:c>
      <x:c r="R63" s="20" t="str"/>
    </x:row>
    <x:row r="64" ht="36" customHeight="1">
      <x:c r="A64" s="19" t="str">
        <x:v>W01-20260910-0063</x:v>
      </x:c>
      <x:c r="B64" s="13" t="n">
        <x:v>1</x:v>
      </x:c>
      <x:c r="C64" s="13" t="str">
        <x:v>Этап 1 — База, разминка и исходная точка</x:v>
      </x:c>
      <x:c r="D64" s="138" t="str">
        <x:v>2026-09-10</x:v>
      </x:c>
      <x:c r="E64" s="13" t="str">
        <x:v>Четверг</x:v>
      </x:c>
      <x:c r="F64" s="13" t="str">
        <x:v>Тренировка B — пальцы/проект</x:v>
      </x:c>
      <x:c r="G64" s="44" t="n">
        <x:v>0.04236111111111111</x:v>
      </x:c>
      <x:c r="H64" s="44" t="n">
        <x:v>0.05277777777777778</x:v>
      </x:c>
      <x:c r="I64" s="32" t="n">
        <x:f>ROUND((H64-G64)*1440,0)</x:f>
        <x:v>15</x:v>
      </x:c>
      <x:c r="J64" s="13" t="str">
        <x:v>Проект — заключительная попытка</x:v>
      </x:c>
      <x:c r="K64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64" s="13" t="str">
        <x:v>☐ Не начато</x:v>
      </x:c>
      <x:c r="M64" s="13" t="str">
        <x:v>Обязательно</x:v>
      </x:c>
      <x:c r="N64" s="13" t="str">
        <x:v>RPE 8, с запасом</x:v>
      </x:c>
      <x:c r="O64" s="13" t="str">
        <x:v>Плечо: пропусти финал с больным press/mantle. Колено: без глубоких приседаний и скручивания.</x:v>
      </x:c>
      <x:c r="P64" s="13" t="str">
        <x:v>milestone_01_foundation/week_01_2026-09-07/04_THURSDAY.md</x:v>
      </x:c>
      <x:c r="Q64" s="138" t="str">
        <x:v>Markdown</x:v>
      </x:c>
      <x:c r="R64" s="20" t="str"/>
    </x:row>
    <x:row r="65" ht="36" customHeight="1">
      <x:c r="A65" s="19" t="str">
        <x:v>W01-20260910-0064</x:v>
      </x:c>
      <x:c r="B65" s="13" t="n">
        <x:v>1</x:v>
      </x:c>
      <x:c r="C65" s="13" t="str">
        <x:v>Этап 1 — База, разминка и исходная точка</x:v>
      </x:c>
      <x:c r="D65" s="138" t="str">
        <x:v>2026-09-10</x:v>
      </x:c>
      <x:c r="E65" s="13" t="str">
        <x:v>Четверг</x:v>
      </x:c>
      <x:c r="F65" s="13" t="str">
        <x:v>Тренировка B — пальцы/проект</x:v>
      </x:c>
      <x:c r="G65" s="44" t="n">
        <x:v>0.05277777777777778</x:v>
      </x:c>
      <x:c r="H65" s="44" t="n">
        <x:v>0.05763888888888889</x:v>
      </x:c>
      <x:c r="I65" s="32" t="n">
        <x:f>ROUND((H65-G65)*1440,0)</x:f>
        <x:v>7</x:v>
      </x:c>
      <x:c r="J65" s="13" t="str">
        <x:v>Вторичная трасса</x:v>
      </x:c>
      <x:c r="K65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65" s="13" t="str">
        <x:v>☐ Не начато</x:v>
      </x:c>
      <x:c r="M65" s="13" t="str">
        <x:v>Обязательно</x:v>
      </x:c>
      <x:c r="N65" s="13" t="str">
        <x:v>RPE 5–7</x:v>
      </x:c>
      <x:c r="O65" s="13" t="str">
        <x:v>Пропустить, если хват уже просел.</x:v>
      </x:c>
      <x:c r="P65" s="13" t="str">
        <x:v>milestone_01_foundation/week_01_2026-09-07/04_THURSDAY.md</x:v>
      </x:c>
      <x:c r="Q65" s="138" t="str">
        <x:v>Markdown</x:v>
      </x:c>
      <x:c r="R65" s="20" t="str"/>
    </x:row>
    <x:row r="66" ht="36" customHeight="1">
      <x:c r="A66" s="19" t="str">
        <x:v>W01-20260910-0065</x:v>
      </x:c>
      <x:c r="B66" s="13" t="n">
        <x:v>1</x:v>
      </x:c>
      <x:c r="C66" s="13" t="str">
        <x:v>Этап 1 — База, разминка и исходная точка</x:v>
      </x:c>
      <x:c r="D66" s="138" t="str">
        <x:v>2026-09-10</x:v>
      </x:c>
      <x:c r="E66" s="13" t="str">
        <x:v>Четверг</x:v>
      </x:c>
      <x:c r="F66" s="13" t="str">
        <x:v>Тренировка B — пальцы/проект</x:v>
      </x:c>
      <x:c r="G66" s="44" t="n">
        <x:v>0.05763888888888889</x:v>
      </x:c>
      <x:c r="H66" s="44" t="n">
        <x:v>0.06041666666666667</x:v>
      </x:c>
      <x:c r="I66" s="32" t="n">
        <x:f>ROUND((H66-G66)*1440,0)</x:f>
        <x:v>4</x:v>
      </x:c>
      <x:c r="J66" s="13" t="str">
        <x:v>Завершение</x:v>
      </x:c>
      <x:c r="K66" s="13" t="str">
        <x:v>Очень лёгкий спуск/ходьба, вода, никаких финишных висов.</x:v>
      </x:c>
      <x:c r="L66" s="13" t="str">
        <x:v>☐ Не начато</x:v>
      </x:c>
      <x:c r="M66" s="13" t="str">
        <x:v>Обязательно</x:v>
      </x:c>
      <x:c r="N66" s="13" t="str">
        <x:v>RPE 1–2</x:v>
      </x:c>
      <x:c r="O66" s="13" t="str"/>
      <x:c r="P66" s="13" t="str">
        <x:v>milestone_01_foundation/week_01_2026-09-07/04_THURSDAY.md</x:v>
      </x:c>
      <x:c r="Q66" s="138" t="str">
        <x:v>Markdown</x:v>
      </x:c>
      <x:c r="R66" s="20" t="str"/>
    </x:row>
    <x:row r="67" ht="36" customHeight="1">
      <x:c r="A67" s="19" t="str">
        <x:v>W01-20260910-0066</x:v>
      </x:c>
      <x:c r="B67" s="13" t="n">
        <x:v>1</x:v>
      </x:c>
      <x:c r="C67" s="13" t="str">
        <x:v>Этап 1 — База, разминка и исходная точка</x:v>
      </x:c>
      <x:c r="D67" s="138" t="str">
        <x:v>2026-09-10</x:v>
      </x:c>
      <x:c r="E67" s="13" t="str">
        <x:v>Четверг</x:v>
      </x:c>
      <x:c r="F67" s="13" t="str">
        <x:v>Тренировка B — пальцы/проект</x:v>
      </x:c>
      <x:c r="G67" s="44" t="n">
        <x:v>0.06041666666666667</x:v>
      </x:c>
      <x:c r="H67" s="44" t="n">
        <x:v>0.0625</x:v>
      </x:c>
      <x:c r="I67" s="32" t="n">
        <x:f>ROUND((H67-G67)*1440,0)</x:f>
        <x:v>3</x:v>
      </x:c>
      <x:c r="J67" s="13" t="str">
        <x:v>Журнал</x:v>
      </x:c>
      <x:c r="K67" s="13" t="str">
        <x:v>Запиши попытки, лучшую связку, одну правку и benchmark: Базовый тест: 4 новые четвёрки (≤2 попыток каждая) + 3 пятёрки (≤3 попыток). Записать минуту первой явной просадки хвата.</x:v>
      </x:c>
      <x:c r="L67" s="13" t="str">
        <x:v>☐ Не начато</x:v>
      </x:c>
      <x:c r="M67" s="13" t="str">
        <x:v>Обязательно</x:v>
      </x:c>
      <x:c r="N67" s="13" t="str">
        <x:v>Без нагрузки</x:v>
      </x:c>
      <x:c r="O67" s="13" t="str"/>
      <x:c r="P67" s="13" t="str">
        <x:v>milestone_01_foundation/week_01_2026-09-07/04_THURSDAY.md</x:v>
      </x:c>
      <x:c r="Q67" s="138" t="str">
        <x:v>Markdown</x:v>
      </x:c>
      <x:c r="R67" s="20" t="str"/>
    </x:row>
    <x:row r="68" ht="36" customHeight="1">
      <x:c r="A68" s="19" t="str">
        <x:v>W01-20260911-0067</x:v>
      </x:c>
      <x:c r="B68" s="13" t="n">
        <x:v>1</x:v>
      </x:c>
      <x:c r="C68" s="13" t="str">
        <x:v>Этап 1 — База, разминка и исходная точка</x:v>
      </x:c>
      <x:c r="D68" s="138" t="str">
        <x:v>2026-09-11</x:v>
      </x:c>
      <x:c r="E68" s="13" t="str">
        <x:v>Пятница</x:v>
      </x:c>
      <x:c r="F68" s="13" t="str">
        <x:v>Дом / теория</x:v>
      </x:c>
      <x:c r="G68" s="44" t="n">
        <x:v>0</x:v>
      </x:c>
      <x:c r="H68" s="44" t="n">
        <x:v>0.0020833333333333333</x:v>
      </x:c>
      <x:c r="I68" s="32" t="n">
        <x:f>ROUND((H68-G68)*1440,0)</x:f>
        <x:v>3</x:v>
      </x:c>
      <x:c r="J68" s="13" t="str">
        <x:v>Самопроверка</x:v>
      </x:c>
      <x:c r="K68" s="13" t="str">
        <x:v>Оцени утреннюю реакцию после четверга: пальцы/плечо/колено 0–10. Запиши, восстановилась ли обычная сила кисти.</x:v>
      </x:c>
      <x:c r="L68" s="13" t="str">
        <x:v>☐ Не начато</x:v>
      </x:c>
      <x:c r="M68" s="13" t="str">
        <x:v>Обязательно</x:v>
      </x:c>
      <x:c r="N68" s="13" t="str">
        <x:v>Без нагрузки</x:v>
      </x:c>
      <x:c r="O68" s="13" t="str">
        <x:v>Острая локальная боль пальца или усилившаяся боль плеча = воскресенье только восстановительное.</x:v>
      </x:c>
      <x:c r="P68" s="13" t="str">
        <x:v>milestone_01_foundation/week_01_2026-09-07/05_FRIDAY.md</x:v>
      </x:c>
      <x:c r="Q68" s="138" t="str">
        <x:v>Markdown</x:v>
      </x:c>
      <x:c r="R68" s="20" t="str"/>
    </x:row>
    <x:row r="69" ht="36" customHeight="1">
      <x:c r="A69" s="19" t="str">
        <x:v>W01-20260911-0068</x:v>
      </x:c>
      <x:c r="B69" s="13" t="n">
        <x:v>1</x:v>
      </x:c>
      <x:c r="C69" s="13" t="str">
        <x:v>Этап 1 — База, разминка и исходная точка</x:v>
      </x:c>
      <x:c r="D69" s="138" t="str">
        <x:v>2026-09-11</x:v>
      </x:c>
      <x:c r="E69" s="13" t="str">
        <x:v>Пятница</x:v>
      </x:c>
      <x:c r="F69" s="13" t="str">
        <x:v>Дом / теория</x:v>
      </x:c>
      <x:c r="G69" s="44" t="n">
        <x:v>0.0020833333333333333</x:v>
      </x:c>
      <x:c r="H69" s="44" t="n">
        <x:v>0.007638888888888889</x:v>
      </x:c>
      <x:c r="I69" s="32" t="n">
        <x:f>ROUND((H69-G69)*1440,0)</x:f>
        <x:v>8</x:v>
      </x:c>
      <x:c r="J69" s="13" t="str">
        <x:v>Теория</x:v>
      </x:c>
      <x:c r="K69" s="13" t="str">
        <x:v>Посмотри/прочитай второй ресурс недели: [R02: Berta Block — BETA7](https://www.bertablock.de/beta7). Задача: Научиться сканировать QR у старта, сохранять трассу, отмечать попытки и смотреть beta-видео только после собственных попыток.</x:v>
      </x:c>
      <x:c r="L69" s="13" t="str">
        <x:v>☐ Не начато</x:v>
      </x:c>
      <x:c r="M69" s="13" t="str">
        <x:v>Обязательно</x:v>
      </x:c>
      <x:c r="N69" s="13" t="str">
        <x:v>Без нагрузки</x:v>
      </x:c>
      <x:c r="O69" s="13" t="str"/>
      <x:c r="P69" s="13" t="str">
        <x:v>milestone_01_foundation/week_01_2026-09-07/05_FRIDAY.md</x:v>
      </x:c>
      <x:c r="Q69" s="138" t="str">
        <x:v>Markdown</x:v>
      </x:c>
      <x:c r="R69" s="20" t="str"/>
    </x:row>
    <x:row r="70" ht="36" customHeight="1">
      <x:c r="A70" s="19" t="str">
        <x:v>W01-20260911-0069</x:v>
      </x:c>
      <x:c r="B70" s="13" t="n">
        <x:v>1</x:v>
      </x:c>
      <x:c r="C70" s="13" t="str">
        <x:v>Этап 1 — База, разминка и исходная точка</x:v>
      </x:c>
      <x:c r="D70" s="138" t="str">
        <x:v>2026-09-11</x:v>
      </x:c>
      <x:c r="E70" s="13" t="str">
        <x:v>Пятница</x:v>
      </x:c>
      <x:c r="F70" s="13" t="str">
        <x:v>Дом / теория</x:v>
      </x:c>
      <x:c r="G70" s="44" t="n">
        <x:v>0.007638888888888889</x:v>
      </x:c>
      <x:c r="H70" s="44" t="n">
        <x:v>0.011805555555555555</x:v>
      </x:c>
      <x:c r="I70" s="32" t="n">
        <x:f>ROUND((H70-G70)*1440,0)</x:f>
        <x:v>6</x:v>
      </x:c>
      <x:c r="J70" s="13" t="str">
        <x:v>Ментальная репетиция</x:v>
      </x:c>
      <x:c r="K70" s="13" t="str">
        <x:v>Закрой глаза и 3 раза мысленно пройди одну рабочую трассу: руки → ноги → положение таза → дыхание. Визуализируй cue «Смотри на стопу до момента, когда вес уже передан на неё.».</x:v>
      </x:c>
      <x:c r="L70" s="13" t="str">
        <x:v>☐ Не начато</x:v>
      </x:c>
      <x:c r="M70" s="13" t="str">
        <x:v>Обязательно</x:v>
      </x:c>
      <x:c r="N70" s="13" t="str">
        <x:v>Без нагрузки</x:v>
      </x:c>
      <x:c r="O70" s="13" t="str"/>
      <x:c r="P70" s="13" t="str">
        <x:v>milestone_01_foundation/week_01_2026-09-07/05_FRIDAY.md</x:v>
      </x:c>
      <x:c r="Q70" s="138" t="str">
        <x:v>Markdown</x:v>
      </x:c>
      <x:c r="R70" s="20" t="str"/>
    </x:row>
    <x:row r="71" ht="36" customHeight="1">
      <x:c r="A71" s="19" t="str">
        <x:v>W01-20260911-0070</x:v>
      </x:c>
      <x:c r="B71" s="13" t="n">
        <x:v>1</x:v>
      </x:c>
      <x:c r="C71" s="13" t="str">
        <x:v>Этап 1 — База, разминка и исходная точка</x:v>
      </x:c>
      <x:c r="D71" s="138" t="str">
        <x:v>2026-09-11</x:v>
      </x:c>
      <x:c r="E71" s="13" t="str">
        <x:v>Пятница</x:v>
      </x:c>
      <x:c r="F71" s="13" t="str">
        <x:v>Дом / теория</x:v>
      </x:c>
      <x:c r="G71" s="44" t="n">
        <x:v>0.011805555555555555</x:v>
      </x:c>
      <x:c r="H71" s="44" t="n">
        <x:v>0.02013888888888889</x:v>
      </x:c>
      <x:c r="I71" s="32" t="n">
        <x:f>ROUND((H71-G71)*1440,0)</x:f>
        <x:v>12</x:v>
      </x:c>
      <x:c r="J71" s="13" t="str">
        <x:v>Домашняя мобильность</x:v>
      </x:c>
      <x:c r="K71" s="13" t="str">
        <x:v>Выполни H3 «Мобильность таза и контроль корпуса» — 12 минут.</x:v>
      </x:c>
      <x:c r="L71" s="13" t="str">
        <x:v>☐ Не начато</x:v>
      </x:c>
      <x:c r="M71" s="13" t="str">
        <x:v>Обязательно</x:v>
      </x:c>
      <x:c r="N71" s="13" t="str">
        <x:v>RPE 2–3</x:v>
      </x:c>
      <x:c r="O71" s="13" t="str">
        <x:v>Никаких скручиваний через боль. Плечом не отталкивайся от стены; касание только для равновесия.</x:v>
      </x:c>
      <x:c r="P71" s="13" t="str">
        <x:v>milestone_01_foundation/week_01_2026-09-07/05_FRIDAY.md</x:v>
      </x:c>
      <x:c r="Q71" s="138" t="str">
        <x:v>Markdown</x:v>
      </x:c>
      <x:c r="R71" s="20" t="str"/>
    </x:row>
    <x:row r="72" ht="36" customHeight="1">
      <x:c r="A72" s="19" t="str">
        <x:v>W01-20260911-0071</x:v>
      </x:c>
      <x:c r="B72" s="13" t="n">
        <x:v>1</x:v>
      </x:c>
      <x:c r="C72" s="13" t="str">
        <x:v>Этап 1 — База, разминка и исходная точка</x:v>
      </x:c>
      <x:c r="D72" s="138" t="str">
        <x:v>2026-09-11</x:v>
      </x:c>
      <x:c r="E72" s="13" t="str">
        <x:v>Пятница</x:v>
      </x:c>
      <x:c r="F72" s="13" t="str">
        <x:v>Дом / теория</x:v>
      </x:c>
      <x:c r="G72" s="44" t="n">
        <x:v>0.02013888888888889</x:v>
      </x:c>
      <x:c r="H72" s="44" t="n">
        <x:v>0.034027777777777775</x:v>
      </x:c>
      <x:c r="I72" s="32" t="n">
        <x:f>ROUND((H72-G72)*1440,0)</x:f>
        <x:v>20</x:v>
      </x:c>
      <x:c r="J72" s="13" t="str">
        <x:v>Физиотерапия</x:v>
      </x:c>
      <x:c r="K72" s="13" t="str">
        <x:v>Выполни свой назначенный комплекс, если пятница входит в расписание физиотерапевта.</x:v>
      </x:c>
      <x:c r="L72" s="13" t="str">
        <x:v>☐ Не начато</x:v>
      </x:c>
      <x:c r="M72" s="13" t="str">
        <x:v>По назначению</x:v>
      </x:c>
      <x:c r="N72" s="13" t="str">
        <x:v>По назначению</x:v>
      </x:c>
      <x:c r="O72" s="13" t="str">
        <x:v>Не добавляй упражнения из интернета поверх назначений.</x:v>
      </x:c>
      <x:c r="P72" s="13" t="str">
        <x:v>milestone_01_foundation/week_01_2026-09-07/05_FRIDAY.md</x:v>
      </x:c>
      <x:c r="Q72" s="138" t="str">
        <x:v>Markdown</x:v>
      </x:c>
      <x:c r="R72" s="20" t="str"/>
    </x:row>
    <x:row r="73" ht="36" customHeight="1">
      <x:c r="A73" s="19" t="str">
        <x:v>W01-20260911-0072</x:v>
      </x:c>
      <x:c r="B73" s="13" t="n">
        <x:v>1</x:v>
      </x:c>
      <x:c r="C73" s="13" t="str">
        <x:v>Этап 1 — База, разминка и исходная точка</x:v>
      </x:c>
      <x:c r="D73" s="138" t="str">
        <x:v>2026-09-11</x:v>
      </x:c>
      <x:c r="E73" s="13" t="str">
        <x:v>Пятница</x:v>
      </x:c>
      <x:c r="F73" s="13" t="str">
        <x:v>Дом / теория</x:v>
      </x:c>
      <x:c r="G73" s="44" t="n">
        <x:v>0.034027777777777775</x:v>
      </x:c>
      <x:c r="H73" s="44" t="n">
        <x:v>0.03680555555555556</x:v>
      </x:c>
      <x:c r="I73" s="32" t="n">
        <x:f>ROUND((H73-G73)*1440,0)</x:f>
        <x:v>4</x:v>
      </x:c>
      <x:c r="J73" s="13" t="str">
        <x:v>Журнал</x:v>
      </x:c>
      <x:c r="K73" s="13" t="str">
        <x:v>Запиши одну вещь, которая сработала на этой неделе, и одну, которую повторишь в воскресенье на лёгкой трассе.</x:v>
      </x:c>
      <x:c r="L73" s="13" t="str">
        <x:v>☐ Не начато</x:v>
      </x:c>
      <x:c r="M73" s="13" t="str">
        <x:v>Обязательно</x:v>
      </x:c>
      <x:c r="N73" s="13" t="str">
        <x:v>Без нагрузки</x:v>
      </x:c>
      <x:c r="O73" s="13" t="str"/>
      <x:c r="P73" s="13" t="str">
        <x:v>milestone_01_foundation/week_01_2026-09-07/05_FRIDAY.md</x:v>
      </x:c>
      <x:c r="Q73" s="138" t="str">
        <x:v>Markdown</x:v>
      </x:c>
      <x:c r="R73" s="20" t="str"/>
    </x:row>
    <x:row r="74" ht="36" customHeight="1">
      <x:c r="A74" s="19" t="str">
        <x:v>W01-20260911-0073</x:v>
      </x:c>
      <x:c r="B74" s="13" t="n">
        <x:v>1</x:v>
      </x:c>
      <x:c r="C74" s="13" t="str">
        <x:v>Этап 1 — База, разминка и исходная точка</x:v>
      </x:c>
      <x:c r="D74" s="138" t="str">
        <x:v>2026-09-11</x:v>
      </x:c>
      <x:c r="E74" s="13" t="str">
        <x:v>Пятница</x:v>
      </x:c>
      <x:c r="F74" s="13" t="str">
        <x:v>Дом / теория</x:v>
      </x:c>
      <x:c r="G74" s="44" t="n">
        <x:v>0.03680555555555556</x:v>
      </x:c>
      <x:c r="H74" s="44" t="n">
        <x:v>0.03888888888888889</x:v>
      </x:c>
      <x:c r="I74" s="32" t="n">
        <x:f>ROUND((H74-G74)*1440,0)</x:f>
        <x:v>3</x:v>
      </x:c>
      <x:c r="J74" s="13" t="str">
        <x:v>Запрет лишней нагрузки</x:v>
      </x:c>
      <x:c r="K74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74" s="13" t="str">
        <x:v>☐ Не начато</x:v>
      </x:c>
      <x:c r="M74" s="13" t="str">
        <x:v>Обязательно</x:v>
      </x:c>
      <x:c r="N74" s="13" t="str">
        <x:v>Восстановление</x:v>
      </x:c>
      <x:c r="O74" s="13" t="str">
        <x:v>Общая пальцевая нагрузка уже получена в четверг.</x:v>
      </x:c>
      <x:c r="P74" s="13" t="str">
        <x:v>milestone_01_foundation/week_01_2026-09-07/05_FRIDAY.md</x:v>
      </x:c>
      <x:c r="Q74" s="138" t="str">
        <x:v>Markdown</x:v>
      </x:c>
      <x:c r="R74" s="20" t="str"/>
    </x:row>
    <x:row r="75" ht="36" customHeight="1">
      <x:c r="A75" s="19" t="str">
        <x:v>W01-20260912-0074</x:v>
      </x:c>
      <x:c r="B75" s="13" t="n">
        <x:v>1</x:v>
      </x:c>
      <x:c r="C75" s="13" t="str">
        <x:v>Этап 1 — База, разминка и исходная точка</x:v>
      </x:c>
      <x:c r="D75" s="138" t="str">
        <x:v>2026-09-12</x:v>
      </x:c>
      <x:c r="E75" s="13" t="str">
        <x:v>Суббота</x:v>
      </x:c>
      <x:c r="F75" s="13" t="str">
        <x:v>Отдых / подготовка</x:v>
      </x:c>
      <x:c r="G75" s="44" t="n">
        <x:v>0</x:v>
      </x:c>
      <x:c r="H75" s="44" t="n">
        <x:v>0.003472222222222222</x:v>
      </x:c>
      <x:c r="I75" s="32" t="n">
        <x:f>ROUND((H75-G75)*1440,0)</x:f>
        <x:v>5</x:v>
      </x:c>
      <x:c r="J75" s="13" t="str">
        <x:v>Самопроверка</x:v>
      </x:c>
      <x:c r="K75" s="13" t="str">
        <x:v>Проверь кожу пальцев, ногти, плечо и колено. Никаких тестовых висов.</x:v>
      </x:c>
      <x:c r="L75" s="13" t="str">
        <x:v>☐ Не начато</x:v>
      </x:c>
      <x:c r="M75" s="13" t="str">
        <x:v>Обязательно</x:v>
      </x:c>
      <x:c r="N75" s="13" t="str">
        <x:v>Восстановление</x:v>
      </x:c>
      <x:c r="O75" s="13" t="str"/>
      <x:c r="P75" s="13" t="str">
        <x:v>milestone_01_foundation/week_01_2026-09-07/06_SATURDAY.md</x:v>
      </x:c>
      <x:c r="Q75" s="138" t="str">
        <x:v>Markdown</x:v>
      </x:c>
      <x:c r="R75" s="20" t="str"/>
    </x:row>
    <x:row r="76" ht="36" customHeight="1">
      <x:c r="A76" s="19" t="str">
        <x:v>W01-20260912-0075</x:v>
      </x:c>
      <x:c r="B76" s="13" t="n">
        <x:v>1</x:v>
      </x:c>
      <x:c r="C76" s="13" t="str">
        <x:v>Этап 1 — База, разминка и исходная точка</x:v>
      </x:c>
      <x:c r="D76" s="138" t="str">
        <x:v>2026-09-12</x:v>
      </x:c>
      <x:c r="E76" s="13" t="str">
        <x:v>Суббота</x:v>
      </x:c>
      <x:c r="F76" s="13" t="str">
        <x:v>Отдых / подготовка</x:v>
      </x:c>
      <x:c r="G76" s="44" t="n">
        <x:v>0.003472222222222222</x:v>
      </x:c>
      <x:c r="H76" s="44" t="n">
        <x:v>0.010416666666666666</x:v>
      </x:c>
      <x:c r="I76" s="32" t="n">
        <x:f>ROUND((H76-G76)*1440,0)</x:f>
        <x:v>10</x:v>
      </x:c>
      <x:c r="J76" s="13" t="str">
        <x:v>Активное восстановление</x:v>
      </x:c>
      <x:c r="K76" s="13" t="str">
        <x:v>10 минут лёгкой прогулки или бытовой активности. Цель — восстановление, не тренировка.</x:v>
      </x:c>
      <x:c r="L76" s="13" t="str">
        <x:v>☐ Не начато</x:v>
      </x:c>
      <x:c r="M76" s="13" t="str">
        <x:v>Обязательно</x:v>
      </x:c>
      <x:c r="N76" s="13" t="str">
        <x:v>RPE 1–2</x:v>
      </x:c>
      <x:c r="O76" s="13" t="str"/>
      <x:c r="P76" s="13" t="str">
        <x:v>milestone_01_foundation/week_01_2026-09-07/06_SATURDAY.md</x:v>
      </x:c>
      <x:c r="Q76" s="138" t="str">
        <x:v>Markdown</x:v>
      </x:c>
      <x:c r="R76" s="20" t="str"/>
    </x:row>
    <x:row r="77" ht="36" customHeight="1">
      <x:c r="A77" s="19" t="str">
        <x:v>W01-20260912-0076</x:v>
      </x:c>
      <x:c r="B77" s="13" t="n">
        <x:v>1</x:v>
      </x:c>
      <x:c r="C77" s="13" t="str">
        <x:v>Этап 1 — База, разминка и исходная точка</x:v>
      </x:c>
      <x:c r="D77" s="138" t="str">
        <x:v>2026-09-12</x:v>
      </x:c>
      <x:c r="E77" s="13" t="str">
        <x:v>Суббота</x:v>
      </x:c>
      <x:c r="F77" s="13" t="str">
        <x:v>Отдых / подготовка</x:v>
      </x:c>
      <x:c r="G77" s="44" t="n">
        <x:v>0.010416666666666666</x:v>
      </x:c>
      <x:c r="H77" s="44" t="n">
        <x:v>0.013888888888888888</x:v>
      </x:c>
      <x:c r="I77" s="32" t="n">
        <x:f>ROUND((H77-G77)*1440,0)</x:f>
        <x:v>5</x:v>
      </x:c>
      <x:c r="J77" s="13" t="str">
        <x:v>Уход за кожей</x:v>
      </x:c>
      <x:c r="K77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77" s="13" t="str">
        <x:v>☐ Не начато</x:v>
      </x:c>
      <x:c r="M77" s="13" t="str">
        <x:v>Опционально</x:v>
      </x:c>
      <x:c r="N77" s="13" t="str">
        <x:v>Без нагрузки</x:v>
      </x:c>
      <x:c r="O77" s="13" t="str">
        <x:v>Повреждённую/болезненную кожу не шлифовать.</x:v>
      </x:c>
      <x:c r="P77" s="13" t="str">
        <x:v>milestone_01_foundation/week_01_2026-09-07/06_SATURDAY.md</x:v>
      </x:c>
      <x:c r="Q77" s="138" t="str">
        <x:v>Markdown</x:v>
      </x:c>
      <x:c r="R77" s="20" t="str"/>
    </x:row>
    <x:row r="78" ht="36" customHeight="1">
      <x:c r="A78" s="19" t="str">
        <x:v>W01-20260912-0077</x:v>
      </x:c>
      <x:c r="B78" s="13" t="n">
        <x:v>1</x:v>
      </x:c>
      <x:c r="C78" s="13" t="str">
        <x:v>Этап 1 — База, разминка и исходная точка</x:v>
      </x:c>
      <x:c r="D78" s="138" t="str">
        <x:v>2026-09-12</x:v>
      </x:c>
      <x:c r="E78" s="13" t="str">
        <x:v>Суббота</x:v>
      </x:c>
      <x:c r="F78" s="13" t="str">
        <x:v>Отдых / подготовка</x:v>
      </x:c>
      <x:c r="G78" s="44" t="n">
        <x:v>0.013888888888888888</x:v>
      </x:c>
      <x:c r="H78" s="44" t="n">
        <x:v>0.016666666666666666</x:v>
      </x:c>
      <x:c r="I78" s="32" t="n">
        <x:f>ROUND((H78-G78)*1440,0)</x:f>
        <x:v>4</x:v>
      </x:c>
      <x:c r="J78" s="13" t="str">
        <x:v>Подготовка</x:v>
      </x:c>
      <x:c r="K78" s="13" t="str">
        <x:v>Заряди телефон, освободи память для одного видео, положи щётку и магнезию.</x:v>
      </x:c>
      <x:c r="L78" s="13" t="str">
        <x:v>☐ Не начато</x:v>
      </x:c>
      <x:c r="M78" s="13" t="str">
        <x:v>Обязательно</x:v>
      </x:c>
      <x:c r="N78" s="13" t="str">
        <x:v>Без нагрузки</x:v>
      </x:c>
      <x:c r="O78" s="13" t="str"/>
      <x:c r="P78" s="13" t="str">
        <x:v>milestone_01_foundation/week_01_2026-09-07/06_SATURDAY.md</x:v>
      </x:c>
      <x:c r="Q78" s="138" t="str">
        <x:v>Markdown</x:v>
      </x:c>
      <x:c r="R78" s="20" t="str"/>
    </x:row>
    <x:row r="79" ht="36" customHeight="1">
      <x:c r="A79" s="19" t="str">
        <x:v>W01-20260912-0078</x:v>
      </x:c>
      <x:c r="B79" s="13" t="n">
        <x:v>1</x:v>
      </x:c>
      <x:c r="C79" s="13" t="str">
        <x:v>Этап 1 — База, разминка и исходная точка</x:v>
      </x:c>
      <x:c r="D79" s="138" t="str">
        <x:v>2026-09-12</x:v>
      </x:c>
      <x:c r="E79" s="13" t="str">
        <x:v>Суббота</x:v>
      </x:c>
      <x:c r="F79" s="13" t="str">
        <x:v>Отдых / подготовка</x:v>
      </x:c>
      <x:c r="G79" s="44" t="n">
        <x:v>0.016666666666666666</x:v>
      </x:c>
      <x:c r="H79" s="44" t="n">
        <x:v>0.01875</x:v>
      </x:c>
      <x:c r="I79" s="32" t="n">
        <x:f>ROUND((H79-G79)*1440,0)</x:f>
        <x:v>3</x:v>
      </x:c>
      <x:c r="J79" s="13" t="str">
        <x:v>План воскресенья</x:v>
      </x:c>
      <x:c r="K79" s="13" t="str">
        <x:v>Выбери заранее одну лёгкую трассу под тему «Тихие ноги». Воскресенье остаётся развлечением, не третьим тяжёлым днём.</x:v>
      </x:c>
      <x:c r="L79" s="13" t="str">
        <x:v>☐ Не начато</x:v>
      </x:c>
      <x:c r="M79" s="13" t="str">
        <x:v>Обязательно</x:v>
      </x:c>
      <x:c r="N79" s="13" t="str">
        <x:v>Без нагрузки</x:v>
      </x:c>
      <x:c r="O79" s="13" t="str"/>
      <x:c r="P79" s="13" t="str">
        <x:v>milestone_01_foundation/week_01_2026-09-07/06_SATURDAY.md</x:v>
      </x:c>
      <x:c r="Q79" s="138" t="str">
        <x:v>Markdown</x:v>
      </x:c>
      <x:c r="R79" s="20" t="str"/>
    </x:row>
    <x:row r="80" ht="36" customHeight="1">
      <x:c r="A80" s="19" t="str">
        <x:v>W01-20260912-0079</x:v>
      </x:c>
      <x:c r="B80" s="13" t="n">
        <x:v>1</x:v>
      </x:c>
      <x:c r="C80" s="13" t="str">
        <x:v>Этап 1 — База, разминка и исходная точка</x:v>
      </x:c>
      <x:c r="D80" s="138" t="str">
        <x:v>2026-09-12</x:v>
      </x:c>
      <x:c r="E80" s="13" t="str">
        <x:v>Суббота</x:v>
      </x:c>
      <x:c r="F80" s="13" t="str">
        <x:v>Отдых / подготовка</x:v>
      </x:c>
      <x:c r="G80" s="44" t="n">
        <x:v>0.01875</x:v>
      </x:c>
      <x:c r="H80" s="44" t="n">
        <x:v>0.020833333333333332</x:v>
      </x:c>
      <x:c r="I80" s="32" t="n">
        <x:f>ROUND((H80-G80)*1440,0)</x:f>
        <x:v>3</x:v>
      </x:c>
      <x:c r="J80" s="13" t="str">
        <x:v>Сон / восстановление</x:v>
      </x:c>
      <x:c r="K80" s="13" t="str">
        <x:v>Запланируй обычный сон и нормальный приём пищи; не пытайся «разбудить хват» вечером.</x:v>
      </x:c>
      <x:c r="L80" s="13" t="str">
        <x:v>☐ Не начато</x:v>
      </x:c>
      <x:c r="M80" s="13" t="str">
        <x:v>Обязательно</x:v>
      </x:c>
      <x:c r="N80" s="13" t="str">
        <x:v>Восстановление</x:v>
      </x:c>
      <x:c r="O80" s="13" t="str"/>
      <x:c r="P80" s="13" t="str">
        <x:v>milestone_01_foundation/week_01_2026-09-07/06_SATURDAY.md</x:v>
      </x:c>
      <x:c r="Q80" s="138" t="str">
        <x:v>Markdown</x:v>
      </x:c>
      <x:c r="R80" s="20" t="str"/>
    </x:row>
    <x:row r="81" ht="36" customHeight="1">
      <x:c r="A81" s="19" t="str">
        <x:v>W01-20260913-0080</x:v>
      </x:c>
      <x:c r="B81" s="13" t="n">
        <x:v>1</x:v>
      </x:c>
      <x:c r="C81" s="13" t="str">
        <x:v>Этап 1 — База, разминка и исходная точка</x:v>
      </x:c>
      <x:c r="D81" s="138" t="str">
        <x:v>2026-09-13</x:v>
      </x:c>
      <x:c r="E81" s="13" t="str">
        <x:v>Воскресенье</x:v>
      </x:c>
      <x:c r="F81" s="13" t="str">
        <x:v>Тренировка C — fun / опционально</x:v>
      </x:c>
      <x:c r="G81" s="44" t="n">
        <x:v>0</x:v>
      </x:c>
      <x:c r="H81" s="44" t="n">
        <x:v>0.0020833333333333333</x:v>
      </x:c>
      <x:c r="I81" s="32" t="n">
        <x:f>ROUND((H81-G81)*1440,0)</x:f>
        <x:v>3</x:v>
      </x:c>
      <x:c r="J81" s="13" t="str">
        <x:v>Выбор сценария</x:v>
      </x:c>
      <x:c r="K81" s="13" t="str">
        <x:v>Выбери один сценарий: (A) fun-сессия 75 минут в зале или (B) восстановительный день дома 25 минут. Не выполнять оба.</x:v>
      </x:c>
      <x:c r="L81" s="13" t="str">
        <x:v>☐ Не начато</x:v>
      </x:c>
      <x:c r="M81" s="13" t="str">
        <x:v>Выбрать один сценарий</x:v>
      </x:c>
      <x:c r="N81" s="13" t="str">
        <x:v>По состоянию</x:v>
      </x:c>
      <x:c r="O81" s="13" t="str"/>
      <x:c r="P81" s="13" t="str">
        <x:v>milestone_01_foundation/week_01_2026-09-07/07_SUNDAY.md</x:v>
      </x:c>
      <x:c r="Q81" s="138" t="str">
        <x:v>Markdown</x:v>
      </x:c>
      <x:c r="R81" s="20" t="str"/>
    </x:row>
    <x:row r="82" ht="36" customHeight="1">
      <x:c r="A82" s="19" t="str">
        <x:v>W01-20260913-0081</x:v>
      </x:c>
      <x:c r="B82" s="13" t="n">
        <x:v>1</x:v>
      </x:c>
      <x:c r="C82" s="13" t="str">
        <x:v>Этап 1 — База, разминка и исходная точка</x:v>
      </x:c>
      <x:c r="D82" s="138" t="str">
        <x:v>2026-09-13</x:v>
      </x:c>
      <x:c r="E82" s="13" t="str">
        <x:v>Воскресенье</x:v>
      </x:c>
      <x:c r="F82" s="13" t="str">
        <x:v>Тренировка C — fun / опционально</x:v>
      </x:c>
      <x:c r="G82" s="44" t="n">
        <x:v>0.0020833333333333333</x:v>
      </x:c>
      <x:c r="H82" s="44" t="n">
        <x:v>0.005555555555555556</x:v>
      </x:c>
      <x:c r="I82" s="32" t="n">
        <x:f>ROUND((H82-G82)*1440,0)</x:f>
        <x:v>5</x:v>
      </x:c>
      <x:c r="J82" s="13" t="str">
        <x:v>Разминка A</x:v>
      </x:c>
      <x:c r="K82" s="13" t="str">
        <x:v>Если идёшь в зал: 5 минут поднятия температуры.</x:v>
      </x:c>
      <x:c r="L82" s="13" t="str">
        <x:v>☐ Не начато</x:v>
      </x:c>
      <x:c r="M82" s="13" t="str">
        <x:v>Опционально</x:v>
      </x:c>
      <x:c r="N82" s="13" t="str">
        <x:v>RPE 2–3</x:v>
      </x:c>
      <x:c r="O82" s="13" t="str"/>
      <x:c r="P82" s="13" t="str">
        <x:v>milestone_01_foundation/week_01_2026-09-07/07_SUNDAY.md</x:v>
      </x:c>
      <x:c r="Q82" s="138" t="str">
        <x:v>Markdown</x:v>
      </x:c>
      <x:c r="R82" s="20" t="str"/>
    </x:row>
    <x:row r="83" ht="36" customHeight="1">
      <x:c r="A83" s="19" t="str">
        <x:v>W01-20260913-0082</x:v>
      </x:c>
      <x:c r="B83" s="13" t="n">
        <x:v>1</x:v>
      </x:c>
      <x:c r="C83" s="13" t="str">
        <x:v>Этап 1 — База, разминка и исходная точка</x:v>
      </x:c>
      <x:c r="D83" s="138" t="str">
        <x:v>2026-09-13</x:v>
      </x:c>
      <x:c r="E83" s="13" t="str">
        <x:v>Воскресенье</x:v>
      </x:c>
      <x:c r="F83" s="13" t="str">
        <x:v>Тренировка C — fun / опционально</x:v>
      </x:c>
      <x:c r="G83" s="44" t="n">
        <x:v>0.005555555555555556</x:v>
      </x:c>
      <x:c r="H83" s="44" t="n">
        <x:v>0.009027777777777777</x:v>
      </x:c>
      <x:c r="I83" s="32" t="n">
        <x:f>ROUND((H83-G83)*1440,0)</x:f>
        <x:v>5</x:v>
      </x:c>
      <x:c r="J83" s="13" t="str">
        <x:v>Разминка A</x:v>
      </x:c>
      <x:c r="K83" s="13" t="str">
        <x:v>Динамическая суставная разминка в безболезненном диапазоне; без отжиманий/press.</x:v>
      </x:c>
      <x:c r="L83" s="13" t="str">
        <x:v>☐ Не начато</x:v>
      </x:c>
      <x:c r="M83" s="13" t="str">
        <x:v>Опционально</x:v>
      </x:c>
      <x:c r="N83" s="13" t="str">
        <x:v>Очень легко</x:v>
      </x:c>
      <x:c r="O83" s="13" t="str">
        <x:v>Плечо: пропусти финал с больным press/mantle. Колено: без глубоких приседаний и скручивания.</x:v>
      </x:c>
      <x:c r="P83" s="13" t="str">
        <x:v>milestone_01_foundation/week_01_2026-09-07/07_SUNDAY.md</x:v>
      </x:c>
      <x:c r="Q83" s="138" t="str">
        <x:v>Markdown</x:v>
      </x:c>
      <x:c r="R83" s="20" t="str"/>
    </x:row>
    <x:row r="84" ht="36" customHeight="1">
      <x:c r="A84" s="19" t="str">
        <x:v>W01-20260913-0083</x:v>
      </x:c>
      <x:c r="B84" s="13" t="n">
        <x:v>1</x:v>
      </x:c>
      <x:c r="C84" s="13" t="str">
        <x:v>Этап 1 — База, разминка и исходная точка</x:v>
      </x:c>
      <x:c r="D84" s="138" t="str">
        <x:v>2026-09-13</x:v>
      </x:c>
      <x:c r="E84" s="13" t="str">
        <x:v>Воскресенье</x:v>
      </x:c>
      <x:c r="F84" s="13" t="str">
        <x:v>Тренировка C — fun / опционально</x:v>
      </x:c>
      <x:c r="G84" s="44" t="n">
        <x:v>0.009027777777777777</x:v>
      </x:c>
      <x:c r="H84" s="44" t="n">
        <x:v>0.013888888888888888</x:v>
      </x:c>
      <x:c r="I84" s="32" t="n">
        <x:f>ROUND((H84-G84)*1440,0)</x:f>
        <x:v>7</x:v>
      </x:c>
      <x:c r="J84" s="13" t="str">
        <x:v>Лёгкое лазание A</x:v>
      </x:c>
      <x:c r="K84" s="13" t="str">
        <x:v>3 очень лёгкие трассы 1–3 с постепенным увеличением сложности.</x:v>
      </x:c>
      <x:c r="L84" s="13" t="str">
        <x:v>☐ Не начато</x:v>
      </x:c>
      <x:c r="M84" s="13" t="str">
        <x:v>Опционально</x:v>
      </x:c>
      <x:c r="N84" s="13" t="str">
        <x:v>RPE 2–4</x:v>
      </x:c>
      <x:c r="O84" s="13" t="str"/>
      <x:c r="P84" s="13" t="str">
        <x:v>milestone_01_foundation/week_01_2026-09-07/07_SUNDAY.md</x:v>
      </x:c>
      <x:c r="Q84" s="138" t="str">
        <x:v>Markdown</x:v>
      </x:c>
      <x:c r="R84" s="20" t="str"/>
    </x:row>
    <x:row r="85" ht="36" customHeight="1">
      <x:c r="A85" s="19" t="str">
        <x:v>W01-20260913-0084</x:v>
      </x:c>
      <x:c r="B85" s="13" t="n">
        <x:v>1</x:v>
      </x:c>
      <x:c r="C85" s="13" t="str">
        <x:v>Этап 1 — База, разминка и исходная точка</x:v>
      </x:c>
      <x:c r="D85" s="138" t="str">
        <x:v>2026-09-13</x:v>
      </x:c>
      <x:c r="E85" s="13" t="str">
        <x:v>Воскресенье</x:v>
      </x:c>
      <x:c r="F85" s="13" t="str">
        <x:v>Тренировка C — fun / опционально</x:v>
      </x:c>
      <x:c r="G85" s="44" t="n">
        <x:v>0.013888888888888888</x:v>
      </x:c>
      <x:c r="H85" s="44" t="n">
        <x:v>0.020833333333333332</x:v>
      </x:c>
      <x:c r="I85" s="32" t="n">
        <x:f>ROUND((H85-G85)*1440,0)</x:f>
        <x:v>10</x:v>
      </x:c>
      <x:c r="J85" s="13" t="str">
        <x:v>Технический праймер A</x:v>
      </x:c>
      <x:c r="K85" s="13" t="str">
        <x:v>На одной лёгкой трассе дважды повтори «Тихие ноги». Критерий: Не менее 80% постановок бесшумны и не требуют коррекции; руки ощущаются легче.</x:v>
      </x:c>
      <x:c r="L85" s="13" t="str">
        <x:v>☐ Не начато</x:v>
      </x:c>
      <x:c r="M85" s="13" t="str">
        <x:v>Опционально</x:v>
      </x:c>
      <x:c r="N85" s="13" t="str">
        <x:v>RPE 3–4</x:v>
      </x:c>
      <x:c r="O85" s="13" t="str">
        <x:v>Не ловить промах резким толчком плечом. При неуверенном правом колене выбрать более крупные ноги.</x:v>
      </x:c>
      <x:c r="P85" s="13" t="str">
        <x:v>milestone_01_foundation/week_01_2026-09-07/07_SUNDAY.md</x:v>
      </x:c>
      <x:c r="Q85" s="138" t="str">
        <x:v>Markdown</x:v>
      </x:c>
      <x:c r="R85" s="20" t="str"/>
    </x:row>
    <x:row r="86" ht="36" customHeight="1">
      <x:c r="A86" s="19" t="str">
        <x:v>W01-20260913-0085</x:v>
      </x:c>
      <x:c r="B86" s="13" t="n">
        <x:v>1</x:v>
      </x:c>
      <x:c r="C86" s="13" t="str">
        <x:v>Этап 1 — База, разминка и исходная точка</x:v>
      </x:c>
      <x:c r="D86" s="138" t="str">
        <x:v>2026-09-13</x:v>
      </x:c>
      <x:c r="E86" s="13" t="str">
        <x:v>Воскресенье</x:v>
      </x:c>
      <x:c r="F86" s="13" t="str">
        <x:v>Тренировка C — fun / опционально</x:v>
      </x:c>
      <x:c r="G86" s="44" t="n">
        <x:v>0.020833333333333332</x:v>
      </x:c>
      <x:c r="H86" s="44" t="n">
        <x:v>0.03819444444444445</x:v>
      </x:c>
      <x:c r="I86" s="32" t="n">
        <x:f>ROUND((H86-G86)*1440,0)</x:f>
        <x:v>25</x:v>
      </x:c>
      <x:c r="J86" s="13" t="str">
        <x:v>Свободное лазание A</x:v>
      </x:c>
      <x:c r="K86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86" s="13" t="str">
        <x:v>☐ Не начато</x:v>
      </x:c>
      <x:c r="M86" s="13" t="str">
        <x:v>Опционально</x:v>
      </x:c>
      <x:c r="N86" s="13" t="str">
        <x:v>RPE 4–7</x:v>
      </x:c>
      <x:c r="O86" s="13" t="str">
        <x:v>Не превращать блок в круг на выносливость.</x:v>
      </x:c>
      <x:c r="P86" s="13" t="str">
        <x:v>milestone_01_foundation/week_01_2026-09-07/07_SUNDAY.md</x:v>
      </x:c>
      <x:c r="Q86" s="138" t="str">
        <x:v>Markdown</x:v>
      </x:c>
      <x:c r="R86" s="20" t="str"/>
    </x:row>
    <x:row r="87" ht="36" customHeight="1">
      <x:c r="A87" s="19" t="str">
        <x:v>W01-20260913-0086</x:v>
      </x:c>
      <x:c r="B87" s="13" t="n">
        <x:v>1</x:v>
      </x:c>
      <x:c r="C87" s="13" t="str">
        <x:v>Этап 1 — База, разминка и исходная точка</x:v>
      </x:c>
      <x:c r="D87" s="138" t="str">
        <x:v>2026-09-13</x:v>
      </x:c>
      <x:c r="E87" s="13" t="str">
        <x:v>Воскресенье</x:v>
      </x:c>
      <x:c r="F87" s="13" t="str">
        <x:v>Тренировка C — fun / опционально</x:v>
      </x:c>
      <x:c r="G87" s="44" t="n">
        <x:v>0.03819444444444445</x:v>
      </x:c>
      <x:c r="H87" s="44" t="n">
        <x:v>0.04583333333333333</x:v>
      </x:c>
      <x:c r="I87" s="32" t="n">
        <x:f>ROUND((H87-G87)*1440,0)</x:f>
        <x:v>11</x:v>
      </x:c>
      <x:c r="J87" s="13" t="str">
        <x:v>Свежая сложная попытка A</x:v>
      </x:c>
      <x:c r="K87" s="13" t="str">
        <x:v>Только если всё зелёное: попробуй одну рабочую пятёрку или дружелюбную шестёрку по критериям недели — 2 пятёрки: одна с положительными зацепами и понятными ногами, одна другого стиля. Без обязательного жёсткого толчка рукой. Максимум 2 попытки, отдых 4 минуты.</x:v>
      </x:c>
      <x:c r="L87" s="13" t="str">
        <x:v>☐ Не начато</x:v>
      </x:c>
      <x:c r="M87" s="13" t="str">
        <x:v>Опционально</x:v>
      </x:c>
      <x:c r="N87" s="13" t="str">
        <x:v>RPE 7–8, без отказа</x:v>
      </x:c>
      <x:c r="O87" s="13" t="str">
        <x:v>Плечо: пропусти финал с больным press/mantle. Колено: без глубоких приседаний и скручивания.</x:v>
      </x:c>
      <x:c r="P87" s="13" t="str">
        <x:v>milestone_01_foundation/week_01_2026-09-07/07_SUNDAY.md</x:v>
      </x:c>
      <x:c r="Q87" s="138" t="str">
        <x:v>Markdown</x:v>
      </x:c>
      <x:c r="R87" s="20" t="str"/>
    </x:row>
    <x:row r="88" ht="36" customHeight="1">
      <x:c r="A88" s="19" t="str">
        <x:v>W01-20260913-0087</x:v>
      </x:c>
      <x:c r="B88" s="13" t="n">
        <x:v>1</x:v>
      </x:c>
      <x:c r="C88" s="13" t="str">
        <x:v>Этап 1 — База, разминка и исходная точка</x:v>
      </x:c>
      <x:c r="D88" s="138" t="str">
        <x:v>2026-09-13</x:v>
      </x:c>
      <x:c r="E88" s="13" t="str">
        <x:v>Воскресенье</x:v>
      </x:c>
      <x:c r="F88" s="13" t="str">
        <x:v>Тренировка C — fun / опционально</x:v>
      </x:c>
      <x:c r="G88" s="44" t="n">
        <x:v>0.04583333333333333</x:v>
      </x:c>
      <x:c r="H88" s="44" t="n">
        <x:v>0.05</x:v>
      </x:c>
      <x:c r="I88" s="32" t="n">
        <x:f>ROUND((H88-G88)*1440,0)</x:f>
        <x:v>6</x:v>
      </x:c>
      <x:c r="J88" s="13" t="str">
        <x:v>Лёгкий финал A</x:v>
      </x:c>
      <x:c r="K88" s="13" t="str">
        <x:v>Одна любимая лёгкая трасса или спокойный спуск. Фингерборда и capacity-круга нет.</x:v>
      </x:c>
      <x:c r="L88" s="13" t="str">
        <x:v>☐ Не начато</x:v>
      </x:c>
      <x:c r="M88" s="13" t="str">
        <x:v>Опционально</x:v>
      </x:c>
      <x:c r="N88" s="13" t="str">
        <x:v>RPE 2–3</x:v>
      </x:c>
      <x:c r="O88" s="13" t="str"/>
      <x:c r="P88" s="13" t="str">
        <x:v>milestone_01_foundation/week_01_2026-09-07/07_SUNDAY.md</x:v>
      </x:c>
      <x:c r="Q88" s="138" t="str">
        <x:v>Markdown</x:v>
      </x:c>
      <x:c r="R88" s="20" t="str"/>
    </x:row>
    <x:row r="89" ht="36" customHeight="1">
      <x:c r="A89" s="19" t="str">
        <x:v>W01-20260913-0088</x:v>
      </x:c>
      <x:c r="B89" s="13" t="n">
        <x:v>1</x:v>
      </x:c>
      <x:c r="C89" s="13" t="str">
        <x:v>Этап 1 — База, разминка и исходная точка</x:v>
      </x:c>
      <x:c r="D89" s="138" t="str">
        <x:v>2026-09-13</x:v>
      </x:c>
      <x:c r="E89" s="13" t="str">
        <x:v>Воскресенье</x:v>
      </x:c>
      <x:c r="F89" s="13" t="str">
        <x:v>Тренировка C — fun / опционально</x:v>
      </x:c>
      <x:c r="G89" s="44" t="n">
        <x:v>0.05</x:v>
      </x:c>
      <x:c r="H89" s="44" t="n">
        <x:v>0.052083333333333336</x:v>
      </x:c>
      <x:c r="I89" s="32" t="n">
        <x:f>ROUND((H89-G89)*1440,0)</x:f>
        <x:v>3</x:v>
      </x:c>
      <x:c r="J89" s="13" t="str">
        <x:v>Журнал A</x:v>
      </x:c>
      <x:c r="K89" s="13" t="str">
        <x:v>Запиши только 3 вещи: что было весело, один удачный технический момент, состояние пальцев после сессии.</x:v>
      </x:c>
      <x:c r="L89" s="13" t="str">
        <x:v>☐ Не начато</x:v>
      </x:c>
      <x:c r="M89" s="13" t="str">
        <x:v>Опционально</x:v>
      </x:c>
      <x:c r="N89" s="13" t="str">
        <x:v>Без нагрузки</x:v>
      </x:c>
      <x:c r="O89" s="13" t="str"/>
      <x:c r="P89" s="13" t="str">
        <x:v>milestone_01_foundation/week_01_2026-09-07/07_SUNDAY.md</x:v>
      </x:c>
      <x:c r="Q89" s="138" t="str">
        <x:v>Markdown</x:v>
      </x:c>
      <x:c r="R89" s="20" t="str"/>
    </x:row>
    <x:row r="90" ht="36" customHeight="1">
      <x:c r="A90" s="19" t="str">
        <x:v>W01-20260913-0089</x:v>
      </x:c>
      <x:c r="B90" s="13" t="n">
        <x:v>1</x:v>
      </x:c>
      <x:c r="C90" s="13" t="str">
        <x:v>Этап 1 — База, разминка и исходная точка</x:v>
      </x:c>
      <x:c r="D90" s="138" t="str">
        <x:v>2026-09-13</x:v>
      </x:c>
      <x:c r="E90" s="13" t="str">
        <x:v>Воскресенье</x:v>
      </x:c>
      <x:c r="F90" s="13" t="str">
        <x:v>Восстановление B — дома</x:v>
      </x:c>
      <x:c r="G90" s="44" t="n">
        <x:v>0</x:v>
      </x:c>
      <x:c r="H90" s="44" t="n">
        <x:v>0.010416666666666666</x:v>
      </x:c>
      <x:c r="I90" s="32" t="n">
        <x:f>ROUND((H90-G90)*1440,0)</x:f>
        <x:v>15</x:v>
      </x:c>
      <x:c r="J90" s="13" t="str">
        <x:v>Прогулка B</x:v>
      </x:c>
      <x:c r="K90" s="13" t="str">
        <x:v>Если не идёшь в зал: 15 минут спокойной прогулки.</x:v>
      </x:c>
      <x:c r="L90" s="13" t="str">
        <x:v>☐ Не начато</x:v>
      </x:c>
      <x:c r="M90" s="13" t="str">
        <x:v>Опционально</x:v>
      </x:c>
      <x:c r="N90" s="13" t="str">
        <x:v>RPE 1–2</x:v>
      </x:c>
      <x:c r="O90" s="13" t="str"/>
      <x:c r="P90" s="13" t="str">
        <x:v>milestone_01_foundation/week_01_2026-09-07/07_SUNDAY.md</x:v>
      </x:c>
      <x:c r="Q90" s="138" t="str">
        <x:v>Markdown</x:v>
      </x:c>
      <x:c r="R90" s="20" t="str"/>
    </x:row>
    <x:row r="91" ht="36" customHeight="1">
      <x:c r="A91" s="19" t="str">
        <x:v>W01-20260913-0090</x:v>
      </x:c>
      <x:c r="B91" s="13" t="n">
        <x:v>1</x:v>
      </x:c>
      <x:c r="C91" s="13" t="str">
        <x:v>Этап 1 — База, разминка и исходная точка</x:v>
      </x:c>
      <x:c r="D91" s="138" t="str">
        <x:v>2026-09-13</x:v>
      </x:c>
      <x:c r="E91" s="13" t="str">
        <x:v>Воскресенье</x:v>
      </x:c>
      <x:c r="F91" s="13" t="str">
        <x:v>Восстановление B — дома</x:v>
      </x:c>
      <x:c r="G91" s="44" t="n">
        <x:v>0.010416666666666666</x:v>
      </x:c>
      <x:c r="H91" s="44" t="n">
        <x:v>0.015277777777777777</x:v>
      </x:c>
      <x:c r="I91" s="32" t="n">
        <x:f>ROUND((H91-G91)*1440,0)</x:f>
        <x:v>7</x:v>
      </x:c>
      <x:c r="J91" s="13" t="str">
        <x:v>Визуализация B</x:v>
      </x:c>
      <x:c r="K91" s="13" t="str">
        <x:v>7 минут: мысленно повтори тему недели «Тихие ноги» и одну трассу четверга.</x:v>
      </x:c>
      <x:c r="L91" s="13" t="str">
        <x:v>☐ Не начато</x:v>
      </x:c>
      <x:c r="M91" s="13" t="str">
        <x:v>Опционально</x:v>
      </x:c>
      <x:c r="N91" s="13" t="str">
        <x:v>Без нагрузки</x:v>
      </x:c>
      <x:c r="O91" s="13" t="str"/>
      <x:c r="P91" s="13" t="str">
        <x:v>milestone_01_foundation/week_01_2026-09-07/07_SUNDAY.md</x:v>
      </x:c>
      <x:c r="Q91" s="138" t="str">
        <x:v>Markdown</x:v>
      </x:c>
      <x:c r="R91" s="20" t="str"/>
    </x:row>
    <x:row r="92" ht="36" customHeight="1">
      <x:c r="A92" s="19" t="str">
        <x:v>W01-20260913-0091</x:v>
      </x:c>
      <x:c r="B92" s="13" t="n">
        <x:v>1</x:v>
      </x:c>
      <x:c r="C92" s="13" t="str">
        <x:v>Этап 1 — База, разминка и исходная точка</x:v>
      </x:c>
      <x:c r="D92" s="138" t="str">
        <x:v>2026-09-13</x:v>
      </x:c>
      <x:c r="E92" s="13" t="str">
        <x:v>Воскресенье</x:v>
      </x:c>
      <x:c r="F92" s="13" t="str">
        <x:v>Восстановление B — дома</x:v>
      </x:c>
      <x:c r="G92" s="44" t="n">
        <x:v>0.015277777777777777</x:v>
      </x:c>
      <x:c r="H92" s="44" t="n">
        <x:v>0.017361111111111112</x:v>
      </x:c>
      <x:c r="I92" s="32" t="n">
        <x:f>ROUND((H92-G92)*1440,0)</x:f>
        <x:v>3</x:v>
      </x:c>
      <x:c r="J92" s="13" t="str">
        <x:v>Итог недели B</x:v>
      </x:c>
      <x:c r="K92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92" s="13" t="str">
        <x:v>☐ Не начато</x:v>
      </x:c>
      <x:c r="M92" s="13" t="str">
        <x:v>Опционально</x:v>
      </x:c>
      <x:c r="N92" s="13" t="str">
        <x:v>Без нагрузки</x:v>
      </x:c>
      <x:c r="O92" s="13" t="str"/>
      <x:c r="P92" s="13" t="str">
        <x:v>milestone_01_foundation/week_01_2026-09-07/07_SUNDAY.md</x:v>
      </x:c>
      <x:c r="Q92" s="138" t="str">
        <x:v>Markdown</x:v>
      </x:c>
      <x:c r="R92" s="20" t="str"/>
    </x:row>
    <x:row r="93" ht="36" customHeight="1">
      <x:c r="A93" s="19" t="str">
        <x:v>W02-20260914-0092</x:v>
      </x:c>
      <x:c r="B93" s="13" t="n">
        <x:v>2</x:v>
      </x:c>
      <x:c r="C93" s="13" t="str">
        <x:v>Этап 1 — База, разминка и исходная точка</x:v>
      </x:c>
      <x:c r="D93" s="138" t="str">
        <x:v>2026-09-14</x:v>
      </x:c>
      <x:c r="E93" s="13" t="str">
        <x:v>Понедельник</x:v>
      </x:c>
      <x:c r="F93" s="13" t="str">
        <x:v>Дом / теория</x:v>
      </x:c>
      <x:c r="G93" s="44" t="n">
        <x:v>0</x:v>
      </x:c>
      <x:c r="H93" s="44" t="n">
        <x:v>0.0020833333333333333</x:v>
      </x:c>
      <x:c r="I93" s="32" t="n">
        <x:f>ROUND((H93-G93)*1440,0)</x:f>
        <x:v>3</x:v>
      </x:c>
      <x:c r="J93" s="13" t="str">
        <x:v>Самопроверка</x:v>
      </x:c>
      <x:c r="K93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93" s="13" t="str">
        <x:v>☐ Не начато</x:v>
      </x:c>
      <x:c r="M93" s="13" t="str">
        <x:v>Обязательно</x:v>
      </x:c>
      <x:c r="N93" s="13" t="str">
        <x:v>Очень легко</x:v>
      </x:c>
      <x:c r="O93" s="13" t="str">
        <x:v>Не диагностируй травму самостоятельно; используй правила из документа безопасности.</x:v>
      </x:c>
      <x:c r="P93" s="13" t="str">
        <x:v>milestone_01_foundation/week_02_2026-09-14/01_MONDAY.md</x:v>
      </x:c>
      <x:c r="Q93" s="138" t="str">
        <x:v>Markdown</x:v>
      </x:c>
      <x:c r="R93" s="20" t="str"/>
    </x:row>
    <x:row r="94" ht="36" customHeight="1">
      <x:c r="A94" s="19" t="str">
        <x:v>W02-20260914-0093</x:v>
      </x:c>
      <x:c r="B94" s="13" t="n">
        <x:v>2</x:v>
      </x:c>
      <x:c r="C94" s="13" t="str">
        <x:v>Этап 1 — База, разминка и исходная точка</x:v>
      </x:c>
      <x:c r="D94" s="138" t="str">
        <x:v>2026-09-14</x:v>
      </x:c>
      <x:c r="E94" s="13" t="str">
        <x:v>Понедельник</x:v>
      </x:c>
      <x:c r="F94" s="13" t="str">
        <x:v>Дом / теория</x:v>
      </x:c>
      <x:c r="G94" s="44" t="n">
        <x:v>0.0020833333333333333</x:v>
      </x:c>
      <x:c r="H94" s="44" t="n">
        <x:v>0.005555555555555556</x:v>
      </x:c>
      <x:c r="I94" s="32" t="n">
        <x:f>ROUND((H94-G94)*1440,0)</x:f>
        <x:v>5</x:v>
      </x:c>
      <x:c r="J94" s="13" t="str">
        <x:v>Планирование</x:v>
      </x:c>
      <x:c r="K94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«Сначала поставь таз над ногой, затем вставай ногой; рука лишь связывает тебя со стеной.»</x:v>
      </x:c>
      <x:c r="L94" s="13" t="str">
        <x:v>☐ Не начато</x:v>
      </x:c>
      <x:c r="M94" s="13" t="str">
        <x:v>Обязательно</x:v>
      </x:c>
      <x:c r="N94" s="13" t="str">
        <x:v>Без нагрузки</x:v>
      </x:c>
      <x:c r="O94" s="13" t="str"/>
      <x:c r="P94" s="13" t="str">
        <x:v>milestone_01_foundation/week_02_2026-09-14/01_MONDAY.md</x:v>
      </x:c>
      <x:c r="Q94" s="138" t="str">
        <x:v>Markdown</x:v>
      </x:c>
      <x:c r="R94" s="20" t="str"/>
    </x:row>
    <x:row r="95" ht="36" customHeight="1">
      <x:c r="A95" s="19" t="str">
        <x:v>W02-20260914-0094</x:v>
      </x:c>
      <x:c r="B95" s="13" t="n">
        <x:v>2</x:v>
      </x:c>
      <x:c r="C95" s="13" t="str">
        <x:v>Этап 1 — База, разминка и исходная точка</x:v>
      </x:c>
      <x:c r="D95" s="138" t="str">
        <x:v>2026-09-14</x:v>
      </x:c>
      <x:c r="E95" s="13" t="str">
        <x:v>Понедельник</x:v>
      </x:c>
      <x:c r="F95" s="13" t="str">
        <x:v>Дом / теория</x:v>
      </x:c>
      <x:c r="G95" s="44" t="n">
        <x:v>0.005555555555555556</x:v>
      </x:c>
      <x:c r="H95" s="44" t="n">
        <x:v>0.01597222222222222</x:v>
      </x:c>
      <x:c r="I95" s="32" t="n">
        <x:f>ROUND((H95-G95)*1440,0)</x:f>
        <x:v>15</x:v>
      </x:c>
      <x:c r="J95" s="13" t="str">
        <x:v>Теория</x:v>
      </x:c>
      <x:c r="K95" s="13" t="str">
        <x:v>Посмотри/прочитай [R25: Bouldering for Beginners — Part 1](https://www.youtube.com/watch?v=qpowFkwaS9A). Задача: Общий обзор базовой техники и экономии сил.</x:v>
      </x:c>
      <x:c r="L95" s="13" t="str">
        <x:v>☐ Не начато</x:v>
      </x:c>
      <x:c r="M95" s="13" t="str">
        <x:v>Обязательно</x:v>
      </x:c>
      <x:c r="N95" s="13" t="str">
        <x:v>Без нагрузки</x:v>
      </x:c>
      <x:c r="O95" s="13" t="str"/>
      <x:c r="P95" s="13" t="str">
        <x:v>milestone_01_foundation/week_02_2026-09-14/01_MONDAY.md</x:v>
      </x:c>
      <x:c r="Q95" s="138" t="str">
        <x:v>Markdown</x:v>
      </x:c>
      <x:c r="R95" s="20" t="str"/>
    </x:row>
    <x:row r="96" ht="36" customHeight="1">
      <x:c r="A96" s="19" t="str">
        <x:v>W02-20260914-0095</x:v>
      </x:c>
      <x:c r="B96" s="13" t="n">
        <x:v>2</x:v>
      </x:c>
      <x:c r="C96" s="13" t="str">
        <x:v>Этап 1 — База, разминка и исходная точка</x:v>
      </x:c>
      <x:c r="D96" s="138" t="str">
        <x:v>2026-09-14</x:v>
      </x:c>
      <x:c r="E96" s="13" t="str">
        <x:v>Понедельник</x:v>
      </x:c>
      <x:c r="F96" s="13" t="str">
        <x:v>Дом / теория</x:v>
      </x:c>
      <x:c r="G96" s="44" t="n">
        <x:v>0.01597222222222222</x:v>
      </x:c>
      <x:c r="H96" s="44" t="n">
        <x:v>0.019444444444444445</x:v>
      </x:c>
      <x:c r="I96" s="32" t="n">
        <x:f>ROUND((H96-G96)*1440,0)</x:f>
        <x:v>5</x:v>
      </x:c>
      <x:c r="J96" s="13" t="str">
        <x:v>Конспект</x:v>
      </x:c>
      <x:c r="K96" s="13" t="str">
        <x:v>Запиши ровно 3 пункта: (1) что делать ногами/тазом; (2) что не делать руками; (3) какой признак успеха проверишь на стене для темы «Прямые руки и таз над опорной ногой».</x:v>
      </x:c>
      <x:c r="L96" s="13" t="str">
        <x:v>☐ Не начато</x:v>
      </x:c>
      <x:c r="M96" s="13" t="str">
        <x:v>Обязательно</x:v>
      </x:c>
      <x:c r="N96" s="13" t="str">
        <x:v>Без нагрузки</x:v>
      </x:c>
      <x:c r="O96" s="13" t="str"/>
      <x:c r="P96" s="13" t="str">
        <x:v>milestone_01_foundation/week_02_2026-09-14/01_MONDAY.md</x:v>
      </x:c>
      <x:c r="Q96" s="138" t="str">
        <x:v>Markdown</x:v>
      </x:c>
      <x:c r="R96" s="20" t="str"/>
    </x:row>
    <x:row r="97" ht="36" customHeight="1">
      <x:c r="A97" s="19" t="str">
        <x:v>W02-20260914-0096</x:v>
      </x:c>
      <x:c r="B97" s="13" t="n">
        <x:v>2</x:v>
      </x:c>
      <x:c r="C97" s="13" t="str">
        <x:v>Этап 1 — База, разминка и исходная точка</x:v>
      </x:c>
      <x:c r="D97" s="138" t="str">
        <x:v>2026-09-14</x:v>
      </x:c>
      <x:c r="E97" s="13" t="str">
        <x:v>Понедельник</x:v>
      </x:c>
      <x:c r="F97" s="13" t="str">
        <x:v>Дом / теория</x:v>
      </x:c>
      <x:c r="G97" s="44" t="n">
        <x:v>0.019444444444444445</x:v>
      </x:c>
      <x:c r="H97" s="44" t="n">
        <x:v>0.027777777777777776</x:v>
      </x:c>
      <x:c r="I97" s="32" t="n">
        <x:f>ROUND((H97-G97)*1440,0)</x:f>
        <x:v>12</x:v>
      </x:c>
      <x:c r="J97" s="13" t="str">
        <x:v>Домашняя мобильность</x:v>
      </x:c>
      <x:c r="K97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97" s="13" t="str">
        <x:v>☐ Не начато</x:v>
      </x:c>
      <x:c r="M97" s="13" t="str">
        <x:v>Обязательно</x:v>
      </x:c>
      <x:c r="N97" s="13" t="str">
        <x:v>RPE 2–3</x:v>
      </x:c>
      <x:c r="O97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97" s="13" t="str">
        <x:v>milestone_01_foundation/week_02_2026-09-14/01_MONDAY.md</x:v>
      </x:c>
      <x:c r="Q97" s="138" t="str">
        <x:v>Markdown</x:v>
      </x:c>
      <x:c r="R97" s="20" t="str"/>
    </x:row>
    <x:row r="98" ht="36" customHeight="1">
      <x:c r="A98" s="19" t="str">
        <x:v>W02-20260914-0097</x:v>
      </x:c>
      <x:c r="B98" s="13" t="n">
        <x:v>2</x:v>
      </x:c>
      <x:c r="C98" s="13" t="str">
        <x:v>Этап 1 — База, разминка и исходная точка</x:v>
      </x:c>
      <x:c r="D98" s="138" t="str">
        <x:v>2026-09-14</x:v>
      </x:c>
      <x:c r="E98" s="13" t="str">
        <x:v>Понедельник</x:v>
      </x:c>
      <x:c r="F98" s="13" t="str">
        <x:v>Дом / теория</x:v>
      </x:c>
      <x:c r="G98" s="44" t="n">
        <x:v>0.027777777777777776</x:v>
      </x:c>
      <x:c r="H98" s="44" t="n">
        <x:v>0.041666666666666664</x:v>
      </x:c>
      <x:c r="I98" s="32" t="n">
        <x:f>ROUND((H98-G98)*1440,0)</x:f>
        <x:v>20</x:v>
      </x:c>
      <x:c r="J98" s="13" t="str">
        <x:v>Физиотерапия</x:v>
      </x:c>
      <x:c r="K98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98" s="13" t="str">
        <x:v>☐ Не начато</x:v>
      </x:c>
      <x:c r="M98" s="13" t="str">
        <x:v>По назначению</x:v>
      </x:c>
      <x:c r="N98" s="13" t="str">
        <x:v>По назначению физиотерапевта</x:v>
      </x:c>
      <x:c r="O98" s="13" t="str">
        <x:v>Любые указания физиотерапевта имеют приоритет над этим планом.</x:v>
      </x:c>
      <x:c r="P98" s="13" t="str">
        <x:v>milestone_01_foundation/week_02_2026-09-14/01_MONDAY.md</x:v>
      </x:c>
      <x:c r="Q98" s="138" t="str">
        <x:v>Markdown</x:v>
      </x:c>
      <x:c r="R98" s="20" t="str"/>
    </x:row>
    <x:row r="99" ht="36" customHeight="1">
      <x:c r="A99" s="19" t="str">
        <x:v>W02-20260914-0098</x:v>
      </x:c>
      <x:c r="B99" s="13" t="n">
        <x:v>2</x:v>
      </x:c>
      <x:c r="C99" s="13" t="str">
        <x:v>Этап 1 — База, разминка и исходная точка</x:v>
      </x:c>
      <x:c r="D99" s="138" t="str">
        <x:v>2026-09-14</x:v>
      </x:c>
      <x:c r="E99" s="13" t="str">
        <x:v>Понедельник</x:v>
      </x:c>
      <x:c r="F99" s="13" t="str">
        <x:v>Дом / теория</x:v>
      </x:c>
      <x:c r="G99" s="44" t="n">
        <x:v>0.041666666666666664</x:v>
      </x:c>
      <x:c r="H99" s="44" t="n">
        <x:v>0.04375</x:v>
      </x:c>
      <x:c r="I99" s="32" t="n">
        <x:f>ROUND((H99-G99)*1440,0)</x:f>
        <x:v>3</x:v>
      </x:c>
      <x:c r="J99" s="13" t="str">
        <x:v>Подготовка</x:v>
      </x:c>
      <x:c r="K99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99" s="13" t="str">
        <x:v>☐ Не начато</x:v>
      </x:c>
      <x:c r="M99" s="13" t="str">
        <x:v>Обязательно</x:v>
      </x:c>
      <x:c r="N99" s="13" t="str">
        <x:v>Без нагрузки</x:v>
      </x:c>
      <x:c r="O99" s="13" t="str">
        <x:v>Кольца и турник — только в рамках программы физиотерапевта.</x:v>
      </x:c>
      <x:c r="P99" s="13" t="str">
        <x:v>milestone_01_foundation/week_02_2026-09-14/01_MONDAY.md</x:v>
      </x:c>
      <x:c r="Q99" s="138" t="str">
        <x:v>Markdown</x:v>
      </x:c>
      <x:c r="R99" s="20" t="str"/>
    </x:row>
    <x:row r="100" ht="36" customHeight="1">
      <x:c r="A100" s="19" t="str">
        <x:v>W02-20260915-0099</x:v>
      </x:c>
      <x:c r="B100" s="13" t="n">
        <x:v>2</x:v>
      </x:c>
      <x:c r="C100" s="13" t="str">
        <x:v>Этап 1 — База, разминка и исходная точка</x:v>
      </x:c>
      <x:c r="D100" s="138" t="str">
        <x:v>2026-09-15</x:v>
      </x:c>
      <x:c r="E100" s="13" t="str">
        <x:v>Вторник</x:v>
      </x:c>
      <x:c r="F100" s="13" t="str">
        <x:v>Тренировка A — техника/объём</x:v>
      </x:c>
      <x:c r="G100" s="44" t="n">
        <x:v>0</x:v>
      </x:c>
      <x:c r="H100" s="44" t="n">
        <x:v>0.0020833333333333333</x:v>
      </x:c>
      <x:c r="I100" s="32" t="n">
        <x:f>ROUND((H100-G100)*1440,0)</x:f>
        <x:v>3</x:v>
      </x:c>
      <x:c r="J100" s="13" t="str">
        <x:v>Самопроверка</x:v>
      </x:c>
      <x:c r="K100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00" s="13" t="str">
        <x:v>☐ Не начато</x:v>
      </x:c>
      <x:c r="M100" s="13" t="str">
        <x:v>Обязательно</x:v>
      </x:c>
      <x:c r="N100" s="13" t="str">
        <x:v>Без нагрузки</x:v>
      </x:c>
      <x:c r="O100" s="13" t="str">
        <x:v>Красный флаг = не начинать пальцевую нагрузку.</x:v>
      </x:c>
      <x:c r="P100" s="13" t="str">
        <x:v>milestone_01_foundation/week_02_2026-09-14/02_TUESDAY.md</x:v>
      </x:c>
      <x:c r="Q100" s="138" t="str">
        <x:v>Markdown</x:v>
      </x:c>
      <x:c r="R100" s="20" t="str"/>
    </x:row>
    <x:row r="101" ht="36" customHeight="1">
      <x:c r="A101" s="19" t="str">
        <x:v>W02-20260915-0100</x:v>
      </x:c>
      <x:c r="B101" s="13" t="n">
        <x:v>2</x:v>
      </x:c>
      <x:c r="C101" s="13" t="str">
        <x:v>Этап 1 — База, разминка и исходная точка</x:v>
      </x:c>
      <x:c r="D101" s="138" t="str">
        <x:v>2026-09-15</x:v>
      </x:c>
      <x:c r="E101" s="13" t="str">
        <x:v>Вторник</x:v>
      </x:c>
      <x:c r="F101" s="13" t="str">
        <x:v>Тренировка A — техника/объём</x:v>
      </x:c>
      <x:c r="G101" s="44" t="n">
        <x:v>0.0020833333333333333</x:v>
      </x:c>
      <x:c r="H101" s="44" t="n">
        <x:v>0.005555555555555556</x:v>
      </x:c>
      <x:c r="I101" s="32" t="n">
        <x:f>ROUND((H101-G101)*1440,0)</x:f>
        <x:v>5</x:v>
      </x:c>
      <x:c r="J101" s="13" t="str">
        <x:v>Разминка</x:v>
      </x:c>
      <x:c r="K101" s="13" t="str">
        <x:v>Подними температуру: быстрая ходьба, лестница или лёгкий велотренажёр 5 минут.</x:v>
      </x:c>
      <x:c r="L101" s="13" t="str">
        <x:v>☐ Не начато</x:v>
      </x:c>
      <x:c r="M101" s="13" t="str">
        <x:v>Обязательно</x:v>
      </x:c>
      <x:c r="N101" s="13" t="str">
        <x:v>RPE 2–3</x:v>
      </x:c>
      <x:c r="O101" s="13" t="str"/>
      <x:c r="P101" s="13" t="str">
        <x:v>milestone_01_foundation/week_02_2026-09-14/02_TUESDAY.md</x:v>
      </x:c>
      <x:c r="Q101" s="138" t="str">
        <x:v>Markdown</x:v>
      </x:c>
      <x:c r="R101" s="20" t="str"/>
    </x:row>
    <x:row r="102" ht="36" customHeight="1">
      <x:c r="A102" s="19" t="str">
        <x:v>W02-20260915-0101</x:v>
      </x:c>
      <x:c r="B102" s="13" t="n">
        <x:v>2</x:v>
      </x:c>
      <x:c r="C102" s="13" t="str">
        <x:v>Этап 1 — База, разминка и исходная точка</x:v>
      </x:c>
      <x:c r="D102" s="138" t="str">
        <x:v>2026-09-15</x:v>
      </x:c>
      <x:c r="E102" s="13" t="str">
        <x:v>Вторник</x:v>
      </x:c>
      <x:c r="F102" s="13" t="str">
        <x:v>Тренировка A — техника/объём</x:v>
      </x:c>
      <x:c r="G102" s="44" t="n">
        <x:v>0.005555555555555556</x:v>
      </x:c>
      <x:c r="H102" s="44" t="n">
        <x:v>0.009027777777777777</x:v>
      </x:c>
      <x:c r="I102" s="32" t="n">
        <x:f>ROUND((H102-G102)*1440,0)</x:f>
        <x:v>5</x:v>
      </x:c>
      <x:c r="J102" s="13" t="str">
        <x:v>Разминка</x:v>
      </x:c>
      <x:c r="K102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02" s="13" t="str">
        <x:v>☐ Не начато</x:v>
      </x:c>
      <x:c r="M102" s="13" t="str">
        <x:v>Обязательно</x:v>
      </x:c>
      <x:c r="N102" s="13" t="str">
        <x:v>Очень легко</x:v>
      </x:c>
      <x:c r="O102" s="13" t="str">
        <x:v>Не делай press/отжимания и движения, которые раздражают плечо.</x:v>
      </x:c>
      <x:c r="P102" s="13" t="str">
        <x:v>milestone_01_foundation/week_02_2026-09-14/02_TUESDAY.md</x:v>
      </x:c>
      <x:c r="Q102" s="138" t="str">
        <x:v>Markdown</x:v>
      </x:c>
      <x:c r="R102" s="20" t="str"/>
    </x:row>
    <x:row r="103" ht="36" customHeight="1">
      <x:c r="A103" s="19" t="str">
        <x:v>W02-20260915-0102</x:v>
      </x:c>
      <x:c r="B103" s="13" t="n">
        <x:v>2</x:v>
      </x:c>
      <x:c r="C103" s="13" t="str">
        <x:v>Этап 1 — База, разминка и исходная точка</x:v>
      </x:c>
      <x:c r="D103" s="138" t="str">
        <x:v>2026-09-15</x:v>
      </x:c>
      <x:c r="E103" s="13" t="str">
        <x:v>Вторник</x:v>
      </x:c>
      <x:c r="F103" s="13" t="str">
        <x:v>Тренировка A — техника/объём</x:v>
      </x:c>
      <x:c r="G103" s="44" t="n">
        <x:v>0.009027777777777777</x:v>
      </x:c>
      <x:c r="H103" s="44" t="n">
        <x:v>0.011805555555555555</x:v>
      </x:c>
      <x:c r="I103" s="32" t="n">
        <x:f>ROUND((H103-G103)*1440,0)</x:f>
        <x:v>4</x:v>
      </x:c>
      <x:c r="J103" s="13" t="str">
        <x:v>Разминка пальцев</x:v>
      </x:c>
      <x:c r="K103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03" s="13" t="str">
        <x:v>☐ Не начато</x:v>
      </x:c>
      <x:c r="M103" s="13" t="str">
        <x:v>Обязательно</x:v>
      </x:c>
      <x:c r="N103" s="13" t="str">
        <x:v>Очень легко</x:v>
      </x:c>
      <x:c r="O103" s="13" t="str"/>
      <x:c r="P103" s="13" t="str">
        <x:v>milestone_01_foundation/week_02_2026-09-14/02_TUESDAY.md</x:v>
      </x:c>
      <x:c r="Q103" s="138" t="str">
        <x:v>Markdown</x:v>
      </x:c>
      <x:c r="R103" s="20" t="str"/>
    </x:row>
    <x:row r="104" ht="36" customHeight="1">
      <x:c r="A104" s="19" t="str">
        <x:v>W02-20260915-0103</x:v>
      </x:c>
      <x:c r="B104" s="13" t="n">
        <x:v>2</x:v>
      </x:c>
      <x:c r="C104" s="13" t="str">
        <x:v>Этап 1 — База, разминка и исходная точка</x:v>
      </x:c>
      <x:c r="D104" s="138" t="str">
        <x:v>2026-09-15</x:v>
      </x:c>
      <x:c r="E104" s="13" t="str">
        <x:v>Вторник</x:v>
      </x:c>
      <x:c r="F104" s="13" t="str">
        <x:v>Тренировка A — техника/объём</x:v>
      </x:c>
      <x:c r="G104" s="44" t="n">
        <x:v>0.011805555555555555</x:v>
      </x:c>
      <x:c r="H104" s="44" t="n">
        <x:v>0.014583333333333334</x:v>
      </x:c>
      <x:c r="I104" s="32" t="n">
        <x:f>ROUND((H104-G104)*1440,0)</x:f>
        <x:v>4</x:v>
      </x:c>
      <x:c r="J104" s="13" t="str">
        <x:v>Разминочное лазание</x:v>
      </x:c>
      <x:c r="K104" s="13" t="str">
        <x:v>Пройди 2 очень лёгкие трассы уровня 1–2; двигайся медленно, спускайся по зацепам.</x:v>
      </x:c>
      <x:c r="L104" s="13" t="str">
        <x:v>☐ Не начато</x:v>
      </x:c>
      <x:c r="M104" s="13" t="str">
        <x:v>Обязательно</x:v>
      </x:c>
      <x:c r="N104" s="13" t="str">
        <x:v>RPE 2–3</x:v>
      </x:c>
      <x:c r="O104" s="13" t="str">
        <x:v>Финиш с обязательным болезненным mantle/press пропусти.</x:v>
      </x:c>
      <x:c r="P104" s="13" t="str">
        <x:v>milestone_01_foundation/week_02_2026-09-14/02_TUESDAY.md</x:v>
      </x:c>
      <x:c r="Q104" s="138" t="str">
        <x:v>Markdown</x:v>
      </x:c>
      <x:c r="R104" s="20" t="str"/>
    </x:row>
    <x:row r="105" ht="36" customHeight="1">
      <x:c r="A105" s="19" t="str">
        <x:v>W02-20260915-0104</x:v>
      </x:c>
      <x:c r="B105" s="13" t="n">
        <x:v>2</x:v>
      </x:c>
      <x:c r="C105" s="13" t="str">
        <x:v>Этап 1 — База, разминка и исходная точка</x:v>
      </x:c>
      <x:c r="D105" s="138" t="str">
        <x:v>2026-09-15</x:v>
      </x:c>
      <x:c r="E105" s="13" t="str">
        <x:v>Вторник</x:v>
      </x:c>
      <x:c r="F105" s="13" t="str">
        <x:v>Тренировка A — техника/объём</x:v>
      </x:c>
      <x:c r="G105" s="44" t="n">
        <x:v>0.014583333333333334</x:v>
      </x:c>
      <x:c r="H105" s="44" t="n">
        <x:v>0.017361111111111112</x:v>
      </x:c>
      <x:c r="I105" s="32" t="n">
        <x:f>ROUND((H105-G105)*1440,0)</x:f>
        <x:v>4</x:v>
      </x:c>
      <x:c r="J105" s="13" t="str">
        <x:v>Разминочное лазание</x:v>
      </x:c>
      <x:c r="K105" s="13" t="str">
        <x:v>Пройди 2 трассы уровня 2–3, затем сделай 2–3 движения на комфортной четвёрке. Между ними 45–60 секунд.</x:v>
      </x:c>
      <x:c r="L105" s="13" t="str">
        <x:v>☐ Не начато</x:v>
      </x:c>
      <x:c r="M105" s="13" t="str">
        <x:v>Обязательно</x:v>
      </x:c>
      <x:c r="N105" s="13" t="str">
        <x:v>RPE 3–4</x:v>
      </x:c>
      <x:c r="O105" s="13" t="str">
        <x:v>Разминка не должна утомить пальцы.</x:v>
      </x:c>
      <x:c r="P105" s="13" t="str">
        <x:v>milestone_01_foundation/week_02_2026-09-14/02_TUESDAY.md</x:v>
      </x:c>
      <x:c r="Q105" s="138" t="str">
        <x:v>Markdown</x:v>
      </x:c>
      <x:c r="R105" s="20" t="str"/>
    </x:row>
    <x:row r="106" ht="36" customHeight="1">
      <x:c r="A106" s="19" t="str">
        <x:v>W02-20260915-0105</x:v>
      </x:c>
      <x:c r="B106" s="13" t="n">
        <x:v>2</x:v>
      </x:c>
      <x:c r="C106" s="13" t="str">
        <x:v>Этап 1 — База, разминка и исходная точка</x:v>
      </x:c>
      <x:c r="D106" s="138" t="str">
        <x:v>2026-09-15</x:v>
      </x:c>
      <x:c r="E106" s="13" t="str">
        <x:v>Вторник</x:v>
      </x:c>
      <x:c r="F106" s="13" t="str">
        <x:v>Тренировка A — техника/объём</x:v>
      </x:c>
      <x:c r="G106" s="44" t="n">
        <x:v>0.017361111111111112</x:v>
      </x:c>
      <x:c r="H106" s="44" t="n">
        <x:v>0.02013888888888889</x:v>
      </x:c>
      <x:c r="I106" s="32" t="n">
        <x:f>ROUND((H106-G106)*1440,0)</x:f>
        <x:v>4</x:v>
      </x:c>
      <x:c r="J106" s="13" t="str">
        <x:v>Выбор трасс</x:v>
      </x:c>
      <x:c r="K106" s="13" t="str">
        <x:v>Найди трассы для упражнения: 3 лёгкие трассы 2–3 с крупными ногами. На каждой делай 2-секундную паузу перед движением рукой.</x:v>
      </x:c>
      <x:c r="L106" s="13" t="str">
        <x:v>☐ Не начато</x:v>
      </x:c>
      <x:c r="M106" s="13" t="str">
        <x:v>Обязательно</x:v>
      </x:c>
      <x:c r="N106" s="13" t="str">
        <x:v>Без нагрузки</x:v>
      </x:c>
      <x:c r="O106" s="13" t="str">
        <x:v>Не зависай на одной согнутой руке. Любая боль в плече при lock-off — сразу менять бету или трассу.</x:v>
      </x:c>
      <x:c r="P106" s="13" t="str">
        <x:v>milestone_01_foundation/week_02_2026-09-14/02_TUESDAY.md</x:v>
      </x:c>
      <x:c r="Q106" s="138" t="str">
        <x:v>Markdown</x:v>
      </x:c>
      <x:c r="R106" s="20" t="str"/>
    </x:row>
    <x:row r="107" ht="36" customHeight="1">
      <x:c r="A107" s="19" t="str">
        <x:v>W02-20260915-0106</x:v>
      </x:c>
      <x:c r="B107" s="13" t="n">
        <x:v>2</x:v>
      </x:c>
      <x:c r="C107" s="13" t="str">
        <x:v>Этап 1 — База, разминка и исходная точка</x:v>
      </x:c>
      <x:c r="D107" s="138" t="str">
        <x:v>2026-09-15</x:v>
      </x:c>
      <x:c r="E107" s="13" t="str">
        <x:v>Вторник</x:v>
      </x:c>
      <x:c r="F107" s="13" t="str">
        <x:v>Тренировка A — техника/объём</x:v>
      </x:c>
      <x:c r="G107" s="44" t="n">
        <x:v>0.02013888888888889</x:v>
      </x:c>
      <x:c r="H107" s="44" t="n">
        <x:v>0.03194444444444444</x:v>
      </x:c>
      <x:c r="I107" s="32" t="n">
        <x:f>ROUND((H107-G107)*1440,0)</x:f>
        <x:v>17</x:v>
      </x:c>
      <x:c r="J107" s="13" t="str">
        <x:v>Технический блок</x:v>
      </x:c>
      <x:c r="K107" s="13" t="str">
        <x:v>Отработай «Прямые руки и таз над опорной ногой». Шаги: Перед движением рукой проверь, можно ли чуть выпрямить опорную руку. Перенеси таз в сторону стопы, которая должна толкать. Начни движение ногой и тазом; рука лишь направляет.</x:v>
      </x:c>
      <x:c r="L107" s="13" t="str">
        <x:v>☐ Не начато</x:v>
      </x:c>
      <x:c r="M107" s="13" t="str">
        <x:v>Обязательно</x:v>
      </x:c>
      <x:c r="N107" s="13" t="str">
        <x:v>RPE 3–5</x:v>
      </x:c>
      <x:c r="O107" s="13" t="str">
        <x:v>Прямая рука не означает пассивно «проваленное» плечо. Болезненный lock-off или press исключить.</x:v>
      </x:c>
      <x:c r="P107" s="13" t="str">
        <x:v>milestone_01_foundation/week_02_2026-09-14/02_TUESDAY.md</x:v>
      </x:c>
      <x:c r="Q107" s="138" t="str">
        <x:v>Markdown</x:v>
      </x:c>
      <x:c r="R107" s="20" t="str"/>
    </x:row>
    <x:row r="108" ht="36" customHeight="1">
      <x:c r="A108" s="19" t="str">
        <x:v>W02-20260915-0107</x:v>
      </x:c>
      <x:c r="B108" s="13" t="n">
        <x:v>2</x:v>
      </x:c>
      <x:c r="C108" s="13" t="str">
        <x:v>Этап 1 — База, разминка и исходная точка</x:v>
      </x:c>
      <x:c r="D108" s="138" t="str">
        <x:v>2026-09-15</x:v>
      </x:c>
      <x:c r="E108" s="13" t="str">
        <x:v>Вторник</x:v>
      </x:c>
      <x:c r="F108" s="13" t="str">
        <x:v>Тренировка A — техника/объём</x:v>
      </x:c>
      <x:c r="G108" s="44" t="n">
        <x:v>0.03194444444444444</x:v>
      </x:c>
      <x:c r="H108" s="44" t="n">
        <x:v>0.035416666666666666</x:v>
      </x:c>
      <x:c r="I108" s="32" t="n">
        <x:f>ROUND((H108-G108)*1440,0)</x:f>
        <x:v>5</x:v>
      </x:c>
      <x:c r="J108" s="13" t="str">
        <x:v>Обратная связь</x:v>
      </x:c>
      <x:c r="K108" s="13" t="str">
        <x:v>Повтори лучшую лёгкую трассу и проверь критерий успеха: На видео локоть не сгибается первым минимум в 3 движениях; усилие рук ниже.</x:v>
      </x:c>
      <x:c r="L108" s="13" t="str">
        <x:v>☐ Не начато</x:v>
      </x:c>
      <x:c r="M108" s="13" t="str">
        <x:v>Обязательно</x:v>
      </x:c>
      <x:c r="N108" s="13" t="str">
        <x:v>RPE 4–5</x:v>
      </x:c>
      <x:c r="O108" s="13" t="str"/>
      <x:c r="P108" s="13" t="str">
        <x:v>milestone_01_foundation/week_02_2026-09-14/02_TUESDAY.md</x:v>
      </x:c>
      <x:c r="Q108" s="138" t="str">
        <x:v>Markdown</x:v>
      </x:c>
      <x:c r="R108" s="20" t="str"/>
    </x:row>
    <x:row r="109" ht="36" customHeight="1">
      <x:c r="A109" s="19" t="str">
        <x:v>W02-20260915-0108</x:v>
      </x:c>
      <x:c r="B109" s="13" t="n">
        <x:v>2</x:v>
      </x:c>
      <x:c r="C109" s="13" t="str">
        <x:v>Этап 1 — База, разминка и исходная точка</x:v>
      </x:c>
      <x:c r="D109" s="138" t="str">
        <x:v>2026-09-15</x:v>
      </x:c>
      <x:c r="E109" s="13" t="str">
        <x:v>Вторник</x:v>
      </x:c>
      <x:c r="F109" s="13" t="str">
        <x:v>Тренировка A — техника/объём</x:v>
      </x:c>
      <x:c r="G109" s="44" t="n">
        <x:v>0.035416666666666666</x:v>
      </x:c>
      <x:c r="H109" s="44" t="n">
        <x:v>0.04583333333333333</x:v>
      </x:c>
      <x:c r="I109" s="32" t="n">
        <x:f>ROUND((H109-G109)*1440,0)</x:f>
        <x:v>15</x:v>
      </x:c>
      <x:c r="J109" s="13" t="str">
        <x:v>Качественный объём</x:v>
      </x:c>
      <x:c r="K109" s="13" t="str">
        <x:v>Попробуй 2–3 четвёрки, максимум 2 попытки на каждую, отдых 2:00. На неудаче назови техническую причину.</x:v>
      </x:c>
      <x:c r="L109" s="13" t="str">
        <x:v>☐ Не начато</x:v>
      </x:c>
      <x:c r="M109" s="13" t="str">
        <x:v>Обязательно</x:v>
      </x:c>
      <x:c r="N109" s="13" t="str">
        <x:v>RPE 6–7</x:v>
      </x:c>
      <x:c r="O109" s="13" t="str">
        <x:v>Не выбирать подряд три трассы на одинаково маленьких кромках.</x:v>
      </x:c>
      <x:c r="P109" s="13" t="str">
        <x:v>milestone_01_foundation/week_02_2026-09-14/02_TUESDAY.md</x:v>
      </x:c>
      <x:c r="Q109" s="138" t="str">
        <x:v>Markdown</x:v>
      </x:c>
      <x:c r="R109" s="20" t="str"/>
    </x:row>
    <x:row r="110" ht="36" customHeight="1">
      <x:c r="A110" s="19" t="str">
        <x:v>W02-20260915-0109</x:v>
      </x:c>
      <x:c r="B110" s="13" t="n">
        <x:v>2</x:v>
      </x:c>
      <x:c r="C110" s="13" t="str">
        <x:v>Этап 1 — База, разминка и исходная точка</x:v>
      </x:c>
      <x:c r="D110" s="138" t="str">
        <x:v>2026-09-15</x:v>
      </x:c>
      <x:c r="E110" s="13" t="str">
        <x:v>Вторник</x:v>
      </x:c>
      <x:c r="F110" s="13" t="str">
        <x:v>Тренировка A — техника/объём</x:v>
      </x:c>
      <x:c r="G110" s="44" t="n">
        <x:v>0.04583333333333333</x:v>
      </x:c>
      <x:c r="H110" s="44" t="n">
        <x:v>0.052083333333333336</x:v>
      </x:c>
      <x:c r="I110" s="32" t="n">
        <x:f>ROUND((H110-G110)*1440,0)</x:f>
        <x:v>9</x:v>
      </x:c>
      <x:c r="J110" s="13" t="str">
        <x:v>Рабочая пятёрка</x:v>
      </x:c>
      <x:c r="K110" s="13" t="str">
        <x:v>Одна пятёрка, максимум 2 попытки, отдых 3:00. Цель — применить тему недели, а не обязательно закрыть.</x:v>
      </x:c>
      <x:c r="L110" s="13" t="str">
        <x:v>☐ Не начато</x:v>
      </x:c>
      <x:c r="M110" s="13" t="str">
        <x:v>Обязательно</x:v>
      </x:c>
      <x:c r="N110" s="13" t="str">
        <x:v>RPE 7–8</x:v>
      </x:c>
      <x:c r="O110" s="13" t="str">
        <x:v>Не зависай на одной согнутой руке. Любая боль в плече при lock-off — сразу менять бету или трассу.</x:v>
      </x:c>
      <x:c r="P110" s="13" t="str">
        <x:v>milestone_01_foundation/week_02_2026-09-14/02_TUESDAY.md</x:v>
      </x:c>
      <x:c r="Q110" s="138" t="str">
        <x:v>Markdown</x:v>
      </x:c>
      <x:c r="R110" s="20" t="str"/>
    </x:row>
    <x:row r="111" ht="36" customHeight="1">
      <x:c r="A111" s="19" t="str">
        <x:v>W02-20260915-0110</x:v>
      </x:c>
      <x:c r="B111" s="13" t="n">
        <x:v>2</x:v>
      </x:c>
      <x:c r="C111" s="13" t="str">
        <x:v>Этап 1 — База, разминка и исходная точка</x:v>
      </x:c>
      <x:c r="D111" s="138" t="str">
        <x:v>2026-09-15</x:v>
      </x:c>
      <x:c r="E111" s="13" t="str">
        <x:v>Вторник</x:v>
      </x:c>
      <x:c r="F111" s="13" t="str">
        <x:v>Тренировка A — техника/объём</x:v>
      </x:c>
      <x:c r="G111" s="44" t="n">
        <x:v>0.052083333333333336</x:v>
      </x:c>
      <x:c r="H111" s="44" t="n">
        <x:v>0.058333333333333334</x:v>
      </x:c>
      <x:c r="I111" s="32" t="n">
        <x:f>ROUND((H111-G111)*1440,0)</x:f>
        <x:v>9</x:v>
      </x:c>
      <x:c r="J111" s="13" t="str">
        <x:v>Лёгкая выносливость</x:v>
      </x:c>
      <x:c r="K111" s="13" t="str">
        <x:v>Начни 2 раунда × 2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11" s="13" t="str">
        <x:v>☐ Не начато</x:v>
      </x:c>
      <x:c r="M111" s="13" t="str">
        <x:v>Обязательно</x:v>
      </x:c>
      <x:c r="N111" s="13" t="str">
        <x:v>Памп максимум 4/10</x:v>
      </x:c>
      <x:c r="O111" s="13" t="str">
        <x:v>Остановиться при неточной постановке ног или разжимании пальцев.</x:v>
      </x:c>
      <x:c r="P111" s="13" t="str">
        <x:v>milestone_01_foundation/week_02_2026-09-14/02_TUESDAY.md</x:v>
      </x:c>
      <x:c r="Q111" s="138" t="str">
        <x:v>Markdown</x:v>
      </x:c>
      <x:c r="R111" s="20" t="str"/>
    </x:row>
    <x:row r="112" ht="36" customHeight="1">
      <x:c r="A112" s="19" t="str">
        <x:v>W02-20260915-0111</x:v>
      </x:c>
      <x:c r="B112" s="13" t="n">
        <x:v>2</x:v>
      </x:c>
      <x:c r="C112" s="13" t="str">
        <x:v>Этап 1 — База, разминка и исходная точка</x:v>
      </x:c>
      <x:c r="D112" s="138" t="str">
        <x:v>2026-09-15</x:v>
      </x:c>
      <x:c r="E112" s="13" t="str">
        <x:v>Вторник</x:v>
      </x:c>
      <x:c r="F112" s="13" t="str">
        <x:v>Тренировка A — техника/объём</x:v>
      </x:c>
      <x:c r="G112" s="44" t="n">
        <x:v>0.058333333333333334</x:v>
      </x:c>
      <x:c r="H112" s="44" t="n">
        <x:v>0.06041666666666667</x:v>
      </x:c>
      <x:c r="I112" s="32" t="n">
        <x:f>ROUND((H112-G112)*1440,0)</x:f>
        <x:v>3</x:v>
      </x:c>
      <x:c r="J112" s="13" t="str">
        <x:v>Завершение</x:v>
      </x:c>
      <x:c r="K112" s="13" t="str">
        <x:v>Очень лёгкий спуск/ходьба и спокойное встряхивание кистей.</x:v>
      </x:c>
      <x:c r="L112" s="13" t="str">
        <x:v>☐ Не начато</x:v>
      </x:c>
      <x:c r="M112" s="13" t="str">
        <x:v>Обязательно</x:v>
      </x:c>
      <x:c r="N112" s="13" t="str">
        <x:v>RPE 1–2</x:v>
      </x:c>
      <x:c r="O112" s="13" t="str"/>
      <x:c r="P112" s="13" t="str">
        <x:v>milestone_01_foundation/week_02_2026-09-14/02_TUESDAY.md</x:v>
      </x:c>
      <x:c r="Q112" s="138" t="str">
        <x:v>Markdown</x:v>
      </x:c>
      <x:c r="R112" s="20" t="str"/>
    </x:row>
    <x:row r="113" ht="36" customHeight="1">
      <x:c r="A113" s="19" t="str">
        <x:v>W02-20260915-0112</x:v>
      </x:c>
      <x:c r="B113" s="13" t="n">
        <x:v>2</x:v>
      </x:c>
      <x:c r="C113" s="13" t="str">
        <x:v>Этап 1 — База, разминка и исходная точка</x:v>
      </x:c>
      <x:c r="D113" s="138" t="str">
        <x:v>2026-09-15</x:v>
      </x:c>
      <x:c r="E113" s="13" t="str">
        <x:v>Вторник</x:v>
      </x:c>
      <x:c r="F113" s="13" t="str">
        <x:v>Тренировка A — техника/объём</x:v>
      </x:c>
      <x:c r="G113" s="44" t="n">
        <x:v>0.06041666666666667</x:v>
      </x:c>
      <x:c r="H113" s="44" t="n">
        <x:v>0.0625</x:v>
      </x:c>
      <x:c r="I113" s="32" t="n">
        <x:f>ROUND((H113-G113)*1440,0)</x:f>
        <x:v>3</x:v>
      </x:c>
      <x:c r="J113" s="13" t="str">
        <x:v>Журнал</x:v>
      </x:c>
      <x:c r="K113" s="13" t="str">
        <x:v>Запиши: На одном видео посчитать, сколько раз локоть сильно сгибается до начала движения ногами. Также отметь минуту первой просадки хвата.</x:v>
      </x:c>
      <x:c r="L113" s="13" t="str">
        <x:v>☐ Не начато</x:v>
      </x:c>
      <x:c r="M113" s="13" t="str">
        <x:v>Обязательно</x:v>
      </x:c>
      <x:c r="N113" s="13" t="str">
        <x:v>Без нагрузки</x:v>
      </x:c>
      <x:c r="O113" s="13" t="str"/>
      <x:c r="P113" s="13" t="str">
        <x:v>milestone_01_foundation/week_02_2026-09-14/02_TUESDAY.md</x:v>
      </x:c>
      <x:c r="Q113" s="138" t="str">
        <x:v>Markdown</x:v>
      </x:c>
      <x:c r="R113" s="20" t="str"/>
    </x:row>
    <x:row r="114" ht="36" customHeight="1">
      <x:c r="A114" s="19" t="str">
        <x:v>W02-20260916-0113</x:v>
      </x:c>
      <x:c r="B114" s="13" t="n">
        <x:v>2</x:v>
      </x:c>
      <x:c r="C114" s="13" t="str">
        <x:v>Этап 1 — База, разминка и исходная точка</x:v>
      </x:c>
      <x:c r="D114" s="138" t="str">
        <x:v>2026-09-16</x:v>
      </x:c>
      <x:c r="E114" s="13" t="str">
        <x:v>Среда</x:v>
      </x:c>
      <x:c r="F114" s="13" t="str">
        <x:v>Восстановление / видео</x:v>
      </x:c>
      <x:c r="G114" s="44" t="n">
        <x:v>0</x:v>
      </x:c>
      <x:c r="H114" s="44" t="n">
        <x:v>0.006944444444444444</x:v>
      </x:c>
      <x:c r="I114" s="32" t="n">
        <x:f>ROUND((H114-G114)*1440,0)</x:f>
        <x:v>10</x:v>
      </x:c>
      <x:c r="J114" s="13" t="str">
        <x:v>Восстановление</x:v>
      </x:c>
      <x:c r="K114" s="13" t="str">
        <x:v>10 минут спокойной ходьбы. Руки расслаблены; это не тренировка выносливости.</x:v>
      </x:c>
      <x:c r="L114" s="13" t="str">
        <x:v>☐ Не начато</x:v>
      </x:c>
      <x:c r="M114" s="13" t="str">
        <x:v>Обязательно</x:v>
      </x:c>
      <x:c r="N114" s="13" t="str">
        <x:v>RPE 1–2</x:v>
      </x:c>
      <x:c r="O114" s="13" t="str"/>
      <x:c r="P114" s="13" t="str">
        <x:v>milestone_01_foundation/week_02_2026-09-14/03_WEDNESDAY.md</x:v>
      </x:c>
      <x:c r="Q114" s="138" t="str">
        <x:v>Markdown</x:v>
      </x:c>
      <x:c r="R114" s="20" t="str"/>
    </x:row>
    <x:row r="115" ht="36" customHeight="1">
      <x:c r="A115" s="19" t="str">
        <x:v>W02-20260916-0114</x:v>
      </x:c>
      <x:c r="B115" s="13" t="n">
        <x:v>2</x:v>
      </x:c>
      <x:c r="C115" s="13" t="str">
        <x:v>Этап 1 — База, разминка и исходная точка</x:v>
      </x:c>
      <x:c r="D115" s="138" t="str">
        <x:v>2026-09-16</x:v>
      </x:c>
      <x:c r="E115" s="13" t="str">
        <x:v>Среда</x:v>
      </x:c>
      <x:c r="F115" s="13" t="str">
        <x:v>Восстановление / видео</x:v>
      </x:c>
      <x:c r="G115" s="44" t="n">
        <x:v>0.006944444444444444</x:v>
      </x:c>
      <x:c r="H115" s="44" t="n">
        <x:v>0.009027777777777777</x:v>
      </x:c>
      <x:c r="I115" s="32" t="n">
        <x:f>ROUND((H115-G115)*1440,0)</x:f>
        <x:v>3</x:v>
      </x:c>
      <x:c r="J115" s="13" t="str">
        <x:v>Самопроверка</x:v>
      </x:c>
      <x:c r="K115" s="13" t="str">
        <x:v>Оцени реакцию после вторника: плечо, пальцы, правое колено 0–10. Запиши, что изменилось относительно вчерашнего утра.</x:v>
      </x:c>
      <x:c r="L115" s="13" t="str">
        <x:v>☐ Не начато</x:v>
      </x:c>
      <x:c r="M115" s="13" t="str">
        <x:v>Обязательно</x:v>
      </x:c>
      <x:c r="N115" s="13" t="str">
        <x:v>Без нагрузки</x:v>
      </x:c>
      <x:c r="O115" s="13" t="str">
        <x:v>Острая локальная боль пальца или ухудшение плеча = не делать четверговую пальцевую нагрузку.</x:v>
      </x:c>
      <x:c r="P115" s="13" t="str">
        <x:v>milestone_01_foundation/week_02_2026-09-14/03_WEDNESDAY.md</x:v>
      </x:c>
      <x:c r="Q115" s="138" t="str">
        <x:v>Markdown</x:v>
      </x:c>
      <x:c r="R115" s="20" t="str"/>
    </x:row>
    <x:row r="116" ht="36" customHeight="1">
      <x:c r="A116" s="19" t="str">
        <x:v>W02-20260916-0115</x:v>
      </x:c>
      <x:c r="B116" s="13" t="n">
        <x:v>2</x:v>
      </x:c>
      <x:c r="C116" s="13" t="str">
        <x:v>Этап 1 — База, разминка и исходная точка</x:v>
      </x:c>
      <x:c r="D116" s="138" t="str">
        <x:v>2026-09-16</x:v>
      </x:c>
      <x:c r="E116" s="13" t="str">
        <x:v>Среда</x:v>
      </x:c>
      <x:c r="F116" s="13" t="str">
        <x:v>Восстановление / видео</x:v>
      </x:c>
      <x:c r="G116" s="44" t="n">
        <x:v>0.009027777777777777</x:v>
      </x:c>
      <x:c r="H116" s="44" t="n">
        <x:v>0.01597222222222222</x:v>
      </x:c>
      <x:c r="I116" s="32" t="n">
        <x:f>ROUND((H116-G116)*1440,0)</x:f>
        <x:v>10</x:v>
      </x:c>
      <x:c r="J116" s="13" t="str">
        <x:v>Видеоразбор</x:v>
      </x:c>
      <x:c r="K116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16" s="13" t="str">
        <x:v>☐ Не начато</x:v>
      </x:c>
      <x:c r="M116" s="13" t="str">
        <x:v>Обязательно</x:v>
      </x:c>
      <x:c r="N116" s="13" t="str">
        <x:v>Без нагрузки</x:v>
      </x:c>
      <x:c r="O116" s="13" t="str"/>
      <x:c r="P116" s="13" t="str">
        <x:v>milestone_01_foundation/week_02_2026-09-14/03_WEDNESDAY.md</x:v>
      </x:c>
      <x:c r="Q116" s="138" t="str">
        <x:v>Markdown</x:v>
      </x:c>
      <x:c r="R116" s="20" t="str"/>
    </x:row>
    <x:row r="117" ht="36" customHeight="1">
      <x:c r="A117" s="19" t="str">
        <x:v>W02-20260916-0116</x:v>
      </x:c>
      <x:c r="B117" s="13" t="n">
        <x:v>2</x:v>
      </x:c>
      <x:c r="C117" s="13" t="str">
        <x:v>Этап 1 — База, разминка и исходная точка</x:v>
      </x:c>
      <x:c r="D117" s="138" t="str">
        <x:v>2026-09-16</x:v>
      </x:c>
      <x:c r="E117" s="13" t="str">
        <x:v>Среда</x:v>
      </x:c>
      <x:c r="F117" s="13" t="str">
        <x:v>Восстановление / видео</x:v>
      </x:c>
      <x:c r="G117" s="44" t="n">
        <x:v>0.01597222222222222</x:v>
      </x:c>
      <x:c r="H117" s="44" t="n">
        <x:v>0.01875</x:v>
      </x:c>
      <x:c r="I117" s="32" t="n">
        <x:f>ROUND((H117-G117)*1440,0)</x:f>
        <x:v>4</x:v>
      </x:c>
      <x:c r="J117" s="13" t="str">
        <x:v>Конспект</x:v>
      </x:c>
      <x:c r="K117" s="13" t="str">
        <x:v>Запиши одну правку на четверг в формате «В следующей попытке я…». Используй cue: «Сначала поставь таз над ногой, затем вставай ногой; рука лишь связывает тебя со стеной.».</x:v>
      </x:c>
      <x:c r="L117" s="13" t="str">
        <x:v>☐ Не начато</x:v>
      </x:c>
      <x:c r="M117" s="13" t="str">
        <x:v>Обязательно</x:v>
      </x:c>
      <x:c r="N117" s="13" t="str">
        <x:v>Без нагрузки</x:v>
      </x:c>
      <x:c r="O117" s="13" t="str"/>
      <x:c r="P117" s="13" t="str">
        <x:v>milestone_01_foundation/week_02_2026-09-14/03_WEDNESDAY.md</x:v>
      </x:c>
      <x:c r="Q117" s="138" t="str">
        <x:v>Markdown</x:v>
      </x:c>
      <x:c r="R117" s="20" t="str"/>
    </x:row>
    <x:row r="118" ht="36" customHeight="1">
      <x:c r="A118" s="19" t="str">
        <x:v>W02-20260916-0117</x:v>
      </x:c>
      <x:c r="B118" s="13" t="n">
        <x:v>2</x:v>
      </x:c>
      <x:c r="C118" s="13" t="str">
        <x:v>Этап 1 — База, разминка и исходная точка</x:v>
      </x:c>
      <x:c r="D118" s="138" t="str">
        <x:v>2026-09-16</x:v>
      </x:c>
      <x:c r="E118" s="13" t="str">
        <x:v>Среда</x:v>
      </x:c>
      <x:c r="F118" s="13" t="str">
        <x:v>Восстановление / видео</x:v>
      </x:c>
      <x:c r="G118" s="44" t="n">
        <x:v>0.01875</x:v>
      </x:c>
      <x:c r="H118" s="44" t="n">
        <x:v>0.027083333333333334</x:v>
      </x:c>
      <x:c r="I118" s="32" t="n">
        <x:f>ROUND((H118-G118)*1440,0)</x:f>
        <x:v>12</x:v>
      </x:c>
      <x:c r="J118" s="13" t="str">
        <x:v>Домашняя мобильность</x:v>
      </x:c>
      <x:c r="K118" s="13" t="str">
        <x:v>Выполни комплекс H2 «Баланс и опора ног», 12 минут. Ни турника, ни колец для дополнительного хвата.</x:v>
      </x:c>
      <x:c r="L118" s="13" t="str">
        <x:v>☐ Не начато</x:v>
      </x:c>
      <x:c r="M118" s="13" t="str">
        <x:v>Обязательно</x:v>
      </x:c>
      <x:c r="N118" s="13" t="str">
        <x:v>RPE 2–3</x:v>
      </x:c>
      <x:c r="O118" s="13" t="str">
        <x:v>Не уходи в глубокий присед. Стена используется как страховка; упражнение не должно провоцировать правое колено.</x:v>
      </x:c>
      <x:c r="P118" s="13" t="str">
        <x:v>milestone_01_foundation/week_02_2026-09-14/03_WEDNESDAY.md</x:v>
      </x:c>
      <x:c r="Q118" s="138" t="str">
        <x:v>Markdown</x:v>
      </x:c>
      <x:c r="R118" s="20" t="str"/>
    </x:row>
    <x:row r="119" ht="36" customHeight="1">
      <x:c r="A119" s="19" t="str">
        <x:v>W02-20260916-0118</x:v>
      </x:c>
      <x:c r="B119" s="13" t="n">
        <x:v>2</x:v>
      </x:c>
      <x:c r="C119" s="13" t="str">
        <x:v>Этап 1 — База, разминка и исходная точка</x:v>
      </x:c>
      <x:c r="D119" s="138" t="str">
        <x:v>2026-09-16</x:v>
      </x:c>
      <x:c r="E119" s="13" t="str">
        <x:v>Среда</x:v>
      </x:c>
      <x:c r="F119" s="13" t="str">
        <x:v>Восстановление / видео</x:v>
      </x:c>
      <x:c r="G119" s="44" t="n">
        <x:v>0.027083333333333334</x:v>
      </x:c>
      <x:c r="H119" s="44" t="n">
        <x:v>0.04097222222222222</x:v>
      </x:c>
      <x:c r="I119" s="32" t="n">
        <x:f>ROUND((H119-G119)*1440,0)</x:f>
        <x:v>20</x:v>
      </x:c>
      <x:c r="J119" s="13" t="str">
        <x:v>Физиотерапия</x:v>
      </x:c>
      <x:c r="K119" s="13" t="str">
        <x:v>Выполни свой назначенный физиотерапевтом комплекс, если среда входит в его расписание.</x:v>
      </x:c>
      <x:c r="L119" s="13" t="str">
        <x:v>☐ Не начато</x:v>
      </x:c>
      <x:c r="M119" s="13" t="str">
        <x:v>По назначению</x:v>
      </x:c>
      <x:c r="N119" s="13" t="str">
        <x:v>По назначению</x:v>
      </x:c>
      <x:c r="O119" s="13" t="str">
        <x:v>Назначения физиотерапевта имеют приоритет.</x:v>
      </x:c>
      <x:c r="P119" s="13" t="str">
        <x:v>milestone_01_foundation/week_02_2026-09-14/03_WEDNESDAY.md</x:v>
      </x:c>
      <x:c r="Q119" s="138" t="str">
        <x:v>Markdown</x:v>
      </x:c>
      <x:c r="R119" s="20" t="str"/>
    </x:row>
    <x:row r="120" ht="36" customHeight="1">
      <x:c r="A120" s="19" t="str">
        <x:v>W02-20260916-0119</x:v>
      </x:c>
      <x:c r="B120" s="13" t="n">
        <x:v>2</x:v>
      </x:c>
      <x:c r="C120" s="13" t="str">
        <x:v>Этап 1 — База, разминка и исходная точка</x:v>
      </x:c>
      <x:c r="D120" s="138" t="str">
        <x:v>2026-09-16</x:v>
      </x:c>
      <x:c r="E120" s="13" t="str">
        <x:v>Среда</x:v>
      </x:c>
      <x:c r="F120" s="13" t="str">
        <x:v>Восстановление / видео</x:v>
      </x:c>
      <x:c r="G120" s="44" t="n">
        <x:v>0.04097222222222222</x:v>
      </x:c>
      <x:c r="H120" s="44" t="n">
        <x:v>0.043055555555555555</x:v>
      </x:c>
      <x:c r="I120" s="32" t="n">
        <x:f>ROUND((H120-G120)*1440,0)</x:f>
        <x:v>3</x:v>
      </x:c>
      <x:c r="J120" s="13" t="str">
        <x:v>Запрет лишней нагрузки</x:v>
      </x:c>
      <x:c r="K120" s="13" t="str">
        <x:v>Поставь отметку: сегодня не было висов, подтягиваний «на проверку», эспандера-сжимателя или тяжёлого ношения.</x:v>
      </x:c>
      <x:c r="L120" s="13" t="str">
        <x:v>☐ Не начато</x:v>
      </x:c>
      <x:c r="M120" s="13" t="str">
        <x:v>Обязательно</x:v>
      </x:c>
      <x:c r="N120" s="13" t="str">
        <x:v>Восстановление</x:v>
      </x:c>
      <x:c r="O120" s="13" t="str"/>
      <x:c r="P120" s="13" t="str">
        <x:v>milestone_01_foundation/week_02_2026-09-14/03_WEDNESDAY.md</x:v>
      </x:c>
      <x:c r="Q120" s="138" t="str">
        <x:v>Markdown</x:v>
      </x:c>
      <x:c r="R120" s="20" t="str"/>
    </x:row>
    <x:row r="121" ht="36" customHeight="1">
      <x:c r="A121" s="19" t="str">
        <x:v>W02-20260917-0120</x:v>
      </x:c>
      <x:c r="B121" s="13" t="n">
        <x:v>2</x:v>
      </x:c>
      <x:c r="C121" s="13" t="str">
        <x:v>Этап 1 — База, разминка и исходная точка</x:v>
      </x:c>
      <x:c r="D121" s="138" t="str">
        <x:v>2026-09-17</x:v>
      </x:c>
      <x:c r="E121" s="13" t="str">
        <x:v>Четверг</x:v>
      </x:c>
      <x:c r="F121" s="13" t="str">
        <x:v>Тренировка B — пальцы/проект</x:v>
      </x:c>
      <x:c r="G121" s="44" t="n">
        <x:v>0</x:v>
      </x:c>
      <x:c r="H121" s="44" t="n">
        <x:v>0.0020833333333333333</x:v>
      </x:c>
      <x:c r="I121" s="32" t="n">
        <x:f>ROUND((H121-G121)*1440,0)</x:f>
        <x:v>3</x:v>
      </x:c>
      <x:c r="J121" s="13" t="str">
        <x:v>Самопроверка</x:v>
      </x:c>
      <x:c r="K121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21" s="13" t="str">
        <x:v>☐ Не начато</x:v>
      </x:c>
      <x:c r="M121" s="13" t="str">
        <x:v>Обязательно</x:v>
      </x:c>
      <x:c r="N121" s="13" t="str">
        <x:v>Без нагрузки</x:v>
      </x:c>
      <x:c r="O121" s="13" t="str">
        <x:v>Красный флаг = не начинать пальцевую нагрузку.</x:v>
      </x:c>
      <x:c r="P121" s="13" t="str">
        <x:v>milestone_01_foundation/week_02_2026-09-14/04_THURSDAY.md</x:v>
      </x:c>
      <x:c r="Q121" s="138" t="str">
        <x:v>Markdown</x:v>
      </x:c>
      <x:c r="R121" s="20" t="str"/>
    </x:row>
    <x:row r="122" ht="36" customHeight="1">
      <x:c r="A122" s="19" t="str">
        <x:v>W02-20260917-0121</x:v>
      </x:c>
      <x:c r="B122" s="13" t="n">
        <x:v>2</x:v>
      </x:c>
      <x:c r="C122" s="13" t="str">
        <x:v>Этап 1 — База, разминка и исходная точка</x:v>
      </x:c>
      <x:c r="D122" s="138" t="str">
        <x:v>2026-09-17</x:v>
      </x:c>
      <x:c r="E122" s="13" t="str">
        <x:v>Четверг</x:v>
      </x:c>
      <x:c r="F122" s="13" t="str">
        <x:v>Тренировка B — пальцы/проект</x:v>
      </x:c>
      <x:c r="G122" s="44" t="n">
        <x:v>0.0020833333333333333</x:v>
      </x:c>
      <x:c r="H122" s="44" t="n">
        <x:v>0.005555555555555556</x:v>
      </x:c>
      <x:c r="I122" s="32" t="n">
        <x:f>ROUND((H122-G122)*1440,0)</x:f>
        <x:v>5</x:v>
      </x:c>
      <x:c r="J122" s="13" t="str">
        <x:v>Разминка</x:v>
      </x:c>
      <x:c r="K122" s="13" t="str">
        <x:v>Подними температуру: быстрая ходьба, лестница или лёгкий велотренажёр 5 минут.</x:v>
      </x:c>
      <x:c r="L122" s="13" t="str">
        <x:v>☐ Не начато</x:v>
      </x:c>
      <x:c r="M122" s="13" t="str">
        <x:v>Обязательно</x:v>
      </x:c>
      <x:c r="N122" s="13" t="str">
        <x:v>RPE 2–3</x:v>
      </x:c>
      <x:c r="O122" s="13" t="str"/>
      <x:c r="P122" s="13" t="str">
        <x:v>milestone_01_foundation/week_02_2026-09-14/04_THURSDAY.md</x:v>
      </x:c>
      <x:c r="Q122" s="138" t="str">
        <x:v>Markdown</x:v>
      </x:c>
      <x:c r="R122" s="20" t="str"/>
    </x:row>
    <x:row r="123" ht="36" customHeight="1">
      <x:c r="A123" s="19" t="str">
        <x:v>W02-20260917-0122</x:v>
      </x:c>
      <x:c r="B123" s="13" t="n">
        <x:v>2</x:v>
      </x:c>
      <x:c r="C123" s="13" t="str">
        <x:v>Этап 1 — База, разминка и исходная точка</x:v>
      </x:c>
      <x:c r="D123" s="138" t="str">
        <x:v>2026-09-17</x:v>
      </x:c>
      <x:c r="E123" s="13" t="str">
        <x:v>Четверг</x:v>
      </x:c>
      <x:c r="F123" s="13" t="str">
        <x:v>Тренировка B — пальцы/проект</x:v>
      </x:c>
      <x:c r="G123" s="44" t="n">
        <x:v>0.005555555555555556</x:v>
      </x:c>
      <x:c r="H123" s="44" t="n">
        <x:v>0.009027777777777777</x:v>
      </x:c>
      <x:c r="I123" s="32" t="n">
        <x:f>ROUND((H123-G123)*1440,0)</x:f>
        <x:v>5</x:v>
      </x:c>
      <x:c r="J123" s="13" t="str">
        <x:v>Разминка</x:v>
      </x:c>
      <x:c r="K123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23" s="13" t="str">
        <x:v>☐ Не начато</x:v>
      </x:c>
      <x:c r="M123" s="13" t="str">
        <x:v>Обязательно</x:v>
      </x:c>
      <x:c r="N123" s="13" t="str">
        <x:v>Очень легко</x:v>
      </x:c>
      <x:c r="O123" s="13" t="str">
        <x:v>Не делай press/отжимания и движения, которые раздражают плечо.</x:v>
      </x:c>
      <x:c r="P123" s="13" t="str">
        <x:v>milestone_01_foundation/week_02_2026-09-14/04_THURSDAY.md</x:v>
      </x:c>
      <x:c r="Q123" s="138" t="str">
        <x:v>Markdown</x:v>
      </x:c>
      <x:c r="R123" s="20" t="str"/>
    </x:row>
    <x:row r="124" ht="36" customHeight="1">
      <x:c r="A124" s="19" t="str">
        <x:v>W02-20260917-0123</x:v>
      </x:c>
      <x:c r="B124" s="13" t="n">
        <x:v>2</x:v>
      </x:c>
      <x:c r="C124" s="13" t="str">
        <x:v>Этап 1 — База, разминка и исходная точка</x:v>
      </x:c>
      <x:c r="D124" s="138" t="str">
        <x:v>2026-09-17</x:v>
      </x:c>
      <x:c r="E124" s="13" t="str">
        <x:v>Четверг</x:v>
      </x:c>
      <x:c r="F124" s="13" t="str">
        <x:v>Тренировка B — пальцы/проект</x:v>
      </x:c>
      <x:c r="G124" s="44" t="n">
        <x:v>0.009027777777777777</x:v>
      </x:c>
      <x:c r="H124" s="44" t="n">
        <x:v>0.011805555555555555</x:v>
      </x:c>
      <x:c r="I124" s="32" t="n">
        <x:f>ROUND((H124-G124)*1440,0)</x:f>
        <x:v>4</x:v>
      </x:c>
      <x:c r="J124" s="13" t="str">
        <x:v>Разминка пальцев</x:v>
      </x:c>
      <x:c r="K124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24" s="13" t="str">
        <x:v>☐ Не начато</x:v>
      </x:c>
      <x:c r="M124" s="13" t="str">
        <x:v>Обязательно</x:v>
      </x:c>
      <x:c r="N124" s="13" t="str">
        <x:v>Очень легко</x:v>
      </x:c>
      <x:c r="O124" s="13" t="str"/>
      <x:c r="P124" s="13" t="str">
        <x:v>milestone_01_foundation/week_02_2026-09-14/04_THURSDAY.md</x:v>
      </x:c>
      <x:c r="Q124" s="138" t="str">
        <x:v>Markdown</x:v>
      </x:c>
      <x:c r="R124" s="20" t="str"/>
    </x:row>
    <x:row r="125" ht="36" customHeight="1">
      <x:c r="A125" s="19" t="str">
        <x:v>W02-20260917-0124</x:v>
      </x:c>
      <x:c r="B125" s="13" t="n">
        <x:v>2</x:v>
      </x:c>
      <x:c r="C125" s="13" t="str">
        <x:v>Этап 1 — База, разминка и исходная точка</x:v>
      </x:c>
      <x:c r="D125" s="138" t="str">
        <x:v>2026-09-17</x:v>
      </x:c>
      <x:c r="E125" s="13" t="str">
        <x:v>Четверг</x:v>
      </x:c>
      <x:c r="F125" s="13" t="str">
        <x:v>Тренировка B — пальцы/проект</x:v>
      </x:c>
      <x:c r="G125" s="44" t="n">
        <x:v>0.011805555555555555</x:v>
      </x:c>
      <x:c r="H125" s="44" t="n">
        <x:v>0.014583333333333334</x:v>
      </x:c>
      <x:c r="I125" s="32" t="n">
        <x:f>ROUND((H125-G125)*1440,0)</x:f>
        <x:v>4</x:v>
      </x:c>
      <x:c r="J125" s="13" t="str">
        <x:v>Разминочное лазание</x:v>
      </x:c>
      <x:c r="K125" s="13" t="str">
        <x:v>Пройди 2 очень лёгкие трассы уровня 1–2; двигайся медленно, спускайся по зацепам.</x:v>
      </x:c>
      <x:c r="L125" s="13" t="str">
        <x:v>☐ Не начато</x:v>
      </x:c>
      <x:c r="M125" s="13" t="str">
        <x:v>Обязательно</x:v>
      </x:c>
      <x:c r="N125" s="13" t="str">
        <x:v>RPE 2–3</x:v>
      </x:c>
      <x:c r="O125" s="13" t="str">
        <x:v>Финиш с обязательным болезненным mantle/press пропусти.</x:v>
      </x:c>
      <x:c r="P125" s="13" t="str">
        <x:v>milestone_01_foundation/week_02_2026-09-14/04_THURSDAY.md</x:v>
      </x:c>
      <x:c r="Q125" s="138" t="str">
        <x:v>Markdown</x:v>
      </x:c>
      <x:c r="R125" s="20" t="str"/>
    </x:row>
    <x:row r="126" ht="36" customHeight="1">
      <x:c r="A126" s="19" t="str">
        <x:v>W02-20260917-0125</x:v>
      </x:c>
      <x:c r="B126" s="13" t="n">
        <x:v>2</x:v>
      </x:c>
      <x:c r="C126" s="13" t="str">
        <x:v>Этап 1 — База, разминка и исходная точка</x:v>
      </x:c>
      <x:c r="D126" s="138" t="str">
        <x:v>2026-09-17</x:v>
      </x:c>
      <x:c r="E126" s="13" t="str">
        <x:v>Четверг</x:v>
      </x:c>
      <x:c r="F126" s="13" t="str">
        <x:v>Тренировка B — пальцы/проект</x:v>
      </x:c>
      <x:c r="G126" s="44" t="n">
        <x:v>0.014583333333333334</x:v>
      </x:c>
      <x:c r="H126" s="44" t="n">
        <x:v>0.017361111111111112</x:v>
      </x:c>
      <x:c r="I126" s="32" t="n">
        <x:f>ROUND((H126-G126)*1440,0)</x:f>
        <x:v>4</x:v>
      </x:c>
      <x:c r="J126" s="13" t="str">
        <x:v>Разминочное лазание</x:v>
      </x:c>
      <x:c r="K126" s="13" t="str">
        <x:v>Пройди 2 трассы уровня 2–3, затем сделай 2–3 движения на комфортной четвёрке. Между ними 45–60 секунд.</x:v>
      </x:c>
      <x:c r="L126" s="13" t="str">
        <x:v>☐ Не начато</x:v>
      </x:c>
      <x:c r="M126" s="13" t="str">
        <x:v>Обязательно</x:v>
      </x:c>
      <x:c r="N126" s="13" t="str">
        <x:v>RPE 3–4</x:v>
      </x:c>
      <x:c r="O126" s="13" t="str">
        <x:v>Разминка не должна утомить пальцы.</x:v>
      </x:c>
      <x:c r="P126" s="13" t="str">
        <x:v>milestone_01_foundation/week_02_2026-09-14/04_THURSDAY.md</x:v>
      </x:c>
      <x:c r="Q126" s="138" t="str">
        <x:v>Markdown</x:v>
      </x:c>
      <x:c r="R126" s="20" t="str"/>
    </x:row>
    <x:row r="127" ht="36" customHeight="1">
      <x:c r="A127" s="19" t="str">
        <x:v>W02-20260917-0126</x:v>
      </x:c>
      <x:c r="B127" s="13" t="n">
        <x:v>2</x:v>
      </x:c>
      <x:c r="C127" s="13" t="str">
        <x:v>Этап 1 — База, разминка и исходная точка</x:v>
      </x:c>
      <x:c r="D127" s="138" t="str">
        <x:v>2026-09-17</x:v>
      </x:c>
      <x:c r="E127" s="13" t="str">
        <x:v>Четверг</x:v>
      </x:c>
      <x:c r="F127" s="13" t="str">
        <x:v>Тренировка B — пальцы/проект</x:v>
      </x:c>
      <x:c r="G127" s="44" t="n">
        <x:v>0.017361111111111112</x:v>
      </x:c>
      <x:c r="H127" s="44" t="n">
        <x:v>0.02013888888888889</x:v>
      </x:c>
      <x:c r="I127" s="32" t="n">
        <x:f>ROUND((H127-G127)*1440,0)</x:f>
        <x:v>4</x:v>
      </x:c>
      <x:c r="J127" s="13" t="str">
        <x:v>Техника</x:v>
      </x:c>
      <x:c r="K127" s="13" t="str">
        <x:v>Повтори cue недели на одной лёгкой трассе 2–3: «Сначала поставь таз над ногой, затем вставай ногой; рука лишь связывает тебя со стеной.».</x:v>
      </x:c>
      <x:c r="L127" s="13" t="str">
        <x:v>☐ Не начато</x:v>
      </x:c>
      <x:c r="M127" s="13" t="str">
        <x:v>Обязательно</x:v>
      </x:c>
      <x:c r="N127" s="13" t="str">
        <x:v>RPE 3–4</x:v>
      </x:c>
      <x:c r="O127" s="13" t="str">
        <x:v>Не зависай на одной согнутой руке. Любая боль в плече при lock-off — сразу менять бету или трассу.</x:v>
      </x:c>
      <x:c r="P127" s="13" t="str">
        <x:v>milestone_01_foundation/week_02_2026-09-14/04_THURSDAY.md</x:v>
      </x:c>
      <x:c r="Q127" s="138" t="str">
        <x:v>Markdown</x:v>
      </x:c>
      <x:c r="R127" s="20" t="str"/>
    </x:row>
    <x:row r="128" ht="36" customHeight="1">
      <x:c r="A128" s="19" t="str">
        <x:v>W02-20260917-0127</x:v>
      </x:c>
      <x:c r="B128" s="13" t="n">
        <x:v>2</x:v>
      </x:c>
      <x:c r="C128" s="13" t="str">
        <x:v>Этап 1 — База, разминка и исходная точка</x:v>
      </x:c>
      <x:c r="D128" s="138" t="str">
        <x:v>2026-09-17</x:v>
      </x:c>
      <x:c r="E128" s="13" t="str">
        <x:v>Четверг</x:v>
      </x:c>
      <x:c r="F128" s="13" t="str">
        <x:v>Тренировка B — пальцы/проект</x:v>
      </x:c>
      <x:c r="G128" s="44" t="n">
        <x:v>0.02013888888888889</x:v>
      </x:c>
      <x:c r="H128" s="44" t="n">
        <x:v>0.025</x:v>
      </x:c>
      <x:c r="I128" s="32" t="n">
        <x:f>ROUND((H128-G128)*1440,0)</x:f>
        <x:v>7</x:v>
      </x:c>
      <x:c r="J128" s="13" t="str">
        <x:v>Подготовка проекта</x:v>
      </x:c>
      <x:c r="K128" s="13" t="str">
        <x:v>Выбери основной проект, очисти нужные зацепы, прочитай трассу 90 секунд и запиши предполагаемый crux.</x:v>
      </x:c>
      <x:c r="L128" s="13" t="str">
        <x:v>☐ Не начато</x:v>
      </x:c>
      <x:c r="M128" s="13" t="str">
        <x:v>Обязательно</x:v>
      </x:c>
      <x:c r="N128" s="13" t="str">
        <x:v>Без нагрузки</x:v>
      </x:c>
      <x:c r="O128" s="13" t="str"/>
      <x:c r="P128" s="13" t="str">
        <x:v>milestone_01_foundation/week_02_2026-09-14/04_THURSDAY.md</x:v>
      </x:c>
      <x:c r="Q128" s="138" t="str">
        <x:v>Markdown</x:v>
      </x:c>
      <x:c r="R128" s="20" t="str"/>
    </x:row>
    <x:row r="129" ht="36" customHeight="1">
      <x:c r="A129" s="19" t="str">
        <x:v>W02-20260917-0128</x:v>
      </x:c>
      <x:c r="B129" s="13" t="n">
        <x:v>2</x:v>
      </x:c>
      <x:c r="C129" s="13" t="str">
        <x:v>Этап 1 — База, разминка и исходная точка</x:v>
      </x:c>
      <x:c r="D129" s="138" t="str">
        <x:v>2026-09-17</x:v>
      </x:c>
      <x:c r="E129" s="13" t="str">
        <x:v>Четверг</x:v>
      </x:c>
      <x:c r="F129" s="13" t="str">
        <x:v>Тренировка B — пальцы/проект</x:v>
      </x:c>
      <x:c r="G129" s="44" t="n">
        <x:v>0.025</x:v>
      </x:c>
      <x:c r="H129" s="44" t="n">
        <x:v>0.02847222222222222</x:v>
      </x:c>
      <x:c r="I129" s="32" t="n">
        <x:f>ROUND((H129-G129)*1440,0)</x:f>
        <x:v>5</x:v>
      </x:c>
      <x:c r="J129" s="13" t="str">
        <x:v>Отдых</x:v>
      </x:c>
      <x:c r="K129" s="13" t="str">
        <x:v>Полный отдых перед проектом: походи, не висни на зацепах.</x:v>
      </x:c>
      <x:c r="L129" s="13" t="str">
        <x:v>☐ Не начато</x:v>
      </x:c>
      <x:c r="M129" s="13" t="str">
        <x:v>Обязательно</x:v>
      </x:c>
      <x:c r="N129" s="13" t="str">
        <x:v>Восстановление</x:v>
      </x:c>
      <x:c r="O129" s="13" t="str"/>
      <x:c r="P129" s="13" t="str">
        <x:v>milestone_01_foundation/week_02_2026-09-14/04_THURSDAY.md</x:v>
      </x:c>
      <x:c r="Q129" s="138" t="str">
        <x:v>Markdown</x:v>
      </x:c>
      <x:c r="R129" s="20" t="str"/>
    </x:row>
    <x:row r="130" ht="36" customHeight="1">
      <x:c r="A130" s="19" t="str">
        <x:v>W02-20260917-0129</x:v>
      </x:c>
      <x:c r="B130" s="13" t="n">
        <x:v>2</x:v>
      </x:c>
      <x:c r="C130" s="13" t="str">
        <x:v>Этап 1 — База, разминка и исходная точка</x:v>
      </x:c>
      <x:c r="D130" s="138" t="str">
        <x:v>2026-09-17</x:v>
      </x:c>
      <x:c r="E130" s="13" t="str">
        <x:v>Четверг</x:v>
      </x:c>
      <x:c r="F130" s="13" t="str">
        <x:v>Тренировка B — пальцы/проект</x:v>
      </x:c>
      <x:c r="G130" s="44" t="n">
        <x:v>0.02847222222222222</x:v>
      </x:c>
      <x:c r="H130" s="44" t="n">
        <x:v>0.03125</x:v>
      </x:c>
      <x:c r="I130" s="32" t="n">
        <x:f>ROUND((H130-G130)*1440,0)</x:f>
        <x:v>4</x:v>
      </x:c>
      <x:c r="J130" s="13" t="str">
        <x:v>Выбор проекта</x:v>
      </x:c>
      <x:c r="K130" s="13" t="str">
        <x:v>Выбери трассу по критериям недели: 1 пятёрка, где обычно подтягиваешься; ищи вариант с более прямой опорной рукой. 1 вторичная пятёрка на другом угле.</x:v>
      </x:c>
      <x:c r="L130" s="13" t="str">
        <x:v>☐ Не начато</x:v>
      </x:c>
      <x:c r="M130" s="13" t="str">
        <x:v>Обязательно</x:v>
      </x:c>
      <x:c r="N130" s="13" t="str">
        <x:v>Без нагрузки</x:v>
      </x:c>
      <x:c r="O130" s="13" t="str">
        <x:v>Не зависай на одной согнутой руке. Любая боль в плече при lock-off — сразу менять бету или трассу.</x:v>
      </x:c>
      <x:c r="P130" s="13" t="str">
        <x:v>milestone_01_foundation/week_02_2026-09-14/04_THURSDAY.md</x:v>
      </x:c>
      <x:c r="Q130" s="138" t="str">
        <x:v>Markdown</x:v>
      </x:c>
      <x:c r="R130" s="20" t="str"/>
    </x:row>
    <x:row r="131" ht="36" customHeight="1">
      <x:c r="A131" s="19" t="str">
        <x:v>W02-20260917-0130</x:v>
      </x:c>
      <x:c r="B131" s="13" t="n">
        <x:v>2</x:v>
      </x:c>
      <x:c r="C131" s="13" t="str">
        <x:v>Этап 1 — База, разминка и исходная точка</x:v>
      </x:c>
      <x:c r="D131" s="138" t="str">
        <x:v>2026-09-17</x:v>
      </x:c>
      <x:c r="E131" s="13" t="str">
        <x:v>Четверг</x:v>
      </x:c>
      <x:c r="F131" s="13" t="str">
        <x:v>Тренировка B — пальцы/проект</x:v>
      </x:c>
      <x:c r="G131" s="44" t="n">
        <x:v>0.03125</x:v>
      </x:c>
      <x:c r="H131" s="44" t="n">
        <x:v>0.034722222222222224</x:v>
      </x:c>
      <x:c r="I131" s="32" t="n">
        <x:f>ROUND((H131-G131)*1440,0)</x:f>
        <x:v>5</x:v>
      </x:c>
      <x:c r="J131" s="13" t="str">
        <x:v>Проект — попытка 1</x:v>
      </x:c>
      <x:c r="K131" s="13" t="str">
        <x:v>Сделай первую полную диагностическую попытку. После падения не повторяй сразу: назови точную причину.</x:v>
      </x:c>
      <x:c r="L131" s="13" t="str">
        <x:v>☐ Не начато</x:v>
      </x:c>
      <x:c r="M131" s="13" t="str">
        <x:v>Обязательно</x:v>
      </x:c>
      <x:c r="N131" s="13" t="str">
        <x:v>RPE 7–8</x:v>
      </x:c>
      <x:c r="O131" s="13" t="str">
        <x:v>Прекратить движение при боли, а не после падения.</x:v>
      </x:c>
      <x:c r="P131" s="13" t="str">
        <x:v>milestone_01_foundation/week_02_2026-09-14/04_THURSDAY.md</x:v>
      </x:c>
      <x:c r="Q131" s="138" t="str">
        <x:v>Markdown</x:v>
      </x:c>
      <x:c r="R131" s="20" t="str"/>
    </x:row>
    <x:row r="132" ht="36" customHeight="1">
      <x:c r="A132" s="19" t="str">
        <x:v>W02-20260917-0131</x:v>
      </x:c>
      <x:c r="B132" s="13" t="n">
        <x:v>2</x:v>
      </x:c>
      <x:c r="C132" s="13" t="str">
        <x:v>Этап 1 — База, разминка и исходная точка</x:v>
      </x:c>
      <x:c r="D132" s="138" t="str">
        <x:v>2026-09-17</x:v>
      </x:c>
      <x:c r="E132" s="13" t="str">
        <x:v>Четверг</x:v>
      </x:c>
      <x:c r="F132" s="13" t="str">
        <x:v>Тренировка B — пальцы/проект</x:v>
      </x:c>
      <x:c r="G132" s="44" t="n">
        <x:v>0.034722222222222224</x:v>
      </x:c>
      <x:c r="H132" s="44" t="n">
        <x:v>0.03819444444444445</x:v>
      </x:c>
      <x:c r="I132" s="32" t="n">
        <x:f>ROUND((H132-G132)*1440,0)</x:f>
        <x:v>5</x:v>
      </x:c>
      <x:c r="J132" s="13" t="str">
        <x:v>Отдых / гипотеза</x:v>
      </x:c>
      <x:c r="K132" s="13" t="str">
        <x:v>Отдых 4–5 минут. Запиши одну гипотезу: стопа, положение таза, хват или темп.</x:v>
      </x:c>
      <x:c r="L132" s="13" t="str">
        <x:v>☐ Не начато</x:v>
      </x:c>
      <x:c r="M132" s="13" t="str">
        <x:v>Обязательно</x:v>
      </x:c>
      <x:c r="N132" s="13" t="str">
        <x:v>Восстановление</x:v>
      </x:c>
      <x:c r="O132" s="13" t="str"/>
      <x:c r="P132" s="13" t="str">
        <x:v>milestone_01_foundation/week_02_2026-09-14/04_THURSDAY.md</x:v>
      </x:c>
      <x:c r="Q132" s="138" t="str">
        <x:v>Markdown</x:v>
      </x:c>
      <x:c r="R132" s="20" t="str"/>
    </x:row>
    <x:row r="133" ht="36" customHeight="1">
      <x:c r="A133" s="19" t="str">
        <x:v>W02-20260917-0132</x:v>
      </x:c>
      <x:c r="B133" s="13" t="n">
        <x:v>2</x:v>
      </x:c>
      <x:c r="C133" s="13" t="str">
        <x:v>Этап 1 — База, разминка и исходная точка</x:v>
      </x:c>
      <x:c r="D133" s="138" t="str">
        <x:v>2026-09-17</x:v>
      </x:c>
      <x:c r="E133" s="13" t="str">
        <x:v>Четверг</x:v>
      </x:c>
      <x:c r="F133" s="13" t="str">
        <x:v>Тренировка B — пальцы/проект</x:v>
      </x:c>
      <x:c r="G133" s="44" t="n">
        <x:v>0.03819444444444445</x:v>
      </x:c>
      <x:c r="H133" s="44" t="n">
        <x:v>0.04236111111111111</x:v>
      </x:c>
      <x:c r="I133" s="32" t="n">
        <x:f>ROUND((H133-G133)*1440,0)</x:f>
        <x:v>6</x:v>
      </x:c>
      <x:c r="J133" s="13" t="str">
        <x:v>Проект — попытки 2–3</x:v>
      </x:c>
      <x:c r="K133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33" s="13" t="str">
        <x:v>☐ Не начато</x:v>
      </x:c>
      <x:c r="M133" s="13" t="str">
        <x:v>Обязательно</x:v>
      </x:c>
      <x:c r="N133" s="13" t="str">
        <x:v>RPE 7–8, без отказа</x:v>
      </x:c>
      <x:c r="O133" s="13" t="str">
        <x:v>Не смотреть beta заранее: сначала собственная гипотеза.</x:v>
      </x:c>
      <x:c r="P133" s="13" t="str">
        <x:v>milestone_01_foundation/week_02_2026-09-14/04_THURSDAY.md</x:v>
      </x:c>
      <x:c r="Q133" s="138" t="str">
        <x:v>Markdown</x:v>
      </x:c>
      <x:c r="R133" s="20" t="str"/>
    </x:row>
    <x:row r="134" ht="36" customHeight="1">
      <x:c r="A134" s="19" t="str">
        <x:v>W02-20260917-0133</x:v>
      </x:c>
      <x:c r="B134" s="13" t="n">
        <x:v>2</x:v>
      </x:c>
      <x:c r="C134" s="13" t="str">
        <x:v>Этап 1 — База, разминка и исходная точка</x:v>
      </x:c>
      <x:c r="D134" s="138" t="str">
        <x:v>2026-09-17</x:v>
      </x:c>
      <x:c r="E134" s="13" t="str">
        <x:v>Четверг</x:v>
      </x:c>
      <x:c r="F134" s="13" t="str">
        <x:v>Тренировка B — пальцы/проект</x:v>
      </x:c>
      <x:c r="G134" s="44" t="n">
        <x:v>0.04236111111111111</x:v>
      </x:c>
      <x:c r="H134" s="44" t="n">
        <x:v>0.05277777777777778</x:v>
      </x:c>
      <x:c r="I134" s="32" t="n">
        <x:f>ROUND((H134-G134)*1440,0)</x:f>
        <x:v>15</x:v>
      </x:c>
      <x:c r="J134" s="13" t="str">
        <x:v>Проект — заключительная попытка</x:v>
      </x:c>
      <x:c r="K134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34" s="13" t="str">
        <x:v>☐ Не начато</x:v>
      </x:c>
      <x:c r="M134" s="13" t="str">
        <x:v>Обязательно</x:v>
      </x:c>
      <x:c r="N134" s="13" t="str">
        <x:v>RPE 8, с запасом</x:v>
      </x:c>
      <x:c r="O134" s="13" t="str">
        <x:v>Не зависай на одной согнутой руке. Любая боль в плече при lock-off — сразу менять бету или трассу.</x:v>
      </x:c>
      <x:c r="P134" s="13" t="str">
        <x:v>milestone_01_foundation/week_02_2026-09-14/04_THURSDAY.md</x:v>
      </x:c>
      <x:c r="Q134" s="138" t="str">
        <x:v>Markdown</x:v>
      </x:c>
      <x:c r="R134" s="20" t="str"/>
    </x:row>
    <x:row r="135" ht="36" customHeight="1">
      <x:c r="A135" s="19" t="str">
        <x:v>W02-20260917-0134</x:v>
      </x:c>
      <x:c r="B135" s="13" t="n">
        <x:v>2</x:v>
      </x:c>
      <x:c r="C135" s="13" t="str">
        <x:v>Этап 1 — База, разминка и исходная точка</x:v>
      </x:c>
      <x:c r="D135" s="138" t="str">
        <x:v>2026-09-17</x:v>
      </x:c>
      <x:c r="E135" s="13" t="str">
        <x:v>Четверг</x:v>
      </x:c>
      <x:c r="F135" s="13" t="str">
        <x:v>Тренировка B — пальцы/проект</x:v>
      </x:c>
      <x:c r="G135" s="44" t="n">
        <x:v>0.05277777777777778</x:v>
      </x:c>
      <x:c r="H135" s="44" t="n">
        <x:v>0.05763888888888889</x:v>
      </x:c>
      <x:c r="I135" s="32" t="n">
        <x:f>ROUND((H135-G135)*1440,0)</x:f>
        <x:v>7</x:v>
      </x:c>
      <x:c r="J135" s="13" t="str">
        <x:v>Вторичная трасса</x:v>
      </x:c>
      <x:c r="K135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35" s="13" t="str">
        <x:v>☐ Не начато</x:v>
      </x:c>
      <x:c r="M135" s="13" t="str">
        <x:v>Обязательно</x:v>
      </x:c>
      <x:c r="N135" s="13" t="str">
        <x:v>RPE 5–7</x:v>
      </x:c>
      <x:c r="O135" s="13" t="str">
        <x:v>Пропустить, если хват уже просел.</x:v>
      </x:c>
      <x:c r="P135" s="13" t="str">
        <x:v>milestone_01_foundation/week_02_2026-09-14/04_THURSDAY.md</x:v>
      </x:c>
      <x:c r="Q135" s="138" t="str">
        <x:v>Markdown</x:v>
      </x:c>
      <x:c r="R135" s="20" t="str"/>
    </x:row>
    <x:row r="136" ht="36" customHeight="1">
      <x:c r="A136" s="19" t="str">
        <x:v>W02-20260917-0135</x:v>
      </x:c>
      <x:c r="B136" s="13" t="n">
        <x:v>2</x:v>
      </x:c>
      <x:c r="C136" s="13" t="str">
        <x:v>Этап 1 — База, разминка и исходная точка</x:v>
      </x:c>
      <x:c r="D136" s="138" t="str">
        <x:v>2026-09-17</x:v>
      </x:c>
      <x:c r="E136" s="13" t="str">
        <x:v>Четверг</x:v>
      </x:c>
      <x:c r="F136" s="13" t="str">
        <x:v>Тренировка B — пальцы/проект</x:v>
      </x:c>
      <x:c r="G136" s="44" t="n">
        <x:v>0.05763888888888889</x:v>
      </x:c>
      <x:c r="H136" s="44" t="n">
        <x:v>0.06041666666666667</x:v>
      </x:c>
      <x:c r="I136" s="32" t="n">
        <x:f>ROUND((H136-G136)*1440,0)</x:f>
        <x:v>4</x:v>
      </x:c>
      <x:c r="J136" s="13" t="str">
        <x:v>Завершение</x:v>
      </x:c>
      <x:c r="K136" s="13" t="str">
        <x:v>Очень лёгкий спуск/ходьба, вода, никаких финишных висов.</x:v>
      </x:c>
      <x:c r="L136" s="13" t="str">
        <x:v>☐ Не начато</x:v>
      </x:c>
      <x:c r="M136" s="13" t="str">
        <x:v>Обязательно</x:v>
      </x:c>
      <x:c r="N136" s="13" t="str">
        <x:v>RPE 1–2</x:v>
      </x:c>
      <x:c r="O136" s="13" t="str"/>
      <x:c r="P136" s="13" t="str">
        <x:v>milestone_01_foundation/week_02_2026-09-14/04_THURSDAY.md</x:v>
      </x:c>
      <x:c r="Q136" s="138" t="str">
        <x:v>Markdown</x:v>
      </x:c>
      <x:c r="R136" s="20" t="str"/>
    </x:row>
    <x:row r="137" ht="36" customHeight="1">
      <x:c r="A137" s="19" t="str">
        <x:v>W02-20260917-0136</x:v>
      </x:c>
      <x:c r="B137" s="13" t="n">
        <x:v>2</x:v>
      </x:c>
      <x:c r="C137" s="13" t="str">
        <x:v>Этап 1 — База, разминка и исходная точка</x:v>
      </x:c>
      <x:c r="D137" s="138" t="str">
        <x:v>2026-09-17</x:v>
      </x:c>
      <x:c r="E137" s="13" t="str">
        <x:v>Четверг</x:v>
      </x:c>
      <x:c r="F137" s="13" t="str">
        <x:v>Тренировка B — пальцы/проект</x:v>
      </x:c>
      <x:c r="G137" s="44" t="n">
        <x:v>0.06041666666666667</x:v>
      </x:c>
      <x:c r="H137" s="44" t="n">
        <x:v>0.0625</x:v>
      </x:c>
      <x:c r="I137" s="32" t="n">
        <x:f>ROUND((H137-G137)*1440,0)</x:f>
        <x:v>3</x:v>
      </x:c>
      <x:c r="J137" s="13" t="str">
        <x:v>Журнал</x:v>
      </x:c>
      <x:c r="K137" s="13" t="str">
        <x:v>Запиши попытки, лучшую связку, одну правку и benchmark: На одном видео посчитать, сколько раз локоть сильно сгибается до начала движения ногами.</x:v>
      </x:c>
      <x:c r="L137" s="13" t="str">
        <x:v>☐ Не начато</x:v>
      </x:c>
      <x:c r="M137" s="13" t="str">
        <x:v>Обязательно</x:v>
      </x:c>
      <x:c r="N137" s="13" t="str">
        <x:v>Без нагрузки</x:v>
      </x:c>
      <x:c r="O137" s="13" t="str"/>
      <x:c r="P137" s="13" t="str">
        <x:v>milestone_01_foundation/week_02_2026-09-14/04_THURSDAY.md</x:v>
      </x:c>
      <x:c r="Q137" s="138" t="str">
        <x:v>Markdown</x:v>
      </x:c>
      <x:c r="R137" s="20" t="str"/>
    </x:row>
    <x:row r="138" ht="36" customHeight="1">
      <x:c r="A138" s="19" t="str">
        <x:v>W02-20260918-0137</x:v>
      </x:c>
      <x:c r="B138" s="13" t="n">
        <x:v>2</x:v>
      </x:c>
      <x:c r="C138" s="13" t="str">
        <x:v>Этап 1 — База, разминка и исходная точка</x:v>
      </x:c>
      <x:c r="D138" s="138" t="str">
        <x:v>2026-09-18</x:v>
      </x:c>
      <x:c r="E138" s="13" t="str">
        <x:v>Пятница</x:v>
      </x:c>
      <x:c r="F138" s="13" t="str">
        <x:v>Дом / теория</x:v>
      </x:c>
      <x:c r="G138" s="44" t="n">
        <x:v>0</x:v>
      </x:c>
      <x:c r="H138" s="44" t="n">
        <x:v>0.0020833333333333333</x:v>
      </x:c>
      <x:c r="I138" s="32" t="n">
        <x:f>ROUND((H138-G138)*1440,0)</x:f>
        <x:v>3</x:v>
      </x:c>
      <x:c r="J138" s="13" t="str">
        <x:v>Самопроверка</x:v>
      </x:c>
      <x:c r="K138" s="13" t="str">
        <x:v>Оцени утреннюю реакцию после четверга: пальцы/плечо/колено 0–10. Запиши, восстановилась ли обычная сила кисти.</x:v>
      </x:c>
      <x:c r="L138" s="13" t="str">
        <x:v>☐ Не начато</x:v>
      </x:c>
      <x:c r="M138" s="13" t="str">
        <x:v>Обязательно</x:v>
      </x:c>
      <x:c r="N138" s="13" t="str">
        <x:v>Без нагрузки</x:v>
      </x:c>
      <x:c r="O138" s="13" t="str">
        <x:v>Острая локальная боль пальца или усилившаяся боль плеча = воскресенье только восстановительное.</x:v>
      </x:c>
      <x:c r="P138" s="13" t="str">
        <x:v>milestone_01_foundation/week_02_2026-09-14/05_FRIDAY.md</x:v>
      </x:c>
      <x:c r="Q138" s="138" t="str">
        <x:v>Markdown</x:v>
      </x:c>
      <x:c r="R138" s="20" t="str"/>
    </x:row>
    <x:row r="139" ht="36" customHeight="1">
      <x:c r="A139" s="19" t="str">
        <x:v>W02-20260918-0138</x:v>
      </x:c>
      <x:c r="B139" s="13" t="n">
        <x:v>2</x:v>
      </x:c>
      <x:c r="C139" s="13" t="str">
        <x:v>Этап 1 — База, разминка и исходная точка</x:v>
      </x:c>
      <x:c r="D139" s="138" t="str">
        <x:v>2026-09-18</x:v>
      </x:c>
      <x:c r="E139" s="13" t="str">
        <x:v>Пятница</x:v>
      </x:c>
      <x:c r="F139" s="13" t="str">
        <x:v>Дом / теория</x:v>
      </x:c>
      <x:c r="G139" s="44" t="n">
        <x:v>0.0020833333333333333</x:v>
      </x:c>
      <x:c r="H139" s="44" t="n">
        <x:v>0.0125</x:v>
      </x:c>
      <x:c r="I139" s="32" t="n">
        <x:f>ROUND((H139-G139)*1440,0)</x:f>
        <x:v>15</x:v>
      </x:c>
      <x:c r="J139" s="13" t="str">
        <x:v>Теория</x:v>
      </x:c>
      <x:c r="K139" s="13" t="str">
        <x:v>Пересмотри ключевой фрагмент ресурса недели: [R25: Bouldering for Beginners — Part 1](https://www.youtube.com/watch?v=qpowFkwaS9A). Задача: Общий обзор базовой техники и экономии сил.</x:v>
      </x:c>
      <x:c r="L139" s="13" t="str">
        <x:v>☐ Не начато</x:v>
      </x:c>
      <x:c r="M139" s="13" t="str">
        <x:v>Обязательно</x:v>
      </x:c>
      <x:c r="N139" s="13" t="str">
        <x:v>Без нагрузки</x:v>
      </x:c>
      <x:c r="O139" s="13" t="str"/>
      <x:c r="P139" s="13" t="str">
        <x:v>milestone_01_foundation/week_02_2026-09-14/05_FRIDAY.md</x:v>
      </x:c>
      <x:c r="Q139" s="138" t="str">
        <x:v>Markdown</x:v>
      </x:c>
      <x:c r="R139" s="20" t="str"/>
    </x:row>
    <x:row r="140" ht="36" customHeight="1">
      <x:c r="A140" s="19" t="str">
        <x:v>W02-20260918-0139</x:v>
      </x:c>
      <x:c r="B140" s="13" t="n">
        <x:v>2</x:v>
      </x:c>
      <x:c r="C140" s="13" t="str">
        <x:v>Этап 1 — База, разминка и исходная точка</x:v>
      </x:c>
      <x:c r="D140" s="138" t="str">
        <x:v>2026-09-18</x:v>
      </x:c>
      <x:c r="E140" s="13" t="str">
        <x:v>Пятница</x:v>
      </x:c>
      <x:c r="F140" s="13" t="str">
        <x:v>Дом / теория</x:v>
      </x:c>
      <x:c r="G140" s="44" t="n">
        <x:v>0.0125</x:v>
      </x:c>
      <x:c r="H140" s="44" t="n">
        <x:v>0.016666666666666666</x:v>
      </x:c>
      <x:c r="I140" s="32" t="n">
        <x:f>ROUND((H140-G140)*1440,0)</x:f>
        <x:v>6</x:v>
      </x:c>
      <x:c r="J140" s="13" t="str">
        <x:v>Ментальная репетиция</x:v>
      </x:c>
      <x:c r="K140" s="13" t="str">
        <x:v>Закрой глаза и 3 раза мысленно пройди одну рабочую трассу: руки → ноги → положение таза → дыхание. Визуализируй cue «Сначала поставь таз над ногой, затем вставай ногой; рука лишь связывает тебя со стеной.».</x:v>
      </x:c>
      <x:c r="L140" s="13" t="str">
        <x:v>☐ Не начато</x:v>
      </x:c>
      <x:c r="M140" s="13" t="str">
        <x:v>Обязательно</x:v>
      </x:c>
      <x:c r="N140" s="13" t="str">
        <x:v>Без нагрузки</x:v>
      </x:c>
      <x:c r="O140" s="13" t="str"/>
      <x:c r="P140" s="13" t="str">
        <x:v>milestone_01_foundation/week_02_2026-09-14/05_FRIDAY.md</x:v>
      </x:c>
      <x:c r="Q140" s="138" t="str">
        <x:v>Markdown</x:v>
      </x:c>
      <x:c r="R140" s="20" t="str"/>
    </x:row>
    <x:row r="141" ht="36" customHeight="1">
      <x:c r="A141" s="19" t="str">
        <x:v>W02-20260918-0140</x:v>
      </x:c>
      <x:c r="B141" s="13" t="n">
        <x:v>2</x:v>
      </x:c>
      <x:c r="C141" s="13" t="str">
        <x:v>Этап 1 — База, разминка и исходная точка</x:v>
      </x:c>
      <x:c r="D141" s="138" t="str">
        <x:v>2026-09-18</x:v>
      </x:c>
      <x:c r="E141" s="13" t="str">
        <x:v>Пятница</x:v>
      </x:c>
      <x:c r="F141" s="13" t="str">
        <x:v>Дом / теория</x:v>
      </x:c>
      <x:c r="G141" s="44" t="n">
        <x:v>0.016666666666666666</x:v>
      </x:c>
      <x:c r="H141" s="44" t="n">
        <x:v>0.025</x:v>
      </x:c>
      <x:c r="I141" s="32" t="n">
        <x:f>ROUND((H141-G141)*1440,0)</x:f>
        <x:v>12</x:v>
      </x:c>
      <x:c r="J141" s="13" t="str">
        <x:v>Домашняя мобильность</x:v>
      </x:c>
      <x:c r="K141" s="13" t="str">
        <x:v>Выполни H3 «Мобильность таза и контроль корпуса» — 12 минут.</x:v>
      </x:c>
      <x:c r="L141" s="13" t="str">
        <x:v>☐ Не начато</x:v>
      </x:c>
      <x:c r="M141" s="13" t="str">
        <x:v>Обязательно</x:v>
      </x:c>
      <x:c r="N141" s="13" t="str">
        <x:v>RPE 2–3</x:v>
      </x:c>
      <x:c r="O141" s="13" t="str">
        <x:v>Никаких скручиваний через боль. Плечом не отталкивайся от стены; касание только для равновесия.</x:v>
      </x:c>
      <x:c r="P141" s="13" t="str">
        <x:v>milestone_01_foundation/week_02_2026-09-14/05_FRIDAY.md</x:v>
      </x:c>
      <x:c r="Q141" s="138" t="str">
        <x:v>Markdown</x:v>
      </x:c>
      <x:c r="R141" s="20" t="str"/>
    </x:row>
    <x:row r="142" ht="36" customHeight="1">
      <x:c r="A142" s="19" t="str">
        <x:v>W02-20260918-0141</x:v>
      </x:c>
      <x:c r="B142" s="13" t="n">
        <x:v>2</x:v>
      </x:c>
      <x:c r="C142" s="13" t="str">
        <x:v>Этап 1 — База, разминка и исходная точка</x:v>
      </x:c>
      <x:c r="D142" s="138" t="str">
        <x:v>2026-09-18</x:v>
      </x:c>
      <x:c r="E142" s="13" t="str">
        <x:v>Пятница</x:v>
      </x:c>
      <x:c r="F142" s="13" t="str">
        <x:v>Дом / теория</x:v>
      </x:c>
      <x:c r="G142" s="44" t="n">
        <x:v>0.025</x:v>
      </x:c>
      <x:c r="H142" s="44" t="n">
        <x:v>0.03888888888888889</x:v>
      </x:c>
      <x:c r="I142" s="32" t="n">
        <x:f>ROUND((H142-G142)*1440,0)</x:f>
        <x:v>20</x:v>
      </x:c>
      <x:c r="J142" s="13" t="str">
        <x:v>Физиотерапия</x:v>
      </x:c>
      <x:c r="K142" s="13" t="str">
        <x:v>Выполни свой назначенный комплекс, если пятница входит в расписание физиотерапевта.</x:v>
      </x:c>
      <x:c r="L142" s="13" t="str">
        <x:v>☐ Не начато</x:v>
      </x:c>
      <x:c r="M142" s="13" t="str">
        <x:v>По назначению</x:v>
      </x:c>
      <x:c r="N142" s="13" t="str">
        <x:v>По назначению</x:v>
      </x:c>
      <x:c r="O142" s="13" t="str">
        <x:v>Не добавляй упражнения из интернета поверх назначений.</x:v>
      </x:c>
      <x:c r="P142" s="13" t="str">
        <x:v>milestone_01_foundation/week_02_2026-09-14/05_FRIDAY.md</x:v>
      </x:c>
      <x:c r="Q142" s="138" t="str">
        <x:v>Markdown</x:v>
      </x:c>
      <x:c r="R142" s="20" t="str"/>
    </x:row>
    <x:row r="143" ht="36" customHeight="1">
      <x:c r="A143" s="19" t="str">
        <x:v>W02-20260918-0142</x:v>
      </x:c>
      <x:c r="B143" s="13" t="n">
        <x:v>2</x:v>
      </x:c>
      <x:c r="C143" s="13" t="str">
        <x:v>Этап 1 — База, разминка и исходная точка</x:v>
      </x:c>
      <x:c r="D143" s="138" t="str">
        <x:v>2026-09-18</x:v>
      </x:c>
      <x:c r="E143" s="13" t="str">
        <x:v>Пятница</x:v>
      </x:c>
      <x:c r="F143" s="13" t="str">
        <x:v>Дом / теория</x:v>
      </x:c>
      <x:c r="G143" s="44" t="n">
        <x:v>0.03888888888888889</x:v>
      </x:c>
      <x:c r="H143" s="44" t="n">
        <x:v>0.041666666666666664</x:v>
      </x:c>
      <x:c r="I143" s="32" t="n">
        <x:f>ROUND((H143-G143)*1440,0)</x:f>
        <x:v>4</x:v>
      </x:c>
      <x:c r="J143" s="13" t="str">
        <x:v>Журнал</x:v>
      </x:c>
      <x:c r="K143" s="13" t="str">
        <x:v>Запиши одну вещь, которая сработала на этой неделе, и одну, которую повторишь в воскресенье на лёгкой трассе.</x:v>
      </x:c>
      <x:c r="L143" s="13" t="str">
        <x:v>☐ Не начато</x:v>
      </x:c>
      <x:c r="M143" s="13" t="str">
        <x:v>Обязательно</x:v>
      </x:c>
      <x:c r="N143" s="13" t="str">
        <x:v>Без нагрузки</x:v>
      </x:c>
      <x:c r="O143" s="13" t="str"/>
      <x:c r="P143" s="13" t="str">
        <x:v>milestone_01_foundation/week_02_2026-09-14/05_FRIDAY.md</x:v>
      </x:c>
      <x:c r="Q143" s="138" t="str">
        <x:v>Markdown</x:v>
      </x:c>
      <x:c r="R143" s="20" t="str"/>
    </x:row>
    <x:row r="144" ht="36" customHeight="1">
      <x:c r="A144" s="19" t="str">
        <x:v>W02-20260918-0143</x:v>
      </x:c>
      <x:c r="B144" s="13" t="n">
        <x:v>2</x:v>
      </x:c>
      <x:c r="C144" s="13" t="str">
        <x:v>Этап 1 — База, разминка и исходная точка</x:v>
      </x:c>
      <x:c r="D144" s="138" t="str">
        <x:v>2026-09-18</x:v>
      </x:c>
      <x:c r="E144" s="13" t="str">
        <x:v>Пятница</x:v>
      </x:c>
      <x:c r="F144" s="13" t="str">
        <x:v>Дом / теория</x:v>
      </x:c>
      <x:c r="G144" s="44" t="n">
        <x:v>0.041666666666666664</x:v>
      </x:c>
      <x:c r="H144" s="44" t="n">
        <x:v>0.04375</x:v>
      </x:c>
      <x:c r="I144" s="32" t="n">
        <x:f>ROUND((H144-G144)*1440,0)</x:f>
        <x:v>3</x:v>
      </x:c>
      <x:c r="J144" s="13" t="str">
        <x:v>Запрет лишней нагрузки</x:v>
      </x:c>
      <x:c r="K144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44" s="13" t="str">
        <x:v>☐ Не начато</x:v>
      </x:c>
      <x:c r="M144" s="13" t="str">
        <x:v>Обязательно</x:v>
      </x:c>
      <x:c r="N144" s="13" t="str">
        <x:v>Восстановление</x:v>
      </x:c>
      <x:c r="O144" s="13" t="str">
        <x:v>Общая пальцевая нагрузка уже получена в четверг.</x:v>
      </x:c>
      <x:c r="P144" s="13" t="str">
        <x:v>milestone_01_foundation/week_02_2026-09-14/05_FRIDAY.md</x:v>
      </x:c>
      <x:c r="Q144" s="138" t="str">
        <x:v>Markdown</x:v>
      </x:c>
      <x:c r="R144" s="20" t="str"/>
    </x:row>
    <x:row r="145" ht="36" customHeight="1">
      <x:c r="A145" s="19" t="str">
        <x:v>W02-20260919-0144</x:v>
      </x:c>
      <x:c r="B145" s="13" t="n">
        <x:v>2</x:v>
      </x:c>
      <x:c r="C145" s="13" t="str">
        <x:v>Этап 1 — База, разминка и исходная точка</x:v>
      </x:c>
      <x:c r="D145" s="138" t="str">
        <x:v>2026-09-19</x:v>
      </x:c>
      <x:c r="E145" s="13" t="str">
        <x:v>Суббота</x:v>
      </x:c>
      <x:c r="F145" s="13" t="str">
        <x:v>Отдых / подготовка</x:v>
      </x:c>
      <x:c r="G145" s="44" t="n">
        <x:v>0</x:v>
      </x:c>
      <x:c r="H145" s="44" t="n">
        <x:v>0.003472222222222222</x:v>
      </x:c>
      <x:c r="I145" s="32" t="n">
        <x:f>ROUND((H145-G145)*1440,0)</x:f>
        <x:v>5</x:v>
      </x:c>
      <x:c r="J145" s="13" t="str">
        <x:v>Самопроверка</x:v>
      </x:c>
      <x:c r="K145" s="13" t="str">
        <x:v>Проверь кожу пальцев, ногти, плечо и колено. Никаких тестовых висов.</x:v>
      </x:c>
      <x:c r="L145" s="13" t="str">
        <x:v>☐ Не начато</x:v>
      </x:c>
      <x:c r="M145" s="13" t="str">
        <x:v>Обязательно</x:v>
      </x:c>
      <x:c r="N145" s="13" t="str">
        <x:v>Восстановление</x:v>
      </x:c>
      <x:c r="O145" s="13" t="str"/>
      <x:c r="P145" s="13" t="str">
        <x:v>milestone_01_foundation/week_02_2026-09-14/06_SATURDAY.md</x:v>
      </x:c>
      <x:c r="Q145" s="138" t="str">
        <x:v>Markdown</x:v>
      </x:c>
      <x:c r="R145" s="20" t="str"/>
    </x:row>
    <x:row r="146" ht="36" customHeight="1">
      <x:c r="A146" s="19" t="str">
        <x:v>W02-20260919-0145</x:v>
      </x:c>
      <x:c r="B146" s="13" t="n">
        <x:v>2</x:v>
      </x:c>
      <x:c r="C146" s="13" t="str">
        <x:v>Этап 1 — База, разминка и исходная точка</x:v>
      </x:c>
      <x:c r="D146" s="138" t="str">
        <x:v>2026-09-19</x:v>
      </x:c>
      <x:c r="E146" s="13" t="str">
        <x:v>Суббота</x:v>
      </x:c>
      <x:c r="F146" s="13" t="str">
        <x:v>Отдых / подготовка</x:v>
      </x:c>
      <x:c r="G146" s="44" t="n">
        <x:v>0.003472222222222222</x:v>
      </x:c>
      <x:c r="H146" s="44" t="n">
        <x:v>0.010416666666666666</x:v>
      </x:c>
      <x:c r="I146" s="32" t="n">
        <x:f>ROUND((H146-G146)*1440,0)</x:f>
        <x:v>10</x:v>
      </x:c>
      <x:c r="J146" s="13" t="str">
        <x:v>Активное восстановление</x:v>
      </x:c>
      <x:c r="K146" s="13" t="str">
        <x:v>10 минут лёгкой прогулки или бытовой активности. Цель — восстановление, не тренировка.</x:v>
      </x:c>
      <x:c r="L146" s="13" t="str">
        <x:v>☐ Не начато</x:v>
      </x:c>
      <x:c r="M146" s="13" t="str">
        <x:v>Обязательно</x:v>
      </x:c>
      <x:c r="N146" s="13" t="str">
        <x:v>RPE 1–2</x:v>
      </x:c>
      <x:c r="O146" s="13" t="str"/>
      <x:c r="P146" s="13" t="str">
        <x:v>milestone_01_foundation/week_02_2026-09-14/06_SATURDAY.md</x:v>
      </x:c>
      <x:c r="Q146" s="138" t="str">
        <x:v>Markdown</x:v>
      </x:c>
      <x:c r="R146" s="20" t="str"/>
    </x:row>
    <x:row r="147" ht="36" customHeight="1">
      <x:c r="A147" s="19" t="str">
        <x:v>W02-20260919-0146</x:v>
      </x:c>
      <x:c r="B147" s="13" t="n">
        <x:v>2</x:v>
      </x:c>
      <x:c r="C147" s="13" t="str">
        <x:v>Этап 1 — База, разминка и исходная точка</x:v>
      </x:c>
      <x:c r="D147" s="138" t="str">
        <x:v>2026-09-19</x:v>
      </x:c>
      <x:c r="E147" s="13" t="str">
        <x:v>Суббота</x:v>
      </x:c>
      <x:c r="F147" s="13" t="str">
        <x:v>Отдых / подготовка</x:v>
      </x:c>
      <x:c r="G147" s="44" t="n">
        <x:v>0.010416666666666666</x:v>
      </x:c>
      <x:c r="H147" s="44" t="n">
        <x:v>0.013888888888888888</x:v>
      </x:c>
      <x:c r="I147" s="32" t="n">
        <x:f>ROUND((H147-G147)*1440,0)</x:f>
        <x:v>5</x:v>
      </x:c>
      <x:c r="J147" s="13" t="str">
        <x:v>Уход за кожей</x:v>
      </x:c>
      <x:c r="K147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47" s="13" t="str">
        <x:v>☐ Не начато</x:v>
      </x:c>
      <x:c r="M147" s="13" t="str">
        <x:v>Опционально</x:v>
      </x:c>
      <x:c r="N147" s="13" t="str">
        <x:v>Без нагрузки</x:v>
      </x:c>
      <x:c r="O147" s="13" t="str">
        <x:v>Повреждённую/болезненную кожу не шлифовать.</x:v>
      </x:c>
      <x:c r="P147" s="13" t="str">
        <x:v>milestone_01_foundation/week_02_2026-09-14/06_SATURDAY.md</x:v>
      </x:c>
      <x:c r="Q147" s="138" t="str">
        <x:v>Markdown</x:v>
      </x:c>
      <x:c r="R147" s="20" t="str"/>
    </x:row>
    <x:row r="148" ht="36" customHeight="1">
      <x:c r="A148" s="19" t="str">
        <x:v>W02-20260919-0147</x:v>
      </x:c>
      <x:c r="B148" s="13" t="n">
        <x:v>2</x:v>
      </x:c>
      <x:c r="C148" s="13" t="str">
        <x:v>Этап 1 — База, разминка и исходная точка</x:v>
      </x:c>
      <x:c r="D148" s="138" t="str">
        <x:v>2026-09-19</x:v>
      </x:c>
      <x:c r="E148" s="13" t="str">
        <x:v>Суббота</x:v>
      </x:c>
      <x:c r="F148" s="13" t="str">
        <x:v>Отдых / подготовка</x:v>
      </x:c>
      <x:c r="G148" s="44" t="n">
        <x:v>0.013888888888888888</x:v>
      </x:c>
      <x:c r="H148" s="44" t="n">
        <x:v>0.016666666666666666</x:v>
      </x:c>
      <x:c r="I148" s="32" t="n">
        <x:f>ROUND((H148-G148)*1440,0)</x:f>
        <x:v>4</x:v>
      </x:c>
      <x:c r="J148" s="13" t="str">
        <x:v>Подготовка</x:v>
      </x:c>
      <x:c r="K148" s="13" t="str">
        <x:v>Заряди телефон, освободи память для одного видео, положи щётку и магнезию.</x:v>
      </x:c>
      <x:c r="L148" s="13" t="str">
        <x:v>☐ Не начато</x:v>
      </x:c>
      <x:c r="M148" s="13" t="str">
        <x:v>Обязательно</x:v>
      </x:c>
      <x:c r="N148" s="13" t="str">
        <x:v>Без нагрузки</x:v>
      </x:c>
      <x:c r="O148" s="13" t="str"/>
      <x:c r="P148" s="13" t="str">
        <x:v>milestone_01_foundation/week_02_2026-09-14/06_SATURDAY.md</x:v>
      </x:c>
      <x:c r="Q148" s="138" t="str">
        <x:v>Markdown</x:v>
      </x:c>
      <x:c r="R148" s="20" t="str"/>
    </x:row>
    <x:row r="149" ht="36" customHeight="1">
      <x:c r="A149" s="19" t="str">
        <x:v>W02-20260919-0148</x:v>
      </x:c>
      <x:c r="B149" s="13" t="n">
        <x:v>2</x:v>
      </x:c>
      <x:c r="C149" s="13" t="str">
        <x:v>Этап 1 — База, разминка и исходная точка</x:v>
      </x:c>
      <x:c r="D149" s="138" t="str">
        <x:v>2026-09-19</x:v>
      </x:c>
      <x:c r="E149" s="13" t="str">
        <x:v>Суббота</x:v>
      </x:c>
      <x:c r="F149" s="13" t="str">
        <x:v>Отдых / подготовка</x:v>
      </x:c>
      <x:c r="G149" s="44" t="n">
        <x:v>0.016666666666666666</x:v>
      </x:c>
      <x:c r="H149" s="44" t="n">
        <x:v>0.01875</x:v>
      </x:c>
      <x:c r="I149" s="32" t="n">
        <x:f>ROUND((H149-G149)*1440,0)</x:f>
        <x:v>3</x:v>
      </x:c>
      <x:c r="J149" s="13" t="str">
        <x:v>План воскресенья</x:v>
      </x:c>
      <x:c r="K149" s="13" t="str">
        <x:v>Выбери заранее одну лёгкую трассу под тему «Прямые руки и таз над опорной ногой». Воскресенье остаётся развлечением, не третьим тяжёлым днём.</x:v>
      </x:c>
      <x:c r="L149" s="13" t="str">
        <x:v>☐ Не начато</x:v>
      </x:c>
      <x:c r="M149" s="13" t="str">
        <x:v>Обязательно</x:v>
      </x:c>
      <x:c r="N149" s="13" t="str">
        <x:v>Без нагрузки</x:v>
      </x:c>
      <x:c r="O149" s="13" t="str"/>
      <x:c r="P149" s="13" t="str">
        <x:v>milestone_01_foundation/week_02_2026-09-14/06_SATURDAY.md</x:v>
      </x:c>
      <x:c r="Q149" s="138" t="str">
        <x:v>Markdown</x:v>
      </x:c>
      <x:c r="R149" s="20" t="str"/>
    </x:row>
    <x:row r="150" ht="36" customHeight="1">
      <x:c r="A150" s="19" t="str">
        <x:v>W02-20260919-0149</x:v>
      </x:c>
      <x:c r="B150" s="13" t="n">
        <x:v>2</x:v>
      </x:c>
      <x:c r="C150" s="13" t="str">
        <x:v>Этап 1 — База, разминка и исходная точка</x:v>
      </x:c>
      <x:c r="D150" s="138" t="str">
        <x:v>2026-09-19</x:v>
      </x:c>
      <x:c r="E150" s="13" t="str">
        <x:v>Суббота</x:v>
      </x:c>
      <x:c r="F150" s="13" t="str">
        <x:v>Отдых / подготовка</x:v>
      </x:c>
      <x:c r="G150" s="44" t="n">
        <x:v>0.01875</x:v>
      </x:c>
      <x:c r="H150" s="44" t="n">
        <x:v>0.020833333333333332</x:v>
      </x:c>
      <x:c r="I150" s="32" t="n">
        <x:f>ROUND((H150-G150)*1440,0)</x:f>
        <x:v>3</x:v>
      </x:c>
      <x:c r="J150" s="13" t="str">
        <x:v>Сон / восстановление</x:v>
      </x:c>
      <x:c r="K150" s="13" t="str">
        <x:v>Запланируй обычный сон и нормальный приём пищи; не пытайся «разбудить хват» вечером.</x:v>
      </x:c>
      <x:c r="L150" s="13" t="str">
        <x:v>☐ Не начато</x:v>
      </x:c>
      <x:c r="M150" s="13" t="str">
        <x:v>Обязательно</x:v>
      </x:c>
      <x:c r="N150" s="13" t="str">
        <x:v>Восстановление</x:v>
      </x:c>
      <x:c r="O150" s="13" t="str"/>
      <x:c r="P150" s="13" t="str">
        <x:v>milestone_01_foundation/week_02_2026-09-14/06_SATURDAY.md</x:v>
      </x:c>
      <x:c r="Q150" s="138" t="str">
        <x:v>Markdown</x:v>
      </x:c>
      <x:c r="R150" s="20" t="str"/>
    </x:row>
    <x:row r="151" ht="36" customHeight="1">
      <x:c r="A151" s="19" t="str">
        <x:v>W02-20260920-0150</x:v>
      </x:c>
      <x:c r="B151" s="13" t="n">
        <x:v>2</x:v>
      </x:c>
      <x:c r="C151" s="13" t="str">
        <x:v>Этап 1 — База, разминка и исходная точка</x:v>
      </x:c>
      <x:c r="D151" s="138" t="str">
        <x:v>2026-09-20</x:v>
      </x:c>
      <x:c r="E151" s="13" t="str">
        <x:v>Воскресенье</x:v>
      </x:c>
      <x:c r="F151" s="13" t="str">
        <x:v>Тренировка C — fun / опционально</x:v>
      </x:c>
      <x:c r="G151" s="44" t="n">
        <x:v>0</x:v>
      </x:c>
      <x:c r="H151" s="44" t="n">
        <x:v>0.0020833333333333333</x:v>
      </x:c>
      <x:c r="I151" s="32" t="n">
        <x:f>ROUND((H151-G151)*1440,0)</x:f>
        <x:v>3</x:v>
      </x:c>
      <x:c r="J151" s="13" t="str">
        <x:v>Выбор сценария</x:v>
      </x:c>
      <x:c r="K151" s="13" t="str">
        <x:v>Выбери один сценарий: (A) fun-сессия 75 минут в зале или (B) восстановительный день дома 25 минут. Не выполнять оба.</x:v>
      </x:c>
      <x:c r="L151" s="13" t="str">
        <x:v>☐ Не начато</x:v>
      </x:c>
      <x:c r="M151" s="13" t="str">
        <x:v>Выбрать один сценарий</x:v>
      </x:c>
      <x:c r="N151" s="13" t="str">
        <x:v>По состоянию</x:v>
      </x:c>
      <x:c r="O151" s="13" t="str"/>
      <x:c r="P151" s="13" t="str">
        <x:v>milestone_01_foundation/week_02_2026-09-14/07_SUNDAY.md</x:v>
      </x:c>
      <x:c r="Q151" s="138" t="str">
        <x:v>Markdown</x:v>
      </x:c>
      <x:c r="R151" s="20" t="str"/>
    </x:row>
    <x:row r="152" ht="36" customHeight="1">
      <x:c r="A152" s="19" t="str">
        <x:v>W02-20260920-0151</x:v>
      </x:c>
      <x:c r="B152" s="13" t="n">
        <x:v>2</x:v>
      </x:c>
      <x:c r="C152" s="13" t="str">
        <x:v>Этап 1 — База, разминка и исходная точка</x:v>
      </x:c>
      <x:c r="D152" s="138" t="str">
        <x:v>2026-09-20</x:v>
      </x:c>
      <x:c r="E152" s="13" t="str">
        <x:v>Воскресенье</x:v>
      </x:c>
      <x:c r="F152" s="13" t="str">
        <x:v>Тренировка C — fun / опционально</x:v>
      </x:c>
      <x:c r="G152" s="44" t="n">
        <x:v>0.0020833333333333333</x:v>
      </x:c>
      <x:c r="H152" s="44" t="n">
        <x:v>0.005555555555555556</x:v>
      </x:c>
      <x:c r="I152" s="32" t="n">
        <x:f>ROUND((H152-G152)*1440,0)</x:f>
        <x:v>5</x:v>
      </x:c>
      <x:c r="J152" s="13" t="str">
        <x:v>Разминка A</x:v>
      </x:c>
      <x:c r="K152" s="13" t="str">
        <x:v>Если идёшь в зал: 5 минут поднятия температуры.</x:v>
      </x:c>
      <x:c r="L152" s="13" t="str">
        <x:v>☐ Не начато</x:v>
      </x:c>
      <x:c r="M152" s="13" t="str">
        <x:v>Опционально</x:v>
      </x:c>
      <x:c r="N152" s="13" t="str">
        <x:v>RPE 2–3</x:v>
      </x:c>
      <x:c r="O152" s="13" t="str"/>
      <x:c r="P152" s="13" t="str">
        <x:v>milestone_01_foundation/week_02_2026-09-14/07_SUNDAY.md</x:v>
      </x:c>
      <x:c r="Q152" s="138" t="str">
        <x:v>Markdown</x:v>
      </x:c>
      <x:c r="R152" s="20" t="str"/>
    </x:row>
    <x:row r="153" ht="36" customHeight="1">
      <x:c r="A153" s="19" t="str">
        <x:v>W02-20260920-0152</x:v>
      </x:c>
      <x:c r="B153" s="13" t="n">
        <x:v>2</x:v>
      </x:c>
      <x:c r="C153" s="13" t="str">
        <x:v>Этап 1 — База, разминка и исходная точка</x:v>
      </x:c>
      <x:c r="D153" s="138" t="str">
        <x:v>2026-09-20</x:v>
      </x:c>
      <x:c r="E153" s="13" t="str">
        <x:v>Воскресенье</x:v>
      </x:c>
      <x:c r="F153" s="13" t="str">
        <x:v>Тренировка C — fun / опционально</x:v>
      </x:c>
      <x:c r="G153" s="44" t="n">
        <x:v>0.005555555555555556</x:v>
      </x:c>
      <x:c r="H153" s="44" t="n">
        <x:v>0.009027777777777777</x:v>
      </x:c>
      <x:c r="I153" s="32" t="n">
        <x:f>ROUND((H153-G153)*1440,0)</x:f>
        <x:v>5</x:v>
      </x:c>
      <x:c r="J153" s="13" t="str">
        <x:v>Разминка A</x:v>
      </x:c>
      <x:c r="K153" s="13" t="str">
        <x:v>Динамическая суставная разминка в безболезненном диапазоне; без отжиманий/press.</x:v>
      </x:c>
      <x:c r="L153" s="13" t="str">
        <x:v>☐ Не начато</x:v>
      </x:c>
      <x:c r="M153" s="13" t="str">
        <x:v>Опционально</x:v>
      </x:c>
      <x:c r="N153" s="13" t="str">
        <x:v>Очень легко</x:v>
      </x:c>
      <x:c r="O153" s="13" t="str">
        <x:v>Не зависай на одной согнутой руке. Любая боль в плече при lock-off — сразу менять бету или трассу.</x:v>
      </x:c>
      <x:c r="P153" s="13" t="str">
        <x:v>milestone_01_foundation/week_02_2026-09-14/07_SUNDAY.md</x:v>
      </x:c>
      <x:c r="Q153" s="138" t="str">
        <x:v>Markdown</x:v>
      </x:c>
      <x:c r="R153" s="20" t="str"/>
    </x:row>
    <x:row r="154" ht="36" customHeight="1">
      <x:c r="A154" s="19" t="str">
        <x:v>W02-20260920-0153</x:v>
      </x:c>
      <x:c r="B154" s="13" t="n">
        <x:v>2</x:v>
      </x:c>
      <x:c r="C154" s="13" t="str">
        <x:v>Этап 1 — База, разминка и исходная точка</x:v>
      </x:c>
      <x:c r="D154" s="138" t="str">
        <x:v>2026-09-20</x:v>
      </x:c>
      <x:c r="E154" s="13" t="str">
        <x:v>Воскресенье</x:v>
      </x:c>
      <x:c r="F154" s="13" t="str">
        <x:v>Тренировка C — fun / опционально</x:v>
      </x:c>
      <x:c r="G154" s="44" t="n">
        <x:v>0.009027777777777777</x:v>
      </x:c>
      <x:c r="H154" s="44" t="n">
        <x:v>0.013888888888888888</x:v>
      </x:c>
      <x:c r="I154" s="32" t="n">
        <x:f>ROUND((H154-G154)*1440,0)</x:f>
        <x:v>7</x:v>
      </x:c>
      <x:c r="J154" s="13" t="str">
        <x:v>Лёгкое лазание A</x:v>
      </x:c>
      <x:c r="K154" s="13" t="str">
        <x:v>3 очень лёгкие трассы 1–3 с постепенным увеличением сложности.</x:v>
      </x:c>
      <x:c r="L154" s="13" t="str">
        <x:v>☐ Не начато</x:v>
      </x:c>
      <x:c r="M154" s="13" t="str">
        <x:v>Опционально</x:v>
      </x:c>
      <x:c r="N154" s="13" t="str">
        <x:v>RPE 2–4</x:v>
      </x:c>
      <x:c r="O154" s="13" t="str"/>
      <x:c r="P154" s="13" t="str">
        <x:v>milestone_01_foundation/week_02_2026-09-14/07_SUNDAY.md</x:v>
      </x:c>
      <x:c r="Q154" s="138" t="str">
        <x:v>Markdown</x:v>
      </x:c>
      <x:c r="R154" s="20" t="str"/>
    </x:row>
    <x:row r="155" ht="36" customHeight="1">
      <x:c r="A155" s="19" t="str">
        <x:v>W02-20260920-0154</x:v>
      </x:c>
      <x:c r="B155" s="13" t="n">
        <x:v>2</x:v>
      </x:c>
      <x:c r="C155" s="13" t="str">
        <x:v>Этап 1 — База, разминка и исходная точка</x:v>
      </x:c>
      <x:c r="D155" s="138" t="str">
        <x:v>2026-09-20</x:v>
      </x:c>
      <x:c r="E155" s="13" t="str">
        <x:v>Воскресенье</x:v>
      </x:c>
      <x:c r="F155" s="13" t="str">
        <x:v>Тренировка C — fun / опционально</x:v>
      </x:c>
      <x:c r="G155" s="44" t="n">
        <x:v>0.013888888888888888</x:v>
      </x:c>
      <x:c r="H155" s="44" t="n">
        <x:v>0.020833333333333332</x:v>
      </x:c>
      <x:c r="I155" s="32" t="n">
        <x:f>ROUND((H155-G155)*1440,0)</x:f>
        <x:v>10</x:v>
      </x:c>
      <x:c r="J155" s="13" t="str">
        <x:v>Технический праймер A</x:v>
      </x:c>
      <x:c r="K155" s="13" t="str">
        <x:v>На одной лёгкой трассе дважды повтори «Прямые руки и таз над опорной ногой». Критерий: На видео локоть не сгибается первым минимум в 3 движениях; усилие рук ниже.</x:v>
      </x:c>
      <x:c r="L155" s="13" t="str">
        <x:v>☐ Не начато</x:v>
      </x:c>
      <x:c r="M155" s="13" t="str">
        <x:v>Опционально</x:v>
      </x:c>
      <x:c r="N155" s="13" t="str">
        <x:v>RPE 3–4</x:v>
      </x:c>
      <x:c r="O155" s="13" t="str">
        <x:v>Прямая рука не означает пассивно «проваленное» плечо. Болезненный lock-off или press исключить.</x:v>
      </x:c>
      <x:c r="P155" s="13" t="str">
        <x:v>milestone_01_foundation/week_02_2026-09-14/07_SUNDAY.md</x:v>
      </x:c>
      <x:c r="Q155" s="138" t="str">
        <x:v>Markdown</x:v>
      </x:c>
      <x:c r="R155" s="20" t="str"/>
    </x:row>
    <x:row r="156" ht="36" customHeight="1">
      <x:c r="A156" s="19" t="str">
        <x:v>W02-20260920-0155</x:v>
      </x:c>
      <x:c r="B156" s="13" t="n">
        <x:v>2</x:v>
      </x:c>
      <x:c r="C156" s="13" t="str">
        <x:v>Этап 1 — База, разминка и исходная точка</x:v>
      </x:c>
      <x:c r="D156" s="138" t="str">
        <x:v>2026-09-20</x:v>
      </x:c>
      <x:c r="E156" s="13" t="str">
        <x:v>Воскресенье</x:v>
      </x:c>
      <x:c r="F156" s="13" t="str">
        <x:v>Тренировка C — fun / опционально</x:v>
      </x:c>
      <x:c r="G156" s="44" t="n">
        <x:v>0.020833333333333332</x:v>
      </x:c>
      <x:c r="H156" s="44" t="n">
        <x:v>0.03819444444444445</x:v>
      </x:c>
      <x:c r="I156" s="32" t="n">
        <x:f>ROUND((H156-G156)*1440,0)</x:f>
        <x:v>25</x:v>
      </x:c>
      <x:c r="J156" s="13" t="str">
        <x:v>Свободное лазание A</x:v>
      </x:c>
      <x:c r="K156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56" s="13" t="str">
        <x:v>☐ Не начато</x:v>
      </x:c>
      <x:c r="M156" s="13" t="str">
        <x:v>Опционально</x:v>
      </x:c>
      <x:c r="N156" s="13" t="str">
        <x:v>RPE 4–7</x:v>
      </x:c>
      <x:c r="O156" s="13" t="str">
        <x:v>Не превращать блок в круг на выносливость.</x:v>
      </x:c>
      <x:c r="P156" s="13" t="str">
        <x:v>milestone_01_foundation/week_02_2026-09-14/07_SUNDAY.md</x:v>
      </x:c>
      <x:c r="Q156" s="138" t="str">
        <x:v>Markdown</x:v>
      </x:c>
      <x:c r="R156" s="20" t="str"/>
    </x:row>
    <x:row r="157" ht="36" customHeight="1">
      <x:c r="A157" s="19" t="str">
        <x:v>W02-20260920-0156</x:v>
      </x:c>
      <x:c r="B157" s="13" t="n">
        <x:v>2</x:v>
      </x:c>
      <x:c r="C157" s="13" t="str">
        <x:v>Этап 1 — База, разминка и исходная точка</x:v>
      </x:c>
      <x:c r="D157" s="138" t="str">
        <x:v>2026-09-20</x:v>
      </x:c>
      <x:c r="E157" s="13" t="str">
        <x:v>Воскресенье</x:v>
      </x:c>
      <x:c r="F157" s="13" t="str">
        <x:v>Тренировка C — fun / опционально</x:v>
      </x:c>
      <x:c r="G157" s="44" t="n">
        <x:v>0.03819444444444445</x:v>
      </x:c>
      <x:c r="H157" s="44" t="n">
        <x:v>0.04583333333333333</x:v>
      </x:c>
      <x:c r="I157" s="32" t="n">
        <x:f>ROUND((H157-G157)*1440,0)</x:f>
        <x:v>11</x:v>
      </x:c>
      <x:c r="J157" s="13" t="str">
        <x:v>Свежая сложная попытка A</x:v>
      </x:c>
      <x:c r="K157" s="13" t="str">
        <x:v>Только если всё зелёное: попробуй одну рабочую пятёрку или дружелюбную шестёрку по критериям недели — 1 пятёрка, где обычно подтягиваешься; ищи вариант с более прямой опорной рукой. 1 вторичная пятёрка на другом угле. Максимум 2 попытки, отдых 4 минуты.</x:v>
      </x:c>
      <x:c r="L157" s="13" t="str">
        <x:v>☐ Не начато</x:v>
      </x:c>
      <x:c r="M157" s="13" t="str">
        <x:v>Опционально</x:v>
      </x:c>
      <x:c r="N157" s="13" t="str">
        <x:v>RPE 7–8, без отказа</x:v>
      </x:c>
      <x:c r="O157" s="13" t="str">
        <x:v>Не зависай на одной согнутой руке. Любая боль в плече при lock-off — сразу менять бету или трассу.</x:v>
      </x:c>
      <x:c r="P157" s="13" t="str">
        <x:v>milestone_01_foundation/week_02_2026-09-14/07_SUNDAY.md</x:v>
      </x:c>
      <x:c r="Q157" s="138" t="str">
        <x:v>Markdown</x:v>
      </x:c>
      <x:c r="R157" s="20" t="str"/>
    </x:row>
    <x:row r="158" ht="36" customHeight="1">
      <x:c r="A158" s="19" t="str">
        <x:v>W02-20260920-0157</x:v>
      </x:c>
      <x:c r="B158" s="13" t="n">
        <x:v>2</x:v>
      </x:c>
      <x:c r="C158" s="13" t="str">
        <x:v>Этап 1 — База, разминка и исходная точка</x:v>
      </x:c>
      <x:c r="D158" s="138" t="str">
        <x:v>2026-09-20</x:v>
      </x:c>
      <x:c r="E158" s="13" t="str">
        <x:v>Воскресенье</x:v>
      </x:c>
      <x:c r="F158" s="13" t="str">
        <x:v>Тренировка C — fun / опционально</x:v>
      </x:c>
      <x:c r="G158" s="44" t="n">
        <x:v>0.04583333333333333</x:v>
      </x:c>
      <x:c r="H158" s="44" t="n">
        <x:v>0.05</x:v>
      </x:c>
      <x:c r="I158" s="32" t="n">
        <x:f>ROUND((H158-G158)*1440,0)</x:f>
        <x:v>6</x:v>
      </x:c>
      <x:c r="J158" s="13" t="str">
        <x:v>Лёгкий финал A</x:v>
      </x:c>
      <x:c r="K158" s="13" t="str">
        <x:v>Одна любимая лёгкая трасса или спокойный спуск. Фингерборда и capacity-круга нет.</x:v>
      </x:c>
      <x:c r="L158" s="13" t="str">
        <x:v>☐ Не начато</x:v>
      </x:c>
      <x:c r="M158" s="13" t="str">
        <x:v>Опционально</x:v>
      </x:c>
      <x:c r="N158" s="13" t="str">
        <x:v>RPE 2–3</x:v>
      </x:c>
      <x:c r="O158" s="13" t="str"/>
      <x:c r="P158" s="13" t="str">
        <x:v>milestone_01_foundation/week_02_2026-09-14/07_SUNDAY.md</x:v>
      </x:c>
      <x:c r="Q158" s="138" t="str">
        <x:v>Markdown</x:v>
      </x:c>
      <x:c r="R158" s="20" t="str"/>
    </x:row>
    <x:row r="159" ht="36" customHeight="1">
      <x:c r="A159" s="19" t="str">
        <x:v>W02-20260920-0158</x:v>
      </x:c>
      <x:c r="B159" s="13" t="n">
        <x:v>2</x:v>
      </x:c>
      <x:c r="C159" s="13" t="str">
        <x:v>Этап 1 — База, разминка и исходная точка</x:v>
      </x:c>
      <x:c r="D159" s="138" t="str">
        <x:v>2026-09-20</x:v>
      </x:c>
      <x:c r="E159" s="13" t="str">
        <x:v>Воскресенье</x:v>
      </x:c>
      <x:c r="F159" s="13" t="str">
        <x:v>Тренировка C — fun / опционально</x:v>
      </x:c>
      <x:c r="G159" s="44" t="n">
        <x:v>0.05</x:v>
      </x:c>
      <x:c r="H159" s="44" t="n">
        <x:v>0.052083333333333336</x:v>
      </x:c>
      <x:c r="I159" s="32" t="n">
        <x:f>ROUND((H159-G159)*1440,0)</x:f>
        <x:v>3</x:v>
      </x:c>
      <x:c r="J159" s="13" t="str">
        <x:v>Журнал A</x:v>
      </x:c>
      <x:c r="K159" s="13" t="str">
        <x:v>Запиши только 3 вещи: что было весело, один удачный технический момент, состояние пальцев после сессии.</x:v>
      </x:c>
      <x:c r="L159" s="13" t="str">
        <x:v>☐ Не начато</x:v>
      </x:c>
      <x:c r="M159" s="13" t="str">
        <x:v>Опционально</x:v>
      </x:c>
      <x:c r="N159" s="13" t="str">
        <x:v>Без нагрузки</x:v>
      </x:c>
      <x:c r="O159" s="13" t="str"/>
      <x:c r="P159" s="13" t="str">
        <x:v>milestone_01_foundation/week_02_2026-09-14/07_SUNDAY.md</x:v>
      </x:c>
      <x:c r="Q159" s="138" t="str">
        <x:v>Markdown</x:v>
      </x:c>
      <x:c r="R159" s="20" t="str"/>
    </x:row>
    <x:row r="160" ht="36" customHeight="1">
      <x:c r="A160" s="19" t="str">
        <x:v>W02-20260920-0159</x:v>
      </x:c>
      <x:c r="B160" s="13" t="n">
        <x:v>2</x:v>
      </x:c>
      <x:c r="C160" s="13" t="str">
        <x:v>Этап 1 — База, разминка и исходная точка</x:v>
      </x:c>
      <x:c r="D160" s="138" t="str">
        <x:v>2026-09-20</x:v>
      </x:c>
      <x:c r="E160" s="13" t="str">
        <x:v>Воскресенье</x:v>
      </x:c>
      <x:c r="F160" s="13" t="str">
        <x:v>Восстановление B — дома</x:v>
      </x:c>
      <x:c r="G160" s="44" t="n">
        <x:v>0</x:v>
      </x:c>
      <x:c r="H160" s="44" t="n">
        <x:v>0.010416666666666666</x:v>
      </x:c>
      <x:c r="I160" s="32" t="n">
        <x:f>ROUND((H160-G160)*1440,0)</x:f>
        <x:v>15</x:v>
      </x:c>
      <x:c r="J160" s="13" t="str">
        <x:v>Прогулка B</x:v>
      </x:c>
      <x:c r="K160" s="13" t="str">
        <x:v>Если не идёшь в зал: 15 минут спокойной прогулки.</x:v>
      </x:c>
      <x:c r="L160" s="13" t="str">
        <x:v>☐ Не начато</x:v>
      </x:c>
      <x:c r="M160" s="13" t="str">
        <x:v>Опционально</x:v>
      </x:c>
      <x:c r="N160" s="13" t="str">
        <x:v>RPE 1–2</x:v>
      </x:c>
      <x:c r="O160" s="13" t="str"/>
      <x:c r="P160" s="13" t="str">
        <x:v>milestone_01_foundation/week_02_2026-09-14/07_SUNDAY.md</x:v>
      </x:c>
      <x:c r="Q160" s="138" t="str">
        <x:v>Markdown</x:v>
      </x:c>
      <x:c r="R160" s="20" t="str"/>
    </x:row>
    <x:row r="161" ht="36" customHeight="1">
      <x:c r="A161" s="19" t="str">
        <x:v>W02-20260920-0160</x:v>
      </x:c>
      <x:c r="B161" s="13" t="n">
        <x:v>2</x:v>
      </x:c>
      <x:c r="C161" s="13" t="str">
        <x:v>Этап 1 — База, разминка и исходная точка</x:v>
      </x:c>
      <x:c r="D161" s="138" t="str">
        <x:v>2026-09-20</x:v>
      </x:c>
      <x:c r="E161" s="13" t="str">
        <x:v>Воскресенье</x:v>
      </x:c>
      <x:c r="F161" s="13" t="str">
        <x:v>Восстановление B — дома</x:v>
      </x:c>
      <x:c r="G161" s="44" t="n">
        <x:v>0.010416666666666666</x:v>
      </x:c>
      <x:c r="H161" s="44" t="n">
        <x:v>0.015277777777777777</x:v>
      </x:c>
      <x:c r="I161" s="32" t="n">
        <x:f>ROUND((H161-G161)*1440,0)</x:f>
        <x:v>7</x:v>
      </x:c>
      <x:c r="J161" s="13" t="str">
        <x:v>Визуализация B</x:v>
      </x:c>
      <x:c r="K161" s="13" t="str">
        <x:v>7 минут: мысленно повтори тему недели «Прямые руки и таз над опорной ногой» и одну трассу четверга.</x:v>
      </x:c>
      <x:c r="L161" s="13" t="str">
        <x:v>☐ Не начато</x:v>
      </x:c>
      <x:c r="M161" s="13" t="str">
        <x:v>Опционально</x:v>
      </x:c>
      <x:c r="N161" s="13" t="str">
        <x:v>Без нагрузки</x:v>
      </x:c>
      <x:c r="O161" s="13" t="str"/>
      <x:c r="P161" s="13" t="str">
        <x:v>milestone_01_foundation/week_02_2026-09-14/07_SUNDAY.md</x:v>
      </x:c>
      <x:c r="Q161" s="138" t="str">
        <x:v>Markdown</x:v>
      </x:c>
      <x:c r="R161" s="20" t="str"/>
    </x:row>
    <x:row r="162" ht="36" customHeight="1">
      <x:c r="A162" s="19" t="str">
        <x:v>W02-20260920-0161</x:v>
      </x:c>
      <x:c r="B162" s="13" t="n">
        <x:v>2</x:v>
      </x:c>
      <x:c r="C162" s="13" t="str">
        <x:v>Этап 1 — База, разминка и исходная точка</x:v>
      </x:c>
      <x:c r="D162" s="138" t="str">
        <x:v>2026-09-20</x:v>
      </x:c>
      <x:c r="E162" s="13" t="str">
        <x:v>Воскресенье</x:v>
      </x:c>
      <x:c r="F162" s="13" t="str">
        <x:v>Восстановление B — дома</x:v>
      </x:c>
      <x:c r="G162" s="44" t="n">
        <x:v>0.015277777777777777</x:v>
      </x:c>
      <x:c r="H162" s="44" t="n">
        <x:v>0.017361111111111112</x:v>
      </x:c>
      <x:c r="I162" s="32" t="n">
        <x:f>ROUND((H162-G162)*1440,0)</x:f>
        <x:v>3</x:v>
      </x:c>
      <x:c r="J162" s="13" t="str">
        <x:v>Итог недели B</x:v>
      </x:c>
      <x:c r="K162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62" s="13" t="str">
        <x:v>☐ Не начато</x:v>
      </x:c>
      <x:c r="M162" s="13" t="str">
        <x:v>Опционально</x:v>
      </x:c>
      <x:c r="N162" s="13" t="str">
        <x:v>Без нагрузки</x:v>
      </x:c>
      <x:c r="O162" s="13" t="str"/>
      <x:c r="P162" s="13" t="str">
        <x:v>milestone_01_foundation/week_02_2026-09-14/07_SUNDAY.md</x:v>
      </x:c>
      <x:c r="Q162" s="138" t="str">
        <x:v>Markdown</x:v>
      </x:c>
      <x:c r="R162" s="20" t="str"/>
    </x:row>
    <x:row r="163" ht="36" customHeight="1">
      <x:c r="A163" s="19" t="str">
        <x:v>W03-20260921-0162</x:v>
      </x:c>
      <x:c r="B163" s="13" t="n">
        <x:v>3</x:v>
      </x:c>
      <x:c r="C163" s="13" t="str">
        <x:v>Этап 1 — База, разминка и исходная точка</x:v>
      </x:c>
      <x:c r="D163" s="138" t="str">
        <x:v>2026-09-21</x:v>
      </x:c>
      <x:c r="E163" s="13" t="str">
        <x:v>Понедельник</x:v>
      </x:c>
      <x:c r="F163" s="13" t="str">
        <x:v>Дом / теория</x:v>
      </x:c>
      <x:c r="G163" s="44" t="n">
        <x:v>0</x:v>
      </x:c>
      <x:c r="H163" s="44" t="n">
        <x:v>0.0020833333333333333</x:v>
      </x:c>
      <x:c r="I163" s="32" t="n">
        <x:f>ROUND((H163-G163)*1440,0)</x:f>
        <x:v>3</x:v>
      </x:c>
      <x:c r="J163" s="13" t="str">
        <x:v>Самопроверка</x:v>
      </x:c>
      <x:c r="K163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63" s="13" t="str">
        <x:v>☐ Не начато</x:v>
      </x:c>
      <x:c r="M163" s="13" t="str">
        <x:v>Обязательно</x:v>
      </x:c>
      <x:c r="N163" s="13" t="str">
        <x:v>Очень легко</x:v>
      </x:c>
      <x:c r="O163" s="13" t="str">
        <x:v>Не диагностируй травму самостоятельно; используй правила из документа безопасности.</x:v>
      </x:c>
      <x:c r="P163" s="13" t="str">
        <x:v>milestone_01_foundation/week_03_2026-09-21/01_MONDAY.md</x:v>
      </x:c>
      <x:c r="Q163" s="138" t="str">
        <x:v>Markdown</x:v>
      </x:c>
      <x:c r="R163" s="20" t="str"/>
    </x:row>
    <x:row r="164" ht="36" customHeight="1">
      <x:c r="A164" s="19" t="str">
        <x:v>W03-20260921-0163</x:v>
      </x:c>
      <x:c r="B164" s="13" t="n">
        <x:v>3</x:v>
      </x:c>
      <x:c r="C164" s="13" t="str">
        <x:v>Этап 1 — База, разминка и исходная точка</x:v>
      </x:c>
      <x:c r="D164" s="138" t="str">
        <x:v>2026-09-21</x:v>
      </x:c>
      <x:c r="E164" s="13" t="str">
        <x:v>Понедельник</x:v>
      </x:c>
      <x:c r="F164" s="13" t="str">
        <x:v>Дом / теория</x:v>
      </x:c>
      <x:c r="G164" s="44" t="n">
        <x:v>0.0020833333333333333</x:v>
      </x:c>
      <x:c r="H164" s="44" t="n">
        <x:v>0.005555555555555556</x:v>
      </x:c>
      <x:c r="I164" s="32" t="n">
        <x:f>ROUND((H164-G164)*1440,0)</x:f>
        <x:v>5</x:v>
      </x:c>
      <x:c r="J164" s="13" t="str">
        <x:v>Планирование</x:v>
      </x:c>
      <x:c r="K164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«Перед стартом назови руки, ноги, направление таза и предполагаемый crux.»</x:v>
      </x:c>
      <x:c r="L164" s="13" t="str">
        <x:v>☐ Не начато</x:v>
      </x:c>
      <x:c r="M164" s="13" t="str">
        <x:v>Обязательно</x:v>
      </x:c>
      <x:c r="N164" s="13" t="str">
        <x:v>Без нагрузки</x:v>
      </x:c>
      <x:c r="O164" s="13" t="str"/>
      <x:c r="P164" s="13" t="str">
        <x:v>milestone_01_foundation/week_03_2026-09-21/01_MONDAY.md</x:v>
      </x:c>
      <x:c r="Q164" s="138" t="str">
        <x:v>Markdown</x:v>
      </x:c>
      <x:c r="R164" s="20" t="str"/>
    </x:row>
    <x:row r="165" ht="36" customHeight="1">
      <x:c r="A165" s="19" t="str">
        <x:v>W03-20260921-0164</x:v>
      </x:c>
      <x:c r="B165" s="13" t="n">
        <x:v>3</x:v>
      </x:c>
      <x:c r="C165" s="13" t="str">
        <x:v>Этап 1 — База, разминка и исходная точка</x:v>
      </x:c>
      <x:c r="D165" s="138" t="str">
        <x:v>2026-09-21</x:v>
      </x:c>
      <x:c r="E165" s="13" t="str">
        <x:v>Понедельник</x:v>
      </x:c>
      <x:c r="F165" s="13" t="str">
        <x:v>Дом / теория</x:v>
      </x:c>
      <x:c r="G165" s="44" t="n">
        <x:v>0.005555555555555556</x:v>
      </x:c>
      <x:c r="H165" s="44" t="n">
        <x:v>0.01597222222222222</x:v>
      </x:c>
      <x:c r="I165" s="32" t="n">
        <x:f>ROUND((H165-G165)*1440,0)</x:f>
        <x:v>15</x:v>
      </x:c>
      <x:c r="J165" s="13" t="str">
        <x:v>Теория</x:v>
      </x:c>
      <x:c r="K165" s="13" t="str">
        <x:v>Посмотри/прочитай [R04: The Gravity Lab — How To Read Bouldering Routes: An In-Depth Breakdown](https://www.youtube.com/watch?v=faOZI-tdMhg). Задача: Чтение последовательности рук/ног, поиск ключевого движения и предварительная визуализация.</x:v>
      </x:c>
      <x:c r="L165" s="13" t="str">
        <x:v>☐ Не начато</x:v>
      </x:c>
      <x:c r="M165" s="13" t="str">
        <x:v>Обязательно</x:v>
      </x:c>
      <x:c r="N165" s="13" t="str">
        <x:v>Без нагрузки</x:v>
      </x:c>
      <x:c r="O165" s="13" t="str"/>
      <x:c r="P165" s="13" t="str">
        <x:v>milestone_01_foundation/week_03_2026-09-21/01_MONDAY.md</x:v>
      </x:c>
      <x:c r="Q165" s="138" t="str">
        <x:v>Markdown</x:v>
      </x:c>
      <x:c r="R165" s="20" t="str"/>
    </x:row>
    <x:row r="166" ht="36" customHeight="1">
      <x:c r="A166" s="19" t="str">
        <x:v>W03-20260921-0165</x:v>
      </x:c>
      <x:c r="B166" s="13" t="n">
        <x:v>3</x:v>
      </x:c>
      <x:c r="C166" s="13" t="str">
        <x:v>Этап 1 — База, разминка и исходная точка</x:v>
      </x:c>
      <x:c r="D166" s="138" t="str">
        <x:v>2026-09-21</x:v>
      </x:c>
      <x:c r="E166" s="13" t="str">
        <x:v>Понедельник</x:v>
      </x:c>
      <x:c r="F166" s="13" t="str">
        <x:v>Дом / теория</x:v>
      </x:c>
      <x:c r="G166" s="44" t="n">
        <x:v>0.01597222222222222</x:v>
      </x:c>
      <x:c r="H166" s="44" t="n">
        <x:v>0.019444444444444445</x:v>
      </x:c>
      <x:c r="I166" s="32" t="n">
        <x:f>ROUND((H166-G166)*1440,0)</x:f>
        <x:v>5</x:v>
      </x:c>
      <x:c r="J166" s="13" t="str">
        <x:v>Конспект</x:v>
      </x:c>
      <x:c r="K166" s="13" t="str">
        <x:v>Запиши ровно 3 пункта: (1) что делать ногами/тазом; (2) что не делать руками; (3) какой признак успеха проверишь на стене для темы «Чтение трассы и одна гипотеза».</x:v>
      </x:c>
      <x:c r="L166" s="13" t="str">
        <x:v>☐ Не начато</x:v>
      </x:c>
      <x:c r="M166" s="13" t="str">
        <x:v>Обязательно</x:v>
      </x:c>
      <x:c r="N166" s="13" t="str">
        <x:v>Без нагрузки</x:v>
      </x:c>
      <x:c r="O166" s="13" t="str"/>
      <x:c r="P166" s="13" t="str">
        <x:v>milestone_01_foundation/week_03_2026-09-21/01_MONDAY.md</x:v>
      </x:c>
      <x:c r="Q166" s="138" t="str">
        <x:v>Markdown</x:v>
      </x:c>
      <x:c r="R166" s="20" t="str"/>
    </x:row>
    <x:row r="167" ht="36" customHeight="1">
      <x:c r="A167" s="19" t="str">
        <x:v>W03-20260921-0166</x:v>
      </x:c>
      <x:c r="B167" s="13" t="n">
        <x:v>3</x:v>
      </x:c>
      <x:c r="C167" s="13" t="str">
        <x:v>Этап 1 — База, разминка и исходная точка</x:v>
      </x:c>
      <x:c r="D167" s="138" t="str">
        <x:v>2026-09-21</x:v>
      </x:c>
      <x:c r="E167" s="13" t="str">
        <x:v>Понедельник</x:v>
      </x:c>
      <x:c r="F167" s="13" t="str">
        <x:v>Дом / теория</x:v>
      </x:c>
      <x:c r="G167" s="44" t="n">
        <x:v>0.019444444444444445</x:v>
      </x:c>
      <x:c r="H167" s="44" t="n">
        <x:v>0.027777777777777776</x:v>
      </x:c>
      <x:c r="I167" s="32" t="n">
        <x:f>ROUND((H167-G167)*1440,0)</x:f>
        <x:v>12</x:v>
      </x:c>
      <x:c r="J167" s="13" t="str">
        <x:v>Домашняя мобильность</x:v>
      </x:c>
      <x:c r="K167" s="13" t="str">
        <x:v>Выполни комплекс H2 «Баланс и опора ног» по библиотеке упражнений: 12 минут, без дополнительной нагрузки на пальцы.</x:v>
      </x:c>
      <x:c r="L167" s="13" t="str">
        <x:v>☐ Не начато</x:v>
      </x:c>
      <x:c r="M167" s="13" t="str">
        <x:v>Обязательно</x:v>
      </x:c>
      <x:c r="N167" s="13" t="str">
        <x:v>RPE 2–3</x:v>
      </x:c>
      <x:c r="O167" s="13" t="str">
        <x:v>Не уходи в глубокий присед. Стена используется как страховка; упражнение не должно провоцировать правое колено.</x:v>
      </x:c>
      <x:c r="P167" s="13" t="str">
        <x:v>milestone_01_foundation/week_03_2026-09-21/01_MONDAY.md</x:v>
      </x:c>
      <x:c r="Q167" s="138" t="str">
        <x:v>Markdown</x:v>
      </x:c>
      <x:c r="R167" s="20" t="str"/>
    </x:row>
    <x:row r="168" ht="36" customHeight="1">
      <x:c r="A168" s="19" t="str">
        <x:v>W03-20260921-0167</x:v>
      </x:c>
      <x:c r="B168" s="13" t="n">
        <x:v>3</x:v>
      </x:c>
      <x:c r="C168" s="13" t="str">
        <x:v>Этап 1 — База, разминка и исходная точка</x:v>
      </x:c>
      <x:c r="D168" s="138" t="str">
        <x:v>2026-09-21</x:v>
      </x:c>
      <x:c r="E168" s="13" t="str">
        <x:v>Понедельник</x:v>
      </x:c>
      <x:c r="F168" s="13" t="str">
        <x:v>Дом / теория</x:v>
      </x:c>
      <x:c r="G168" s="44" t="n">
        <x:v>0.027777777777777776</x:v>
      </x:c>
      <x:c r="H168" s="44" t="n">
        <x:v>0.041666666666666664</x:v>
      </x:c>
      <x:c r="I168" s="32" t="n">
        <x:f>ROUND((H168-G168)*1440,0)</x:f>
        <x:v>20</x:v>
      </x:c>
      <x:c r="J168" s="13" t="str">
        <x:v>Физиотерапия</x:v>
      </x:c>
      <x:c r="K168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68" s="13" t="str">
        <x:v>☐ Не начато</x:v>
      </x:c>
      <x:c r="M168" s="13" t="str">
        <x:v>По назначению</x:v>
      </x:c>
      <x:c r="N168" s="13" t="str">
        <x:v>По назначению физиотерапевта</x:v>
      </x:c>
      <x:c r="O168" s="13" t="str">
        <x:v>Любые указания физиотерапевта имеют приоритет над этим планом.</x:v>
      </x:c>
      <x:c r="P168" s="13" t="str">
        <x:v>milestone_01_foundation/week_03_2026-09-21/01_MONDAY.md</x:v>
      </x:c>
      <x:c r="Q168" s="138" t="str">
        <x:v>Markdown</x:v>
      </x:c>
      <x:c r="R168" s="20" t="str"/>
    </x:row>
    <x:row r="169" ht="36" customHeight="1">
      <x:c r="A169" s="19" t="str">
        <x:v>W03-20260921-0168</x:v>
      </x:c>
      <x:c r="B169" s="13" t="n">
        <x:v>3</x:v>
      </x:c>
      <x:c r="C169" s="13" t="str">
        <x:v>Этап 1 — База, разминка и исходная точка</x:v>
      </x:c>
      <x:c r="D169" s="138" t="str">
        <x:v>2026-09-21</x:v>
      </x:c>
      <x:c r="E169" s="13" t="str">
        <x:v>Понедельник</x:v>
      </x:c>
      <x:c r="F169" s="13" t="str">
        <x:v>Дом / теория</x:v>
      </x:c>
      <x:c r="G169" s="44" t="n">
        <x:v>0.041666666666666664</x:v>
      </x:c>
      <x:c r="H169" s="44" t="n">
        <x:v>0.04513888888888889</x:v>
      </x:c>
      <x:c r="I169" s="32" t="n">
        <x:f>ROUND((H169-G169)*1440,0)</x:f>
        <x:v>5</x:v>
      </x:c>
      <x:c r="J169" s="13" t="str">
        <x:v>Покупка / организация</x:v>
      </x:c>
      <x:c r="K169" s="13" t="str">
        <x:v>Если штатива ещё нет — использовать устойчивую бутылку/рюкзак только временно; не ставить телефон в зоне падения.</x:v>
      </x:c>
      <x:c r="L169" s="13" t="str">
        <x:v>☐ Не начато</x:v>
      </x:c>
      <x:c r="M169" s="13" t="str">
        <x:v>Опционально</x:v>
      </x:c>
      <x:c r="N169" s="13" t="str">
        <x:v>Без нагрузки</x:v>
      </x:c>
      <x:c r="O169" s="13" t="str"/>
      <x:c r="P169" s="13" t="str">
        <x:v>milestone_01_foundation/week_03_2026-09-21/01_MONDAY.md</x:v>
      </x:c>
      <x:c r="Q169" s="138" t="str">
        <x:v>Markdown</x:v>
      </x:c>
      <x:c r="R169" s="20" t="str"/>
    </x:row>
    <x:row r="170" ht="36" customHeight="1">
      <x:c r="A170" s="19" t="str">
        <x:v>W03-20260921-0169</x:v>
      </x:c>
      <x:c r="B170" s="13" t="n">
        <x:v>3</x:v>
      </x:c>
      <x:c r="C170" s="13" t="str">
        <x:v>Этап 1 — База, разминка и исходная точка</x:v>
      </x:c>
      <x:c r="D170" s="138" t="str">
        <x:v>2026-09-21</x:v>
      </x:c>
      <x:c r="E170" s="13" t="str">
        <x:v>Понедельник</x:v>
      </x:c>
      <x:c r="F170" s="13" t="str">
        <x:v>Дом / теория</x:v>
      </x:c>
      <x:c r="G170" s="44" t="n">
        <x:v>0.04513888888888889</x:v>
      </x:c>
      <x:c r="H170" s="44" t="n">
        <x:v>0.04722222222222222</x:v>
      </x:c>
      <x:c r="I170" s="32" t="n">
        <x:f>ROUND((H170-G170)*1440,0)</x:f>
        <x:v>3</x:v>
      </x:c>
      <x:c r="J170" s="13" t="str">
        <x:v>Подготовка</x:v>
      </x:c>
      <x:c r="K170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70" s="13" t="str">
        <x:v>☐ Не начато</x:v>
      </x:c>
      <x:c r="M170" s="13" t="str">
        <x:v>Обязательно</x:v>
      </x:c>
      <x:c r="N170" s="13" t="str">
        <x:v>Без нагрузки</x:v>
      </x:c>
      <x:c r="O170" s="13" t="str">
        <x:v>Кольца и турник — только в рамках программы физиотерапевта.</x:v>
      </x:c>
      <x:c r="P170" s="13" t="str">
        <x:v>milestone_01_foundation/week_03_2026-09-21/01_MONDAY.md</x:v>
      </x:c>
      <x:c r="Q170" s="138" t="str">
        <x:v>Markdown</x:v>
      </x:c>
      <x:c r="R170" s="20" t="str"/>
    </x:row>
    <x:row r="171" ht="36" customHeight="1">
      <x:c r="A171" s="19" t="str">
        <x:v>W03-20260922-0170</x:v>
      </x:c>
      <x:c r="B171" s="13" t="n">
        <x:v>3</x:v>
      </x:c>
      <x:c r="C171" s="13" t="str">
        <x:v>Этап 1 — База, разминка и исходная точка</x:v>
      </x:c>
      <x:c r="D171" s="138" t="str">
        <x:v>2026-09-22</x:v>
      </x:c>
      <x:c r="E171" s="13" t="str">
        <x:v>Вторник</x:v>
      </x:c>
      <x:c r="F171" s="13" t="str">
        <x:v>Тренировка A — техника/объём</x:v>
      </x:c>
      <x:c r="G171" s="44" t="n">
        <x:v>0</x:v>
      </x:c>
      <x:c r="H171" s="44" t="n">
        <x:v>0.0020833333333333333</x:v>
      </x:c>
      <x:c r="I171" s="32" t="n">
        <x:f>ROUND((H171-G171)*1440,0)</x:f>
        <x:v>3</x:v>
      </x:c>
      <x:c r="J171" s="13" t="str">
        <x:v>Самопроверка</x:v>
      </x:c>
      <x:c r="K171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71" s="13" t="str">
        <x:v>☐ Не начато</x:v>
      </x:c>
      <x:c r="M171" s="13" t="str">
        <x:v>Обязательно</x:v>
      </x:c>
      <x:c r="N171" s="13" t="str">
        <x:v>Без нагрузки</x:v>
      </x:c>
      <x:c r="O171" s="13" t="str">
        <x:v>Красный флаг = не начинать пальцевую нагрузку.</x:v>
      </x:c>
      <x:c r="P171" s="13" t="str">
        <x:v>milestone_01_foundation/week_03_2026-09-21/02_TUESDAY.md</x:v>
      </x:c>
      <x:c r="Q171" s="138" t="str">
        <x:v>Markdown</x:v>
      </x:c>
      <x:c r="R171" s="20" t="str"/>
    </x:row>
    <x:row r="172" ht="36" customHeight="1">
      <x:c r="A172" s="19" t="str">
        <x:v>W03-20260922-0171</x:v>
      </x:c>
      <x:c r="B172" s="13" t="n">
        <x:v>3</x:v>
      </x:c>
      <x:c r="C172" s="13" t="str">
        <x:v>Этап 1 — База, разминка и исходная точка</x:v>
      </x:c>
      <x:c r="D172" s="138" t="str">
        <x:v>2026-09-22</x:v>
      </x:c>
      <x:c r="E172" s="13" t="str">
        <x:v>Вторник</x:v>
      </x:c>
      <x:c r="F172" s="13" t="str">
        <x:v>Тренировка A — техника/объём</x:v>
      </x:c>
      <x:c r="G172" s="44" t="n">
        <x:v>0.0020833333333333333</x:v>
      </x:c>
      <x:c r="H172" s="44" t="n">
        <x:v>0.005555555555555556</x:v>
      </x:c>
      <x:c r="I172" s="32" t="n">
        <x:f>ROUND((H172-G172)*1440,0)</x:f>
        <x:v>5</x:v>
      </x:c>
      <x:c r="J172" s="13" t="str">
        <x:v>Разминка</x:v>
      </x:c>
      <x:c r="K172" s="13" t="str">
        <x:v>Подними температуру: быстрая ходьба, лестница или лёгкий велотренажёр 5 минут.</x:v>
      </x:c>
      <x:c r="L172" s="13" t="str">
        <x:v>☐ Не начато</x:v>
      </x:c>
      <x:c r="M172" s="13" t="str">
        <x:v>Обязательно</x:v>
      </x:c>
      <x:c r="N172" s="13" t="str">
        <x:v>RPE 2–3</x:v>
      </x:c>
      <x:c r="O172" s="13" t="str"/>
      <x:c r="P172" s="13" t="str">
        <x:v>milestone_01_foundation/week_03_2026-09-21/02_TUESDAY.md</x:v>
      </x:c>
      <x:c r="Q172" s="138" t="str">
        <x:v>Markdown</x:v>
      </x:c>
      <x:c r="R172" s="20" t="str"/>
    </x:row>
    <x:row r="173" ht="36" customHeight="1">
      <x:c r="A173" s="19" t="str">
        <x:v>W03-20260922-0172</x:v>
      </x:c>
      <x:c r="B173" s="13" t="n">
        <x:v>3</x:v>
      </x:c>
      <x:c r="C173" s="13" t="str">
        <x:v>Этап 1 — База, разминка и исходная точка</x:v>
      </x:c>
      <x:c r="D173" s="138" t="str">
        <x:v>2026-09-22</x:v>
      </x:c>
      <x:c r="E173" s="13" t="str">
        <x:v>Вторник</x:v>
      </x:c>
      <x:c r="F173" s="13" t="str">
        <x:v>Тренировка A — техника/объём</x:v>
      </x:c>
      <x:c r="G173" s="44" t="n">
        <x:v>0.005555555555555556</x:v>
      </x:c>
      <x:c r="H173" s="44" t="n">
        <x:v>0.009027777777777777</x:v>
      </x:c>
      <x:c r="I173" s="32" t="n">
        <x:f>ROUND((H173-G173)*1440,0)</x:f>
        <x:v>5</x:v>
      </x:c>
      <x:c r="J173" s="13" t="str">
        <x:v>Разминка</x:v>
      </x:c>
      <x:c r="K173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73" s="13" t="str">
        <x:v>☐ Не начато</x:v>
      </x:c>
      <x:c r="M173" s="13" t="str">
        <x:v>Обязательно</x:v>
      </x:c>
      <x:c r="N173" s="13" t="str">
        <x:v>Очень легко</x:v>
      </x:c>
      <x:c r="O173" s="13" t="str">
        <x:v>Не делай press/отжимания и движения, которые раздражают плечо.</x:v>
      </x:c>
      <x:c r="P173" s="13" t="str">
        <x:v>milestone_01_foundation/week_03_2026-09-21/02_TUESDAY.md</x:v>
      </x:c>
      <x:c r="Q173" s="138" t="str">
        <x:v>Markdown</x:v>
      </x:c>
      <x:c r="R173" s="20" t="str"/>
    </x:row>
    <x:row r="174" ht="36" customHeight="1">
      <x:c r="A174" s="19" t="str">
        <x:v>W03-20260922-0173</x:v>
      </x:c>
      <x:c r="B174" s="13" t="n">
        <x:v>3</x:v>
      </x:c>
      <x:c r="C174" s="13" t="str">
        <x:v>Этап 1 — База, разминка и исходная точка</x:v>
      </x:c>
      <x:c r="D174" s="138" t="str">
        <x:v>2026-09-22</x:v>
      </x:c>
      <x:c r="E174" s="13" t="str">
        <x:v>Вторник</x:v>
      </x:c>
      <x:c r="F174" s="13" t="str">
        <x:v>Тренировка A — техника/объём</x:v>
      </x:c>
      <x:c r="G174" s="44" t="n">
        <x:v>0.009027777777777777</x:v>
      </x:c>
      <x:c r="H174" s="44" t="n">
        <x:v>0.011805555555555555</x:v>
      </x:c>
      <x:c r="I174" s="32" t="n">
        <x:f>ROUND((H174-G174)*1440,0)</x:f>
        <x:v>4</x:v>
      </x:c>
      <x:c r="J174" s="13" t="str">
        <x:v>Разминка пальцев</x:v>
      </x:c>
      <x:c r="K174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74" s="13" t="str">
        <x:v>☐ Не начато</x:v>
      </x:c>
      <x:c r="M174" s="13" t="str">
        <x:v>Обязательно</x:v>
      </x:c>
      <x:c r="N174" s="13" t="str">
        <x:v>Очень легко</x:v>
      </x:c>
      <x:c r="O174" s="13" t="str"/>
      <x:c r="P174" s="13" t="str">
        <x:v>milestone_01_foundation/week_03_2026-09-21/02_TUESDAY.md</x:v>
      </x:c>
      <x:c r="Q174" s="138" t="str">
        <x:v>Markdown</x:v>
      </x:c>
      <x:c r="R174" s="20" t="str"/>
    </x:row>
    <x:row r="175" ht="36" customHeight="1">
      <x:c r="A175" s="19" t="str">
        <x:v>W03-20260922-0174</x:v>
      </x:c>
      <x:c r="B175" s="13" t="n">
        <x:v>3</x:v>
      </x:c>
      <x:c r="C175" s="13" t="str">
        <x:v>Этап 1 — База, разминка и исходная точка</x:v>
      </x:c>
      <x:c r="D175" s="138" t="str">
        <x:v>2026-09-22</x:v>
      </x:c>
      <x:c r="E175" s="13" t="str">
        <x:v>Вторник</x:v>
      </x:c>
      <x:c r="F175" s="13" t="str">
        <x:v>Тренировка A — техника/объём</x:v>
      </x:c>
      <x:c r="G175" s="44" t="n">
        <x:v>0.011805555555555555</x:v>
      </x:c>
      <x:c r="H175" s="44" t="n">
        <x:v>0.014583333333333334</x:v>
      </x:c>
      <x:c r="I175" s="32" t="n">
        <x:f>ROUND((H175-G175)*1440,0)</x:f>
        <x:v>4</x:v>
      </x:c>
      <x:c r="J175" s="13" t="str">
        <x:v>Разминочное лазание</x:v>
      </x:c>
      <x:c r="K175" s="13" t="str">
        <x:v>Пройди 2 очень лёгкие трассы уровня 1–2; двигайся медленно, спускайся по зацепам.</x:v>
      </x:c>
      <x:c r="L175" s="13" t="str">
        <x:v>☐ Не начато</x:v>
      </x:c>
      <x:c r="M175" s="13" t="str">
        <x:v>Обязательно</x:v>
      </x:c>
      <x:c r="N175" s="13" t="str">
        <x:v>RPE 2–3</x:v>
      </x:c>
      <x:c r="O175" s="13" t="str">
        <x:v>Финиш с обязательным болезненным mantle/press пропусти.</x:v>
      </x:c>
      <x:c r="P175" s="13" t="str">
        <x:v>milestone_01_foundation/week_03_2026-09-21/02_TUESDAY.md</x:v>
      </x:c>
      <x:c r="Q175" s="138" t="str">
        <x:v>Markdown</x:v>
      </x:c>
      <x:c r="R175" s="20" t="str"/>
    </x:row>
    <x:row r="176" ht="36" customHeight="1">
      <x:c r="A176" s="19" t="str">
        <x:v>W03-20260922-0175</x:v>
      </x:c>
      <x:c r="B176" s="13" t="n">
        <x:v>3</x:v>
      </x:c>
      <x:c r="C176" s="13" t="str">
        <x:v>Этап 1 — База, разминка и исходная точка</x:v>
      </x:c>
      <x:c r="D176" s="138" t="str">
        <x:v>2026-09-22</x:v>
      </x:c>
      <x:c r="E176" s="13" t="str">
        <x:v>Вторник</x:v>
      </x:c>
      <x:c r="F176" s="13" t="str">
        <x:v>Тренировка A — техника/объём</x:v>
      </x:c>
      <x:c r="G176" s="44" t="n">
        <x:v>0.014583333333333334</x:v>
      </x:c>
      <x:c r="H176" s="44" t="n">
        <x:v>0.017361111111111112</x:v>
      </x:c>
      <x:c r="I176" s="32" t="n">
        <x:f>ROUND((H176-G176)*1440,0)</x:f>
        <x:v>4</x:v>
      </x:c>
      <x:c r="J176" s="13" t="str">
        <x:v>Разминочное лазание</x:v>
      </x:c>
      <x:c r="K176" s="13" t="str">
        <x:v>Пройди 2 трассы уровня 2–3, затем сделай 2–3 движения на комфортной четвёрке. Между ними 45–60 секунд.</x:v>
      </x:c>
      <x:c r="L176" s="13" t="str">
        <x:v>☐ Не начато</x:v>
      </x:c>
      <x:c r="M176" s="13" t="str">
        <x:v>Обязательно</x:v>
      </x:c>
      <x:c r="N176" s="13" t="str">
        <x:v>RPE 3–4</x:v>
      </x:c>
      <x:c r="O176" s="13" t="str">
        <x:v>Разминка не должна утомить пальцы.</x:v>
      </x:c>
      <x:c r="P176" s="13" t="str">
        <x:v>milestone_01_foundation/week_03_2026-09-21/02_TUESDAY.md</x:v>
      </x:c>
      <x:c r="Q176" s="138" t="str">
        <x:v>Markdown</x:v>
      </x:c>
      <x:c r="R176" s="20" t="str"/>
    </x:row>
    <x:row r="177" ht="36" customHeight="1">
      <x:c r="A177" s="19" t="str">
        <x:v>W03-20260922-0176</x:v>
      </x:c>
      <x:c r="B177" s="13" t="n">
        <x:v>3</x:v>
      </x:c>
      <x:c r="C177" s="13" t="str">
        <x:v>Этап 1 — База, разминка и исходная точка</x:v>
      </x:c>
      <x:c r="D177" s="138" t="str">
        <x:v>2026-09-22</x:v>
      </x:c>
      <x:c r="E177" s="13" t="str">
        <x:v>Вторник</x:v>
      </x:c>
      <x:c r="F177" s="13" t="str">
        <x:v>Тренировка A — техника/объём</x:v>
      </x:c>
      <x:c r="G177" s="44" t="n">
        <x:v>0.017361111111111112</x:v>
      </x:c>
      <x:c r="H177" s="44" t="n">
        <x:v>0.02013888888888889</x:v>
      </x:c>
      <x:c r="I177" s="32" t="n">
        <x:f>ROUND((H177-G177)*1440,0)</x:f>
        <x:v>4</x:v>
      </x:c>
      <x:c r="J177" s="13" t="str">
        <x:v>Выбор трасс</x:v>
      </x:c>
      <x:c r="K177" s="13" t="str">
        <x:v>Найди трассы для упражнения: 3 трассы 2–3, которые ты ещё не делал. До старта 60 секунд чтения; первая попытка без подсказки.</x:v>
      </x:c>
      <x:c r="L177" s="13" t="str">
        <x:v>☐ Не начато</x:v>
      </x:c>
      <x:c r="M177" s="13" t="str">
        <x:v>Обязательно</x:v>
      </x:c>
      <x:c r="N177" s="13" t="str">
        <x:v>Без нагрузки</x:v>
      </x:c>
      <x:c r="O177" s="13" t="str">
        <x:v>Не повторять движение, если оно вызывает боль. Снимать весь корпус и обе ноги, а не только руки.</x:v>
      </x:c>
      <x:c r="P177" s="13" t="str">
        <x:v>milestone_01_foundation/week_03_2026-09-21/02_TUESDAY.md</x:v>
      </x:c>
      <x:c r="Q177" s="138" t="str">
        <x:v>Markdown</x:v>
      </x:c>
      <x:c r="R177" s="20" t="str"/>
    </x:row>
    <x:row r="178" ht="36" customHeight="1">
      <x:c r="A178" s="19" t="str">
        <x:v>W03-20260922-0177</x:v>
      </x:c>
      <x:c r="B178" s="13" t="n">
        <x:v>3</x:v>
      </x:c>
      <x:c r="C178" s="13" t="str">
        <x:v>Этап 1 — База, разминка и исходная точка</x:v>
      </x:c>
      <x:c r="D178" s="138" t="str">
        <x:v>2026-09-22</x:v>
      </x:c>
      <x:c r="E178" s="13" t="str">
        <x:v>Вторник</x:v>
      </x:c>
      <x:c r="F178" s="13" t="str">
        <x:v>Тренировка A — техника/объём</x:v>
      </x:c>
      <x:c r="G178" s="44" t="n">
        <x:v>0.02013888888888889</x:v>
      </x:c>
      <x:c r="H178" s="44" t="n">
        <x:v>0.03194444444444444</x:v>
      </x:c>
      <x:c r="I178" s="32" t="n">
        <x:f>ROUND((H178-G178)*1440,0)</x:f>
        <x:v>17</x:v>
      </x:c>
      <x:c r="J178" s="13" t="str">
        <x:v>Технический блок</x:v>
      </x:c>
      <x:c r="K178" s="13" t="str">
        <x:v>Отработай «Чтение трассы и одна гипотеза». Шаги: 60 секунд до старта: назови руки, ноги, направление таза и вероятный crux. Представь движение целиком, включая позицию после захвата. После попытки запиши одну причину остановки.</x:v>
      </x:c>
      <x:c r="L178" s="13" t="str">
        <x:v>☐ Не начато</x:v>
      </x:c>
      <x:c r="M178" s="13" t="str">
        <x:v>Обязательно</x:v>
      </x:c>
      <x:c r="N178" s="13" t="str">
        <x:v>RPE 3–5</x:v>
      </x:c>
      <x:c r="O178" s="13" t="str">
        <x:v>Телефон ставить вне зоны падения; в кадре должны быть обе ноги и весь корпус.</x:v>
      </x:c>
      <x:c r="P178" s="13" t="str">
        <x:v>milestone_01_foundation/week_03_2026-09-21/02_TUESDAY.md</x:v>
      </x:c>
      <x:c r="Q178" s="138" t="str">
        <x:v>Markdown</x:v>
      </x:c>
      <x:c r="R178" s="20" t="str"/>
    </x:row>
    <x:row r="179" ht="36" customHeight="1">
      <x:c r="A179" s="19" t="str">
        <x:v>W03-20260922-0178</x:v>
      </x:c>
      <x:c r="B179" s="13" t="n">
        <x:v>3</x:v>
      </x:c>
      <x:c r="C179" s="13" t="str">
        <x:v>Этап 1 — База, разминка и исходная точка</x:v>
      </x:c>
      <x:c r="D179" s="138" t="str">
        <x:v>2026-09-22</x:v>
      </x:c>
      <x:c r="E179" s="13" t="str">
        <x:v>Вторник</x:v>
      </x:c>
      <x:c r="F179" s="13" t="str">
        <x:v>Тренировка A — техника/объём</x:v>
      </x:c>
      <x:c r="G179" s="44" t="n">
        <x:v>0.03194444444444444</x:v>
      </x:c>
      <x:c r="H179" s="44" t="n">
        <x:v>0.035416666666666666</x:v>
      </x:c>
      <x:c r="I179" s="32" t="n">
        <x:f>ROUND((H179-G179)*1440,0)</x:f>
        <x:v>5</x:v>
      </x:c>
      <x:c r="J179" s="13" t="str">
        <x:v>Обратная связь</x:v>
      </x:c>
      <x:c r="K179" s="13" t="str">
        <x:v>Повтори лучшую лёгкую трассу и проверь критерий успеха: После каждой попытки есть конкретная гипотеза, а не только «не хватило сил».</x:v>
      </x:c>
      <x:c r="L179" s="13" t="str">
        <x:v>☐ Не начато</x:v>
      </x:c>
      <x:c r="M179" s="13" t="str">
        <x:v>Обязательно</x:v>
      </x:c>
      <x:c r="N179" s="13" t="str">
        <x:v>RPE 4–5</x:v>
      </x:c>
      <x:c r="O179" s="13" t="str"/>
      <x:c r="P179" s="13" t="str">
        <x:v>milestone_01_foundation/week_03_2026-09-21/02_TUESDAY.md</x:v>
      </x:c>
      <x:c r="Q179" s="138" t="str">
        <x:v>Markdown</x:v>
      </x:c>
      <x:c r="R179" s="20" t="str"/>
    </x:row>
    <x:row r="180" ht="36" customHeight="1">
      <x:c r="A180" s="19" t="str">
        <x:v>W03-20260922-0179</x:v>
      </x:c>
      <x:c r="B180" s="13" t="n">
        <x:v>3</x:v>
      </x:c>
      <x:c r="C180" s="13" t="str">
        <x:v>Этап 1 — База, разминка и исходная точка</x:v>
      </x:c>
      <x:c r="D180" s="138" t="str">
        <x:v>2026-09-22</x:v>
      </x:c>
      <x:c r="E180" s="13" t="str">
        <x:v>Вторник</x:v>
      </x:c>
      <x:c r="F180" s="13" t="str">
        <x:v>Тренировка A — техника/объём</x:v>
      </x:c>
      <x:c r="G180" s="44" t="n">
        <x:v>0.035416666666666666</x:v>
      </x:c>
      <x:c r="H180" s="44" t="n">
        <x:v>0.04583333333333333</x:v>
      </x:c>
      <x:c r="I180" s="32" t="n">
        <x:f>ROUND((H180-G180)*1440,0)</x:f>
        <x:v>15</x:v>
      </x:c>
      <x:c r="J180" s="13" t="str">
        <x:v>Качественный объём</x:v>
      </x:c>
      <x:c r="K180" s="13" t="str">
        <x:v>Попробуй 2–3 четвёрки, максимум 2 попытки на каждую, отдых 2:00. На неудаче назови техническую причину.</x:v>
      </x:c>
      <x:c r="L180" s="13" t="str">
        <x:v>☐ Не начато</x:v>
      </x:c>
      <x:c r="M180" s="13" t="str">
        <x:v>Обязательно</x:v>
      </x:c>
      <x:c r="N180" s="13" t="str">
        <x:v>RPE 6–7</x:v>
      </x:c>
      <x:c r="O180" s="13" t="str">
        <x:v>Не выбирать подряд три трассы на одинаково маленьких кромках.</x:v>
      </x:c>
      <x:c r="P180" s="13" t="str">
        <x:v>milestone_01_foundation/week_03_2026-09-21/02_TUESDAY.md</x:v>
      </x:c>
      <x:c r="Q180" s="138" t="str">
        <x:v>Markdown</x:v>
      </x:c>
      <x:c r="R180" s="20" t="str"/>
    </x:row>
    <x:row r="181" ht="36" customHeight="1">
      <x:c r="A181" s="19" t="str">
        <x:v>W03-20260922-0180</x:v>
      </x:c>
      <x:c r="B181" s="13" t="n">
        <x:v>3</x:v>
      </x:c>
      <x:c r="C181" s="13" t="str">
        <x:v>Этап 1 — База, разминка и исходная точка</x:v>
      </x:c>
      <x:c r="D181" s="138" t="str">
        <x:v>2026-09-22</x:v>
      </x:c>
      <x:c r="E181" s="13" t="str">
        <x:v>Вторник</x:v>
      </x:c>
      <x:c r="F181" s="13" t="str">
        <x:v>Тренировка A — техника/объём</x:v>
      </x:c>
      <x:c r="G181" s="44" t="n">
        <x:v>0.04583333333333333</x:v>
      </x:c>
      <x:c r="H181" s="44" t="n">
        <x:v>0.052083333333333336</x:v>
      </x:c>
      <x:c r="I181" s="32" t="n">
        <x:f>ROUND((H181-G181)*1440,0)</x:f>
        <x:v>9</x:v>
      </x:c>
      <x:c r="J181" s="13" t="str">
        <x:v>Рабочая пятёрка</x:v>
      </x:c>
      <x:c r="K181" s="13" t="str">
        <x:v>Одна пятёрка, максимум 2 попытки, отдых 3:00. Цель — применить тему недели, а не обязательно закрыть.</x:v>
      </x:c>
      <x:c r="L181" s="13" t="str">
        <x:v>☐ Не начато</x:v>
      </x:c>
      <x:c r="M181" s="13" t="str">
        <x:v>Обязательно</x:v>
      </x:c>
      <x:c r="N181" s="13" t="str">
        <x:v>RPE 7–8</x:v>
      </x:c>
      <x:c r="O181" s="13" t="str">
        <x:v>Не повторять движение, если оно вызывает боль. Снимать весь корпус и обе ноги, а не только руки.</x:v>
      </x:c>
      <x:c r="P181" s="13" t="str">
        <x:v>milestone_01_foundation/week_03_2026-09-21/02_TUESDAY.md</x:v>
      </x:c>
      <x:c r="Q181" s="138" t="str">
        <x:v>Markdown</x:v>
      </x:c>
      <x:c r="R181" s="20" t="str"/>
    </x:row>
    <x:row r="182" ht="36" customHeight="1">
      <x:c r="A182" s="19" t="str">
        <x:v>W03-20260922-0181</x:v>
      </x:c>
      <x:c r="B182" s="13" t="n">
        <x:v>3</x:v>
      </x:c>
      <x:c r="C182" s="13" t="str">
        <x:v>Этап 1 — База, разминка и исходная точка</x:v>
      </x:c>
      <x:c r="D182" s="138" t="str">
        <x:v>2026-09-22</x:v>
      </x:c>
      <x:c r="E182" s="13" t="str">
        <x:v>Вторник</x:v>
      </x:c>
      <x:c r="F182" s="13" t="str">
        <x:v>Тренировка A — техника/объём</x:v>
      </x:c>
      <x:c r="G182" s="44" t="n">
        <x:v>0.052083333333333336</x:v>
      </x:c>
      <x:c r="H182" s="44" t="n">
        <x:v>0.058333333333333334</x:v>
      </x:c>
      <x:c r="I182" s="32" t="n">
        <x:f>ROUND((H182-G182)*1440,0)</x:f>
        <x:v>9</x:v>
      </x:c>
      <x:c r="J182" s="13" t="str">
        <x:v>Лёгкая выносливость</x:v>
      </x:c>
      <x:c r="K182" s="13" t="str">
        <x:v>Начни 2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82" s="13" t="str">
        <x:v>☐ Не начато</x:v>
      </x:c>
      <x:c r="M182" s="13" t="str">
        <x:v>Обязательно</x:v>
      </x:c>
      <x:c r="N182" s="13" t="str">
        <x:v>Памп максимум 4/10</x:v>
      </x:c>
      <x:c r="O182" s="13" t="str">
        <x:v>Остановиться при неточной постановке ног или разжимании пальцев.</x:v>
      </x:c>
      <x:c r="P182" s="13" t="str">
        <x:v>milestone_01_foundation/week_03_2026-09-21/02_TUESDAY.md</x:v>
      </x:c>
      <x:c r="Q182" s="138" t="str">
        <x:v>Markdown</x:v>
      </x:c>
      <x:c r="R182" s="20" t="str"/>
    </x:row>
    <x:row r="183" ht="36" customHeight="1">
      <x:c r="A183" s="19" t="str">
        <x:v>W03-20260922-0182</x:v>
      </x:c>
      <x:c r="B183" s="13" t="n">
        <x:v>3</x:v>
      </x:c>
      <x:c r="C183" s="13" t="str">
        <x:v>Этап 1 — База, разминка и исходная точка</x:v>
      </x:c>
      <x:c r="D183" s="138" t="str">
        <x:v>2026-09-22</x:v>
      </x:c>
      <x:c r="E183" s="13" t="str">
        <x:v>Вторник</x:v>
      </x:c>
      <x:c r="F183" s="13" t="str">
        <x:v>Тренировка A — техника/объём</x:v>
      </x:c>
      <x:c r="G183" s="44" t="n">
        <x:v>0.058333333333333334</x:v>
      </x:c>
      <x:c r="H183" s="44" t="n">
        <x:v>0.06041666666666667</x:v>
      </x:c>
      <x:c r="I183" s="32" t="n">
        <x:f>ROUND((H183-G183)*1440,0)</x:f>
        <x:v>3</x:v>
      </x:c>
      <x:c r="J183" s="13" t="str">
        <x:v>Завершение</x:v>
      </x:c>
      <x:c r="K183" s="13" t="str">
        <x:v>Очень лёгкий спуск/ходьба и спокойное встряхивание кистей.</x:v>
      </x:c>
      <x:c r="L183" s="13" t="str">
        <x:v>☐ Не начато</x:v>
      </x:c>
      <x:c r="M183" s="13" t="str">
        <x:v>Обязательно</x:v>
      </x:c>
      <x:c r="N183" s="13" t="str">
        <x:v>RPE 1–2</x:v>
      </x:c>
      <x:c r="O183" s="13" t="str"/>
      <x:c r="P183" s="13" t="str">
        <x:v>milestone_01_foundation/week_03_2026-09-21/02_TUESDAY.md</x:v>
      </x:c>
      <x:c r="Q183" s="138" t="str">
        <x:v>Markdown</x:v>
      </x:c>
      <x:c r="R183" s="20" t="str"/>
    </x:row>
    <x:row r="184" ht="36" customHeight="1">
      <x:c r="A184" s="19" t="str">
        <x:v>W03-20260922-0183</x:v>
      </x:c>
      <x:c r="B184" s="13" t="n">
        <x:v>3</x:v>
      </x:c>
      <x:c r="C184" s="13" t="str">
        <x:v>Этап 1 — База, разминка и исходная точка</x:v>
      </x:c>
      <x:c r="D184" s="138" t="str">
        <x:v>2026-09-22</x:v>
      </x:c>
      <x:c r="E184" s="13" t="str">
        <x:v>Вторник</x:v>
      </x:c>
      <x:c r="F184" s="13" t="str">
        <x:v>Тренировка A — техника/объём</x:v>
      </x:c>
      <x:c r="G184" s="44" t="n">
        <x:v>0.06041666666666667</x:v>
      </x:c>
      <x:c r="H184" s="44" t="n">
        <x:v>0.0625</x:v>
      </x:c>
      <x:c r="I184" s="32" t="n">
        <x:f>ROUND((H184-G184)*1440,0)</x:f>
        <x:v>3</x:v>
      </x:c>
      <x:c r="J184" s="13" t="str">
        <x:v>Журнал</x:v>
      </x:c>
      <x:c r="K184" s="13" t="str">
        <x:v>Запиши: Сравнить предсказанную бету с реальной: что было угадано, что пришлось изменить. Также отметь минуту первой просадки хвата.</x:v>
      </x:c>
      <x:c r="L184" s="13" t="str">
        <x:v>☐ Не начато</x:v>
      </x:c>
      <x:c r="M184" s="13" t="str">
        <x:v>Обязательно</x:v>
      </x:c>
      <x:c r="N184" s="13" t="str">
        <x:v>Без нагрузки</x:v>
      </x:c>
      <x:c r="O184" s="13" t="str"/>
      <x:c r="P184" s="13" t="str">
        <x:v>milestone_01_foundation/week_03_2026-09-21/02_TUESDAY.md</x:v>
      </x:c>
      <x:c r="Q184" s="138" t="str">
        <x:v>Markdown</x:v>
      </x:c>
      <x:c r="R184" s="20" t="str"/>
    </x:row>
    <x:row r="185" ht="36" customHeight="1">
      <x:c r="A185" s="19" t="str">
        <x:v>W03-20260923-0184</x:v>
      </x:c>
      <x:c r="B185" s="13" t="n">
        <x:v>3</x:v>
      </x:c>
      <x:c r="C185" s="13" t="str">
        <x:v>Этап 1 — База, разминка и исходная точка</x:v>
      </x:c>
      <x:c r="D185" s="138" t="str">
        <x:v>2026-09-23</x:v>
      </x:c>
      <x:c r="E185" s="13" t="str">
        <x:v>Среда</x:v>
      </x:c>
      <x:c r="F185" s="13" t="str">
        <x:v>Восстановление / видео</x:v>
      </x:c>
      <x:c r="G185" s="44" t="n">
        <x:v>0</x:v>
      </x:c>
      <x:c r="H185" s="44" t="n">
        <x:v>0.006944444444444444</x:v>
      </x:c>
      <x:c r="I185" s="32" t="n">
        <x:f>ROUND((H185-G185)*1440,0)</x:f>
        <x:v>10</x:v>
      </x:c>
      <x:c r="J185" s="13" t="str">
        <x:v>Восстановление</x:v>
      </x:c>
      <x:c r="K185" s="13" t="str">
        <x:v>10 минут спокойной ходьбы. Руки расслаблены; это не тренировка выносливости.</x:v>
      </x:c>
      <x:c r="L185" s="13" t="str">
        <x:v>☐ Не начато</x:v>
      </x:c>
      <x:c r="M185" s="13" t="str">
        <x:v>Обязательно</x:v>
      </x:c>
      <x:c r="N185" s="13" t="str">
        <x:v>RPE 1–2</x:v>
      </x:c>
      <x:c r="O185" s="13" t="str"/>
      <x:c r="P185" s="13" t="str">
        <x:v>milestone_01_foundation/week_03_2026-09-21/03_WEDNESDAY.md</x:v>
      </x:c>
      <x:c r="Q185" s="138" t="str">
        <x:v>Markdown</x:v>
      </x:c>
      <x:c r="R185" s="20" t="str"/>
    </x:row>
    <x:row r="186" ht="36" customHeight="1">
      <x:c r="A186" s="19" t="str">
        <x:v>W03-20260923-0185</x:v>
      </x:c>
      <x:c r="B186" s="13" t="n">
        <x:v>3</x:v>
      </x:c>
      <x:c r="C186" s="13" t="str">
        <x:v>Этап 1 — База, разминка и исходная точка</x:v>
      </x:c>
      <x:c r="D186" s="138" t="str">
        <x:v>2026-09-23</x:v>
      </x:c>
      <x:c r="E186" s="13" t="str">
        <x:v>Среда</x:v>
      </x:c>
      <x:c r="F186" s="13" t="str">
        <x:v>Восстановление / видео</x:v>
      </x:c>
      <x:c r="G186" s="44" t="n">
        <x:v>0.006944444444444444</x:v>
      </x:c>
      <x:c r="H186" s="44" t="n">
        <x:v>0.009027777777777777</x:v>
      </x:c>
      <x:c r="I186" s="32" t="n">
        <x:f>ROUND((H186-G186)*1440,0)</x:f>
        <x:v>3</x:v>
      </x:c>
      <x:c r="J186" s="13" t="str">
        <x:v>Самопроверка</x:v>
      </x:c>
      <x:c r="K186" s="13" t="str">
        <x:v>Оцени реакцию после вторника: плечо, пальцы, правое колено 0–10. Запиши, что изменилось относительно вчерашнего утра.</x:v>
      </x:c>
      <x:c r="L186" s="13" t="str">
        <x:v>☐ Не начато</x:v>
      </x:c>
      <x:c r="M186" s="13" t="str">
        <x:v>Обязательно</x:v>
      </x:c>
      <x:c r="N186" s="13" t="str">
        <x:v>Без нагрузки</x:v>
      </x:c>
      <x:c r="O186" s="13" t="str">
        <x:v>Острая локальная боль пальца или ухудшение плеча = не делать четверговую пальцевую нагрузку.</x:v>
      </x:c>
      <x:c r="P186" s="13" t="str">
        <x:v>milestone_01_foundation/week_03_2026-09-21/03_WEDNESDAY.md</x:v>
      </x:c>
      <x:c r="Q186" s="138" t="str">
        <x:v>Markdown</x:v>
      </x:c>
      <x:c r="R186" s="20" t="str"/>
    </x:row>
    <x:row r="187" ht="36" customHeight="1">
      <x:c r="A187" s="19" t="str">
        <x:v>W03-20260923-0186</x:v>
      </x:c>
      <x:c r="B187" s="13" t="n">
        <x:v>3</x:v>
      </x:c>
      <x:c r="C187" s="13" t="str">
        <x:v>Этап 1 — База, разминка и исходная точка</x:v>
      </x:c>
      <x:c r="D187" s="138" t="str">
        <x:v>2026-09-23</x:v>
      </x:c>
      <x:c r="E187" s="13" t="str">
        <x:v>Среда</x:v>
      </x:c>
      <x:c r="F187" s="13" t="str">
        <x:v>Восстановление / видео</x:v>
      </x:c>
      <x:c r="G187" s="44" t="n">
        <x:v>0.009027777777777777</x:v>
      </x:c>
      <x:c r="H187" s="44" t="n">
        <x:v>0.01597222222222222</x:v>
      </x:c>
      <x:c r="I187" s="32" t="n">
        <x:f>ROUND((H187-G187)*1440,0)</x:f>
        <x:v>10</x:v>
      </x:c>
      <x:c r="J187" s="13" t="str">
        <x:v>Видеоразбор</x:v>
      </x:c>
      <x:c r="K187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87" s="13" t="str">
        <x:v>☐ Не начато</x:v>
      </x:c>
      <x:c r="M187" s="13" t="str">
        <x:v>Обязательно</x:v>
      </x:c>
      <x:c r="N187" s="13" t="str">
        <x:v>Без нагрузки</x:v>
      </x:c>
      <x:c r="O187" s="13" t="str"/>
      <x:c r="P187" s="13" t="str">
        <x:v>milestone_01_foundation/week_03_2026-09-21/03_WEDNESDAY.md</x:v>
      </x:c>
      <x:c r="Q187" s="138" t="str">
        <x:v>Markdown</x:v>
      </x:c>
      <x:c r="R187" s="20" t="str"/>
    </x:row>
    <x:row r="188" ht="36" customHeight="1">
      <x:c r="A188" s="19" t="str">
        <x:v>W03-20260923-0187</x:v>
      </x:c>
      <x:c r="B188" s="13" t="n">
        <x:v>3</x:v>
      </x:c>
      <x:c r="C188" s="13" t="str">
        <x:v>Этап 1 — База, разминка и исходная точка</x:v>
      </x:c>
      <x:c r="D188" s="138" t="str">
        <x:v>2026-09-23</x:v>
      </x:c>
      <x:c r="E188" s="13" t="str">
        <x:v>Среда</x:v>
      </x:c>
      <x:c r="F188" s="13" t="str">
        <x:v>Восстановление / видео</x:v>
      </x:c>
      <x:c r="G188" s="44" t="n">
        <x:v>0.01597222222222222</x:v>
      </x:c>
      <x:c r="H188" s="44" t="n">
        <x:v>0.01875</x:v>
      </x:c>
      <x:c r="I188" s="32" t="n">
        <x:f>ROUND((H188-G188)*1440,0)</x:f>
        <x:v>4</x:v>
      </x:c>
      <x:c r="J188" s="13" t="str">
        <x:v>Конспект</x:v>
      </x:c>
      <x:c r="K188" s="13" t="str">
        <x:v>Запиши одну правку на четверг в формате «В следующей попытке я…». Используй cue: «Перед стартом назови руки, ноги, направление таза и предполагаемый crux.».</x:v>
      </x:c>
      <x:c r="L188" s="13" t="str">
        <x:v>☐ Не начато</x:v>
      </x:c>
      <x:c r="M188" s="13" t="str">
        <x:v>Обязательно</x:v>
      </x:c>
      <x:c r="N188" s="13" t="str">
        <x:v>Без нагрузки</x:v>
      </x:c>
      <x:c r="O188" s="13" t="str"/>
      <x:c r="P188" s="13" t="str">
        <x:v>milestone_01_foundation/week_03_2026-09-21/03_WEDNESDAY.md</x:v>
      </x:c>
      <x:c r="Q188" s="138" t="str">
        <x:v>Markdown</x:v>
      </x:c>
      <x:c r="R188" s="20" t="str"/>
    </x:row>
    <x:row r="189" ht="36" customHeight="1">
      <x:c r="A189" s="19" t="str">
        <x:v>W03-20260923-0188</x:v>
      </x:c>
      <x:c r="B189" s="13" t="n">
        <x:v>3</x:v>
      </x:c>
      <x:c r="C189" s="13" t="str">
        <x:v>Этап 1 — База, разминка и исходная точка</x:v>
      </x:c>
      <x:c r="D189" s="138" t="str">
        <x:v>2026-09-23</x:v>
      </x:c>
      <x:c r="E189" s="13" t="str">
        <x:v>Среда</x:v>
      </x:c>
      <x:c r="F189" s="13" t="str">
        <x:v>Восстановление / видео</x:v>
      </x:c>
      <x:c r="G189" s="44" t="n">
        <x:v>0.01875</x:v>
      </x:c>
      <x:c r="H189" s="44" t="n">
        <x:v>0.027083333333333334</x:v>
      </x:c>
      <x:c r="I189" s="32" t="n">
        <x:f>ROUND((H189-G189)*1440,0)</x:f>
        <x:v>12</x:v>
      </x:c>
      <x:c r="J189" s="13" t="str">
        <x:v>Домашняя мобильность</x:v>
      </x:c>
      <x:c r="K189" s="13" t="str">
        <x:v>Выполни комплекс H3 «Мобильность таза и контроль корпуса», 12 минут. Ни турника, ни колец для дополнительного хвата.</x:v>
      </x:c>
      <x:c r="L189" s="13" t="str">
        <x:v>☐ Не начато</x:v>
      </x:c>
      <x:c r="M189" s="13" t="str">
        <x:v>Обязательно</x:v>
      </x:c>
      <x:c r="N189" s="13" t="str">
        <x:v>RPE 2–3</x:v>
      </x:c>
      <x:c r="O189" s="13" t="str">
        <x:v>Никаких скручиваний через боль. Плечом не отталкивайся от стены; касание только для равновесия.</x:v>
      </x:c>
      <x:c r="P189" s="13" t="str">
        <x:v>milestone_01_foundation/week_03_2026-09-21/03_WEDNESDAY.md</x:v>
      </x:c>
      <x:c r="Q189" s="138" t="str">
        <x:v>Markdown</x:v>
      </x:c>
      <x:c r="R189" s="20" t="str"/>
    </x:row>
    <x:row r="190" ht="36" customHeight="1">
      <x:c r="A190" s="19" t="str">
        <x:v>W03-20260923-0189</x:v>
      </x:c>
      <x:c r="B190" s="13" t="n">
        <x:v>3</x:v>
      </x:c>
      <x:c r="C190" s="13" t="str">
        <x:v>Этап 1 — База, разминка и исходная точка</x:v>
      </x:c>
      <x:c r="D190" s="138" t="str">
        <x:v>2026-09-23</x:v>
      </x:c>
      <x:c r="E190" s="13" t="str">
        <x:v>Среда</x:v>
      </x:c>
      <x:c r="F190" s="13" t="str">
        <x:v>Восстановление / видео</x:v>
      </x:c>
      <x:c r="G190" s="44" t="n">
        <x:v>0.027083333333333334</x:v>
      </x:c>
      <x:c r="H190" s="44" t="n">
        <x:v>0.04097222222222222</x:v>
      </x:c>
      <x:c r="I190" s="32" t="n">
        <x:f>ROUND((H190-G190)*1440,0)</x:f>
        <x:v>20</x:v>
      </x:c>
      <x:c r="J190" s="13" t="str">
        <x:v>Физиотерапия</x:v>
      </x:c>
      <x:c r="K190" s="13" t="str">
        <x:v>Выполни свой назначенный физиотерапевтом комплекс, если среда входит в его расписание.</x:v>
      </x:c>
      <x:c r="L190" s="13" t="str">
        <x:v>☐ Не начато</x:v>
      </x:c>
      <x:c r="M190" s="13" t="str">
        <x:v>По назначению</x:v>
      </x:c>
      <x:c r="N190" s="13" t="str">
        <x:v>По назначению</x:v>
      </x:c>
      <x:c r="O190" s="13" t="str">
        <x:v>Назначения физиотерапевта имеют приоритет.</x:v>
      </x:c>
      <x:c r="P190" s="13" t="str">
        <x:v>milestone_01_foundation/week_03_2026-09-21/03_WEDNESDAY.md</x:v>
      </x:c>
      <x:c r="Q190" s="138" t="str">
        <x:v>Markdown</x:v>
      </x:c>
      <x:c r="R190" s="20" t="str"/>
    </x:row>
    <x:row r="191" ht="36" customHeight="1">
      <x:c r="A191" s="19" t="str">
        <x:v>W03-20260923-0190</x:v>
      </x:c>
      <x:c r="B191" s="13" t="n">
        <x:v>3</x:v>
      </x:c>
      <x:c r="C191" s="13" t="str">
        <x:v>Этап 1 — База, разминка и исходная точка</x:v>
      </x:c>
      <x:c r="D191" s="138" t="str">
        <x:v>2026-09-23</x:v>
      </x:c>
      <x:c r="E191" s="13" t="str">
        <x:v>Среда</x:v>
      </x:c>
      <x:c r="F191" s="13" t="str">
        <x:v>Восстановление / видео</x:v>
      </x:c>
      <x:c r="G191" s="44" t="n">
        <x:v>0.04097222222222222</x:v>
      </x:c>
      <x:c r="H191" s="44" t="n">
        <x:v>0.043055555555555555</x:v>
      </x:c>
      <x:c r="I191" s="32" t="n">
        <x:f>ROUND((H191-G191)*1440,0)</x:f>
        <x:v>3</x:v>
      </x:c>
      <x:c r="J191" s="13" t="str">
        <x:v>Запрет лишней нагрузки</x:v>
      </x:c>
      <x:c r="K191" s="13" t="str">
        <x:v>Поставь отметку: сегодня не было висов, подтягиваний «на проверку», эспандера-сжимателя или тяжёлого ношения.</x:v>
      </x:c>
      <x:c r="L191" s="13" t="str">
        <x:v>☐ Не начато</x:v>
      </x:c>
      <x:c r="M191" s="13" t="str">
        <x:v>Обязательно</x:v>
      </x:c>
      <x:c r="N191" s="13" t="str">
        <x:v>Восстановление</x:v>
      </x:c>
      <x:c r="O191" s="13" t="str"/>
      <x:c r="P191" s="13" t="str">
        <x:v>milestone_01_foundation/week_03_2026-09-21/03_WEDNESDAY.md</x:v>
      </x:c>
      <x:c r="Q191" s="138" t="str">
        <x:v>Markdown</x:v>
      </x:c>
      <x:c r="R191" s="20" t="str"/>
    </x:row>
    <x:row r="192" ht="36" customHeight="1">
      <x:c r="A192" s="19" t="str">
        <x:v>W03-20260924-0191</x:v>
      </x:c>
      <x:c r="B192" s="13" t="n">
        <x:v>3</x:v>
      </x:c>
      <x:c r="C192" s="13" t="str">
        <x:v>Этап 1 — База, разминка и исходная точка</x:v>
      </x:c>
      <x:c r="D192" s="138" t="str">
        <x:v>2026-09-24</x:v>
      </x:c>
      <x:c r="E192" s="13" t="str">
        <x:v>Четверг</x:v>
      </x:c>
      <x:c r="F192" s="13" t="str">
        <x:v>Тренировка B — пальцы/проект</x:v>
      </x:c>
      <x:c r="G192" s="44" t="n">
        <x:v>0</x:v>
      </x:c>
      <x:c r="H192" s="44" t="n">
        <x:v>0.0020833333333333333</x:v>
      </x:c>
      <x:c r="I192" s="32" t="n">
        <x:f>ROUND((H192-G192)*1440,0)</x:f>
        <x:v>3</x:v>
      </x:c>
      <x:c r="J192" s="13" t="str">
        <x:v>Самопроверка</x:v>
      </x:c>
      <x:c r="K19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92" s="13" t="str">
        <x:v>☐ Не начато</x:v>
      </x:c>
      <x:c r="M192" s="13" t="str">
        <x:v>Обязательно</x:v>
      </x:c>
      <x:c r="N192" s="13" t="str">
        <x:v>Без нагрузки</x:v>
      </x:c>
      <x:c r="O192" s="13" t="str">
        <x:v>Красный флаг = не начинать пальцевую нагрузку.</x:v>
      </x:c>
      <x:c r="P192" s="13" t="str">
        <x:v>milestone_01_foundation/week_03_2026-09-21/04_THURSDAY.md</x:v>
      </x:c>
      <x:c r="Q192" s="138" t="str">
        <x:v>Markdown</x:v>
      </x:c>
      <x:c r="R192" s="20" t="str"/>
    </x:row>
    <x:row r="193" ht="36" customHeight="1">
      <x:c r="A193" s="19" t="str">
        <x:v>W03-20260924-0192</x:v>
      </x:c>
      <x:c r="B193" s="13" t="n">
        <x:v>3</x:v>
      </x:c>
      <x:c r="C193" s="13" t="str">
        <x:v>Этап 1 — База, разминка и исходная точка</x:v>
      </x:c>
      <x:c r="D193" s="138" t="str">
        <x:v>2026-09-24</x:v>
      </x:c>
      <x:c r="E193" s="13" t="str">
        <x:v>Четверг</x:v>
      </x:c>
      <x:c r="F193" s="13" t="str">
        <x:v>Тренировка B — пальцы/проект</x:v>
      </x:c>
      <x:c r="G193" s="44" t="n">
        <x:v>0.0020833333333333333</x:v>
      </x:c>
      <x:c r="H193" s="44" t="n">
        <x:v>0.005555555555555556</x:v>
      </x:c>
      <x:c r="I193" s="32" t="n">
        <x:f>ROUND((H193-G193)*1440,0)</x:f>
        <x:v>5</x:v>
      </x:c>
      <x:c r="J193" s="13" t="str">
        <x:v>Разминка</x:v>
      </x:c>
      <x:c r="K193" s="13" t="str">
        <x:v>Подними температуру: быстрая ходьба, лестница или лёгкий велотренажёр 5 минут.</x:v>
      </x:c>
      <x:c r="L193" s="13" t="str">
        <x:v>☐ Не начато</x:v>
      </x:c>
      <x:c r="M193" s="13" t="str">
        <x:v>Обязательно</x:v>
      </x:c>
      <x:c r="N193" s="13" t="str">
        <x:v>RPE 2–3</x:v>
      </x:c>
      <x:c r="O193" s="13" t="str"/>
      <x:c r="P193" s="13" t="str">
        <x:v>milestone_01_foundation/week_03_2026-09-21/04_THURSDAY.md</x:v>
      </x:c>
      <x:c r="Q193" s="138" t="str">
        <x:v>Markdown</x:v>
      </x:c>
      <x:c r="R193" s="20" t="str"/>
    </x:row>
    <x:row r="194" ht="36" customHeight="1">
      <x:c r="A194" s="19" t="str">
        <x:v>W03-20260924-0193</x:v>
      </x:c>
      <x:c r="B194" s="13" t="n">
        <x:v>3</x:v>
      </x:c>
      <x:c r="C194" s="13" t="str">
        <x:v>Этап 1 — База, разминка и исходная точка</x:v>
      </x:c>
      <x:c r="D194" s="138" t="str">
        <x:v>2026-09-24</x:v>
      </x:c>
      <x:c r="E194" s="13" t="str">
        <x:v>Четверг</x:v>
      </x:c>
      <x:c r="F194" s="13" t="str">
        <x:v>Тренировка B — пальцы/проект</x:v>
      </x:c>
      <x:c r="G194" s="44" t="n">
        <x:v>0.005555555555555556</x:v>
      </x:c>
      <x:c r="H194" s="44" t="n">
        <x:v>0.009027777777777777</x:v>
      </x:c>
      <x:c r="I194" s="32" t="n">
        <x:f>ROUND((H194-G194)*1440,0)</x:f>
        <x:v>5</x:v>
      </x:c>
      <x:c r="J194" s="13" t="str">
        <x:v>Разминка</x:v>
      </x:c>
      <x:c r="K19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94" s="13" t="str">
        <x:v>☐ Не начато</x:v>
      </x:c>
      <x:c r="M194" s="13" t="str">
        <x:v>Обязательно</x:v>
      </x:c>
      <x:c r="N194" s="13" t="str">
        <x:v>Очень легко</x:v>
      </x:c>
      <x:c r="O194" s="13" t="str">
        <x:v>Не делай press/отжимания и движения, которые раздражают плечо.</x:v>
      </x:c>
      <x:c r="P194" s="13" t="str">
        <x:v>milestone_01_foundation/week_03_2026-09-21/04_THURSDAY.md</x:v>
      </x:c>
      <x:c r="Q194" s="138" t="str">
        <x:v>Markdown</x:v>
      </x:c>
      <x:c r="R194" s="20" t="str"/>
    </x:row>
    <x:row r="195" ht="36" customHeight="1">
      <x:c r="A195" s="19" t="str">
        <x:v>W03-20260924-0194</x:v>
      </x:c>
      <x:c r="B195" s="13" t="n">
        <x:v>3</x:v>
      </x:c>
      <x:c r="C195" s="13" t="str">
        <x:v>Этап 1 — База, разминка и исходная точка</x:v>
      </x:c>
      <x:c r="D195" s="138" t="str">
        <x:v>2026-09-24</x:v>
      </x:c>
      <x:c r="E195" s="13" t="str">
        <x:v>Четверг</x:v>
      </x:c>
      <x:c r="F195" s="13" t="str">
        <x:v>Тренировка B — пальцы/проект</x:v>
      </x:c>
      <x:c r="G195" s="44" t="n">
        <x:v>0.009027777777777777</x:v>
      </x:c>
      <x:c r="H195" s="44" t="n">
        <x:v>0.011805555555555555</x:v>
      </x:c>
      <x:c r="I195" s="32" t="n">
        <x:f>ROUND((H195-G195)*1440,0)</x:f>
        <x:v>4</x:v>
      </x:c>
      <x:c r="J195" s="13" t="str">
        <x:v>Разминка пальцев</x:v>
      </x:c>
      <x:c r="K19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95" s="13" t="str">
        <x:v>☐ Не начато</x:v>
      </x:c>
      <x:c r="M195" s="13" t="str">
        <x:v>Обязательно</x:v>
      </x:c>
      <x:c r="N195" s="13" t="str">
        <x:v>Очень легко</x:v>
      </x:c>
      <x:c r="O195" s="13" t="str"/>
      <x:c r="P195" s="13" t="str">
        <x:v>milestone_01_foundation/week_03_2026-09-21/04_THURSDAY.md</x:v>
      </x:c>
      <x:c r="Q195" s="138" t="str">
        <x:v>Markdown</x:v>
      </x:c>
      <x:c r="R195" s="20" t="str"/>
    </x:row>
    <x:row r="196" ht="36" customHeight="1">
      <x:c r="A196" s="19" t="str">
        <x:v>W03-20260924-0195</x:v>
      </x:c>
      <x:c r="B196" s="13" t="n">
        <x:v>3</x:v>
      </x:c>
      <x:c r="C196" s="13" t="str">
        <x:v>Этап 1 — База, разминка и исходная точка</x:v>
      </x:c>
      <x:c r="D196" s="138" t="str">
        <x:v>2026-09-24</x:v>
      </x:c>
      <x:c r="E196" s="13" t="str">
        <x:v>Четверг</x:v>
      </x:c>
      <x:c r="F196" s="13" t="str">
        <x:v>Тренировка B — пальцы/проект</x:v>
      </x:c>
      <x:c r="G196" s="44" t="n">
        <x:v>0.011805555555555555</x:v>
      </x:c>
      <x:c r="H196" s="44" t="n">
        <x:v>0.014583333333333334</x:v>
      </x:c>
      <x:c r="I196" s="32" t="n">
        <x:f>ROUND((H196-G196)*1440,0)</x:f>
        <x:v>4</x:v>
      </x:c>
      <x:c r="J196" s="13" t="str">
        <x:v>Разминочное лазание</x:v>
      </x:c>
      <x:c r="K196" s="13" t="str">
        <x:v>Пройди 2 очень лёгкие трассы уровня 1–2; двигайся медленно, спускайся по зацепам.</x:v>
      </x:c>
      <x:c r="L196" s="13" t="str">
        <x:v>☐ Не начато</x:v>
      </x:c>
      <x:c r="M196" s="13" t="str">
        <x:v>Обязательно</x:v>
      </x:c>
      <x:c r="N196" s="13" t="str">
        <x:v>RPE 2–3</x:v>
      </x:c>
      <x:c r="O196" s="13" t="str">
        <x:v>Финиш с обязательным болезненным mantle/press пропусти.</x:v>
      </x:c>
      <x:c r="P196" s="13" t="str">
        <x:v>milestone_01_foundation/week_03_2026-09-21/04_THURSDAY.md</x:v>
      </x:c>
      <x:c r="Q196" s="138" t="str">
        <x:v>Markdown</x:v>
      </x:c>
      <x:c r="R196" s="20" t="str"/>
    </x:row>
    <x:row r="197" ht="36" customHeight="1">
      <x:c r="A197" s="19" t="str">
        <x:v>W03-20260924-0196</x:v>
      </x:c>
      <x:c r="B197" s="13" t="n">
        <x:v>3</x:v>
      </x:c>
      <x:c r="C197" s="13" t="str">
        <x:v>Этап 1 — База, разминка и исходная точка</x:v>
      </x:c>
      <x:c r="D197" s="138" t="str">
        <x:v>2026-09-24</x:v>
      </x:c>
      <x:c r="E197" s="13" t="str">
        <x:v>Четверг</x:v>
      </x:c>
      <x:c r="F197" s="13" t="str">
        <x:v>Тренировка B — пальцы/проект</x:v>
      </x:c>
      <x:c r="G197" s="44" t="n">
        <x:v>0.014583333333333334</x:v>
      </x:c>
      <x:c r="H197" s="44" t="n">
        <x:v>0.017361111111111112</x:v>
      </x:c>
      <x:c r="I197" s="32" t="n">
        <x:f>ROUND((H197-G197)*1440,0)</x:f>
        <x:v>4</x:v>
      </x:c>
      <x:c r="J197" s="13" t="str">
        <x:v>Разминочное лазание</x:v>
      </x:c>
      <x:c r="K197" s="13" t="str">
        <x:v>Пройди 2 трассы уровня 2–3, затем сделай 2–3 движения на комфортной четвёрке. Между ними 45–60 секунд.</x:v>
      </x:c>
      <x:c r="L197" s="13" t="str">
        <x:v>☐ Не начато</x:v>
      </x:c>
      <x:c r="M197" s="13" t="str">
        <x:v>Обязательно</x:v>
      </x:c>
      <x:c r="N197" s="13" t="str">
        <x:v>RPE 3–4</x:v>
      </x:c>
      <x:c r="O197" s="13" t="str">
        <x:v>Разминка не должна утомить пальцы.</x:v>
      </x:c>
      <x:c r="P197" s="13" t="str">
        <x:v>milestone_01_foundation/week_03_2026-09-21/04_THURSDAY.md</x:v>
      </x:c>
      <x:c r="Q197" s="138" t="str">
        <x:v>Markdown</x:v>
      </x:c>
      <x:c r="R197" s="20" t="str"/>
    </x:row>
    <x:row r="198" ht="36" customHeight="1">
      <x:c r="A198" s="19" t="str">
        <x:v>W03-20260924-0197</x:v>
      </x:c>
      <x:c r="B198" s="13" t="n">
        <x:v>3</x:v>
      </x:c>
      <x:c r="C198" s="13" t="str">
        <x:v>Этап 1 — База, разминка и исходная точка</x:v>
      </x:c>
      <x:c r="D198" s="138" t="str">
        <x:v>2026-09-24</x:v>
      </x:c>
      <x:c r="E198" s="13" t="str">
        <x:v>Четверг</x:v>
      </x:c>
      <x:c r="F198" s="13" t="str">
        <x:v>Тренировка B — пальцы/проект</x:v>
      </x:c>
      <x:c r="G198" s="44" t="n">
        <x:v>0.017361111111111112</x:v>
      </x:c>
      <x:c r="H198" s="44" t="n">
        <x:v>0.02013888888888889</x:v>
      </x:c>
      <x:c r="I198" s="32" t="n">
        <x:f>ROUND((H198-G198)*1440,0)</x:f>
        <x:v>4</x:v>
      </x:c>
      <x:c r="J198" s="13" t="str">
        <x:v>Техника</x:v>
      </x:c>
      <x:c r="K198" s="13" t="str">
        <x:v>Повтори cue недели на одной лёгкой трассе 2–3: «Перед стартом назови руки, ноги, направление таза и предполагаемый crux.».</x:v>
      </x:c>
      <x:c r="L198" s="13" t="str">
        <x:v>☐ Не начато</x:v>
      </x:c>
      <x:c r="M198" s="13" t="str">
        <x:v>Обязательно</x:v>
      </x:c>
      <x:c r="N198" s="13" t="str">
        <x:v>RPE 3–4</x:v>
      </x:c>
      <x:c r="O198" s="13" t="str">
        <x:v>Не повторять движение, если оно вызывает боль. Снимать весь корпус и обе ноги, а не только руки.</x:v>
      </x:c>
      <x:c r="P198" s="13" t="str">
        <x:v>milestone_01_foundation/week_03_2026-09-21/04_THURSDAY.md</x:v>
      </x:c>
      <x:c r="Q198" s="138" t="str">
        <x:v>Markdown</x:v>
      </x:c>
      <x:c r="R198" s="20" t="str"/>
    </x:row>
    <x:row r="199" ht="36" customHeight="1">
      <x:c r="A199" s="19" t="str">
        <x:v>W03-20260924-0198</x:v>
      </x:c>
      <x:c r="B199" s="13" t="n">
        <x:v>3</x:v>
      </x:c>
      <x:c r="C199" s="13" t="str">
        <x:v>Этап 1 — База, разминка и исходная точка</x:v>
      </x:c>
      <x:c r="D199" s="138" t="str">
        <x:v>2026-09-24</x:v>
      </x:c>
      <x:c r="E199" s="13" t="str">
        <x:v>Четверг</x:v>
      </x:c>
      <x:c r="F199" s="13" t="str">
        <x:v>Тренировка B — пальцы/проект</x:v>
      </x:c>
      <x:c r="G199" s="44" t="n">
        <x:v>0.02013888888888889</x:v>
      </x:c>
      <x:c r="H199" s="44" t="n">
        <x:v>0.025</x:v>
      </x:c>
      <x:c r="I199" s="32" t="n">
        <x:f>ROUND((H199-G199)*1440,0)</x:f>
        <x:v>7</x:v>
      </x:c>
      <x:c r="J199" s="13" t="str">
        <x:v>Подготовка проекта</x:v>
      </x:c>
      <x:c r="K199" s="13" t="str">
        <x:v>Выбери основной проект, очисти нужные зацепы, прочитай трассу 90 секунд и запиши предполагаемый crux.</x:v>
      </x:c>
      <x:c r="L199" s="13" t="str">
        <x:v>☐ Не начато</x:v>
      </x:c>
      <x:c r="M199" s="13" t="str">
        <x:v>Обязательно</x:v>
      </x:c>
      <x:c r="N199" s="13" t="str">
        <x:v>Без нагрузки</x:v>
      </x:c>
      <x:c r="O199" s="13" t="str"/>
      <x:c r="P199" s="13" t="str">
        <x:v>milestone_01_foundation/week_03_2026-09-21/04_THURSDAY.md</x:v>
      </x:c>
      <x:c r="Q199" s="138" t="str">
        <x:v>Markdown</x:v>
      </x:c>
      <x:c r="R199" s="20" t="str"/>
    </x:row>
    <x:row r="200" ht="36" customHeight="1">
      <x:c r="A200" s="19" t="str">
        <x:v>W03-20260924-0199</x:v>
      </x:c>
      <x:c r="B200" s="13" t="n">
        <x:v>3</x:v>
      </x:c>
      <x:c r="C200" s="13" t="str">
        <x:v>Этап 1 — База, разминка и исходная точка</x:v>
      </x:c>
      <x:c r="D200" s="138" t="str">
        <x:v>2026-09-24</x:v>
      </x:c>
      <x:c r="E200" s="13" t="str">
        <x:v>Четверг</x:v>
      </x:c>
      <x:c r="F200" s="13" t="str">
        <x:v>Тренировка B — пальцы/проект</x:v>
      </x:c>
      <x:c r="G200" s="44" t="n">
        <x:v>0.025</x:v>
      </x:c>
      <x:c r="H200" s="44" t="n">
        <x:v>0.02847222222222222</x:v>
      </x:c>
      <x:c r="I200" s="32" t="n">
        <x:f>ROUND((H200-G200)*1440,0)</x:f>
        <x:v>5</x:v>
      </x:c>
      <x:c r="J200" s="13" t="str">
        <x:v>Отдых</x:v>
      </x:c>
      <x:c r="K200" s="13" t="str">
        <x:v>Полный отдых перед проектом: походи, не висни на зацепах.</x:v>
      </x:c>
      <x:c r="L200" s="13" t="str">
        <x:v>☐ Не начато</x:v>
      </x:c>
      <x:c r="M200" s="13" t="str">
        <x:v>Обязательно</x:v>
      </x:c>
      <x:c r="N200" s="13" t="str">
        <x:v>Восстановление</x:v>
      </x:c>
      <x:c r="O200" s="13" t="str"/>
      <x:c r="P200" s="13" t="str">
        <x:v>milestone_01_foundation/week_03_2026-09-21/04_THURSDAY.md</x:v>
      </x:c>
      <x:c r="Q200" s="138" t="str">
        <x:v>Markdown</x:v>
      </x:c>
      <x:c r="R200" s="20" t="str"/>
    </x:row>
    <x:row r="201" ht="36" customHeight="1">
      <x:c r="A201" s="19" t="str">
        <x:v>W03-20260924-0200</x:v>
      </x:c>
      <x:c r="B201" s="13" t="n">
        <x:v>3</x:v>
      </x:c>
      <x:c r="C201" s="13" t="str">
        <x:v>Этап 1 — База, разминка и исходная точка</x:v>
      </x:c>
      <x:c r="D201" s="138" t="str">
        <x:v>2026-09-24</x:v>
      </x:c>
      <x:c r="E201" s="13" t="str">
        <x:v>Четверг</x:v>
      </x:c>
      <x:c r="F201" s="13" t="str">
        <x:v>Тренировка B — пальцы/проект</x:v>
      </x:c>
      <x:c r="G201" s="44" t="n">
        <x:v>0.02847222222222222</x:v>
      </x:c>
      <x:c r="H201" s="44" t="n">
        <x:v>0.03125</x:v>
      </x:c>
      <x:c r="I201" s="32" t="n">
        <x:f>ROUND((H201-G201)*1440,0)</x:f>
        <x:v>4</x:v>
      </x:c>
      <x:c r="J201" s="13" t="str">
        <x:v>Выбор проекта</x:v>
      </x:c>
      <x:c r="K201" s="13" t="str">
        <x:v>Выбери трассу по критериям недели: 1 пятёрка как проект: максимум 5 качественных попыток с 3–4 минутами отдыха; менять только одну вещь за попытку.</x:v>
      </x:c>
      <x:c r="L201" s="13" t="str">
        <x:v>☐ Не начато</x:v>
      </x:c>
      <x:c r="M201" s="13" t="str">
        <x:v>Обязательно</x:v>
      </x:c>
      <x:c r="N201" s="13" t="str">
        <x:v>Без нагрузки</x:v>
      </x:c>
      <x:c r="O201" s="13" t="str">
        <x:v>Не повторять движение, если оно вызывает боль. Снимать весь корпус и обе ноги, а не только руки.</x:v>
      </x:c>
      <x:c r="P201" s="13" t="str">
        <x:v>milestone_01_foundation/week_03_2026-09-21/04_THURSDAY.md</x:v>
      </x:c>
      <x:c r="Q201" s="138" t="str">
        <x:v>Markdown</x:v>
      </x:c>
      <x:c r="R201" s="20" t="str"/>
    </x:row>
    <x:row r="202" ht="36" customHeight="1">
      <x:c r="A202" s="19" t="str">
        <x:v>W03-20260924-0201</x:v>
      </x:c>
      <x:c r="B202" s="13" t="n">
        <x:v>3</x:v>
      </x:c>
      <x:c r="C202" s="13" t="str">
        <x:v>Этап 1 — База, разминка и исходная точка</x:v>
      </x:c>
      <x:c r="D202" s="138" t="str">
        <x:v>2026-09-24</x:v>
      </x:c>
      <x:c r="E202" s="13" t="str">
        <x:v>Четверг</x:v>
      </x:c>
      <x:c r="F202" s="13" t="str">
        <x:v>Тренировка B — пальцы/проект</x:v>
      </x:c>
      <x:c r="G202" s="44" t="n">
        <x:v>0.03125</x:v>
      </x:c>
      <x:c r="H202" s="44" t="n">
        <x:v>0.034722222222222224</x:v>
      </x:c>
      <x:c r="I202" s="32" t="n">
        <x:f>ROUND((H202-G202)*1440,0)</x:f>
        <x:v>5</x:v>
      </x:c>
      <x:c r="J202" s="13" t="str">
        <x:v>Проект — попытка 1</x:v>
      </x:c>
      <x:c r="K202" s="13" t="str">
        <x:v>Сделай первую полную диагностическую попытку. После падения не повторяй сразу: назови точную причину.</x:v>
      </x:c>
      <x:c r="L202" s="13" t="str">
        <x:v>☐ Не начато</x:v>
      </x:c>
      <x:c r="M202" s="13" t="str">
        <x:v>Обязательно</x:v>
      </x:c>
      <x:c r="N202" s="13" t="str">
        <x:v>RPE 7–8</x:v>
      </x:c>
      <x:c r="O202" s="13" t="str">
        <x:v>Прекратить движение при боли, а не после падения.</x:v>
      </x:c>
      <x:c r="P202" s="13" t="str">
        <x:v>milestone_01_foundation/week_03_2026-09-21/04_THURSDAY.md</x:v>
      </x:c>
      <x:c r="Q202" s="138" t="str">
        <x:v>Markdown</x:v>
      </x:c>
      <x:c r="R202" s="20" t="str"/>
    </x:row>
    <x:row r="203" ht="36" customHeight="1">
      <x:c r="A203" s="19" t="str">
        <x:v>W03-20260924-0202</x:v>
      </x:c>
      <x:c r="B203" s="13" t="n">
        <x:v>3</x:v>
      </x:c>
      <x:c r="C203" s="13" t="str">
        <x:v>Этап 1 — База, разминка и исходная точка</x:v>
      </x:c>
      <x:c r="D203" s="138" t="str">
        <x:v>2026-09-24</x:v>
      </x:c>
      <x:c r="E203" s="13" t="str">
        <x:v>Четверг</x:v>
      </x:c>
      <x:c r="F203" s="13" t="str">
        <x:v>Тренировка B — пальцы/проект</x:v>
      </x:c>
      <x:c r="G203" s="44" t="n">
        <x:v>0.034722222222222224</x:v>
      </x:c>
      <x:c r="H203" s="44" t="n">
        <x:v>0.03819444444444445</x:v>
      </x:c>
      <x:c r="I203" s="32" t="n">
        <x:f>ROUND((H203-G203)*1440,0)</x:f>
        <x:v>5</x:v>
      </x:c>
      <x:c r="J203" s="13" t="str">
        <x:v>Отдых / гипотеза</x:v>
      </x:c>
      <x:c r="K203" s="13" t="str">
        <x:v>Отдых 4–5 минут. Запиши одну гипотезу: стопа, положение таза, хват или темп.</x:v>
      </x:c>
      <x:c r="L203" s="13" t="str">
        <x:v>☐ Не начато</x:v>
      </x:c>
      <x:c r="M203" s="13" t="str">
        <x:v>Обязательно</x:v>
      </x:c>
      <x:c r="N203" s="13" t="str">
        <x:v>Восстановление</x:v>
      </x:c>
      <x:c r="O203" s="13" t="str"/>
      <x:c r="P203" s="13" t="str">
        <x:v>milestone_01_foundation/week_03_2026-09-21/04_THURSDAY.md</x:v>
      </x:c>
      <x:c r="Q203" s="138" t="str">
        <x:v>Markdown</x:v>
      </x:c>
      <x:c r="R203" s="20" t="str"/>
    </x:row>
    <x:row r="204" ht="36" customHeight="1">
      <x:c r="A204" s="19" t="str">
        <x:v>W03-20260924-0203</x:v>
      </x:c>
      <x:c r="B204" s="13" t="n">
        <x:v>3</x:v>
      </x:c>
      <x:c r="C204" s="13" t="str">
        <x:v>Этап 1 — База, разминка и исходная точка</x:v>
      </x:c>
      <x:c r="D204" s="138" t="str">
        <x:v>2026-09-24</x:v>
      </x:c>
      <x:c r="E204" s="13" t="str">
        <x:v>Четверг</x:v>
      </x:c>
      <x:c r="F204" s="13" t="str">
        <x:v>Тренировка B — пальцы/проект</x:v>
      </x:c>
      <x:c r="G204" s="44" t="n">
        <x:v>0.03819444444444445</x:v>
      </x:c>
      <x:c r="H204" s="44" t="n">
        <x:v>0.04236111111111111</x:v>
      </x:c>
      <x:c r="I204" s="32" t="n">
        <x:f>ROUND((H204-G204)*1440,0)</x:f>
        <x:v>6</x:v>
      </x:c>
      <x:c r="J204" s="13" t="str">
        <x:v>Проект — попытки 2–3</x:v>
      </x:c>
      <x:c r="K204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204" s="13" t="str">
        <x:v>☐ Не начато</x:v>
      </x:c>
      <x:c r="M204" s="13" t="str">
        <x:v>Обязательно</x:v>
      </x:c>
      <x:c r="N204" s="13" t="str">
        <x:v>RPE 7–8, без отказа</x:v>
      </x:c>
      <x:c r="O204" s="13" t="str">
        <x:v>Не смотреть beta заранее: сначала собственная гипотеза.</x:v>
      </x:c>
      <x:c r="P204" s="13" t="str">
        <x:v>milestone_01_foundation/week_03_2026-09-21/04_THURSDAY.md</x:v>
      </x:c>
      <x:c r="Q204" s="138" t="str">
        <x:v>Markdown</x:v>
      </x:c>
      <x:c r="R204" s="20" t="str"/>
    </x:row>
    <x:row r="205" ht="36" customHeight="1">
      <x:c r="A205" s="19" t="str">
        <x:v>W03-20260924-0204</x:v>
      </x:c>
      <x:c r="B205" s="13" t="n">
        <x:v>3</x:v>
      </x:c>
      <x:c r="C205" s="13" t="str">
        <x:v>Этап 1 — База, разминка и исходная точка</x:v>
      </x:c>
      <x:c r="D205" s="138" t="str">
        <x:v>2026-09-24</x:v>
      </x:c>
      <x:c r="E205" s="13" t="str">
        <x:v>Четверг</x:v>
      </x:c>
      <x:c r="F205" s="13" t="str">
        <x:v>Тренировка B — пальцы/проект</x:v>
      </x:c>
      <x:c r="G205" s="44" t="n">
        <x:v>0.04236111111111111</x:v>
      </x:c>
      <x:c r="H205" s="44" t="n">
        <x:v>0.05277777777777778</x:v>
      </x:c>
      <x:c r="I205" s="32" t="n">
        <x:f>ROUND((H205-G205)*1440,0)</x:f>
        <x:v>15</x:v>
      </x:c>
      <x:c r="J205" s="13" t="str">
        <x:v>Проект — заключительная попытка</x:v>
      </x:c>
      <x:c r="K205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205" s="13" t="str">
        <x:v>☐ Не начато</x:v>
      </x:c>
      <x:c r="M205" s="13" t="str">
        <x:v>Обязательно</x:v>
      </x:c>
      <x:c r="N205" s="13" t="str">
        <x:v>RPE 8, с запасом</x:v>
      </x:c>
      <x:c r="O205" s="13" t="str">
        <x:v>Не повторять движение, если оно вызывает боль. Снимать весь корпус и обе ноги, а не только руки.</x:v>
      </x:c>
      <x:c r="P205" s="13" t="str">
        <x:v>milestone_01_foundation/week_03_2026-09-21/04_THURSDAY.md</x:v>
      </x:c>
      <x:c r="Q205" s="138" t="str">
        <x:v>Markdown</x:v>
      </x:c>
      <x:c r="R205" s="20" t="str"/>
    </x:row>
    <x:row r="206" ht="36" customHeight="1">
      <x:c r="A206" s="19" t="str">
        <x:v>W03-20260924-0205</x:v>
      </x:c>
      <x:c r="B206" s="13" t="n">
        <x:v>3</x:v>
      </x:c>
      <x:c r="C206" s="13" t="str">
        <x:v>Этап 1 — База, разминка и исходная точка</x:v>
      </x:c>
      <x:c r="D206" s="138" t="str">
        <x:v>2026-09-24</x:v>
      </x:c>
      <x:c r="E206" s="13" t="str">
        <x:v>Четверг</x:v>
      </x:c>
      <x:c r="F206" s="13" t="str">
        <x:v>Тренировка B — пальцы/проект</x:v>
      </x:c>
      <x:c r="G206" s="44" t="n">
        <x:v>0.05277777777777778</x:v>
      </x:c>
      <x:c r="H206" s="44" t="n">
        <x:v>0.05763888888888889</x:v>
      </x:c>
      <x:c r="I206" s="32" t="n">
        <x:f>ROUND((H206-G206)*1440,0)</x:f>
        <x:v>7</x:v>
      </x:c>
      <x:c r="J206" s="13" t="str">
        <x:v>Вторичная трасса</x:v>
      </x:c>
      <x:c r="K206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206" s="13" t="str">
        <x:v>☐ Не начато</x:v>
      </x:c>
      <x:c r="M206" s="13" t="str">
        <x:v>Обязательно</x:v>
      </x:c>
      <x:c r="N206" s="13" t="str">
        <x:v>RPE 5–7</x:v>
      </x:c>
      <x:c r="O206" s="13" t="str">
        <x:v>Пропустить, если хват уже просел.</x:v>
      </x:c>
      <x:c r="P206" s="13" t="str">
        <x:v>milestone_01_foundation/week_03_2026-09-21/04_THURSDAY.md</x:v>
      </x:c>
      <x:c r="Q206" s="138" t="str">
        <x:v>Markdown</x:v>
      </x:c>
      <x:c r="R206" s="20" t="str"/>
    </x:row>
    <x:row r="207" ht="36" customHeight="1">
      <x:c r="A207" s="19" t="str">
        <x:v>W03-20260924-0206</x:v>
      </x:c>
      <x:c r="B207" s="13" t="n">
        <x:v>3</x:v>
      </x:c>
      <x:c r="C207" s="13" t="str">
        <x:v>Этап 1 — База, разминка и исходная точка</x:v>
      </x:c>
      <x:c r="D207" s="138" t="str">
        <x:v>2026-09-24</x:v>
      </x:c>
      <x:c r="E207" s="13" t="str">
        <x:v>Четверг</x:v>
      </x:c>
      <x:c r="F207" s="13" t="str">
        <x:v>Тренировка B — пальцы/проект</x:v>
      </x:c>
      <x:c r="G207" s="44" t="n">
        <x:v>0.05763888888888889</x:v>
      </x:c>
      <x:c r="H207" s="44" t="n">
        <x:v>0.06041666666666667</x:v>
      </x:c>
      <x:c r="I207" s="32" t="n">
        <x:f>ROUND((H207-G207)*1440,0)</x:f>
        <x:v>4</x:v>
      </x:c>
      <x:c r="J207" s="13" t="str">
        <x:v>Завершение</x:v>
      </x:c>
      <x:c r="K207" s="13" t="str">
        <x:v>Очень лёгкий спуск/ходьба, вода, никаких финишных висов.</x:v>
      </x:c>
      <x:c r="L207" s="13" t="str">
        <x:v>☐ Не начато</x:v>
      </x:c>
      <x:c r="M207" s="13" t="str">
        <x:v>Обязательно</x:v>
      </x:c>
      <x:c r="N207" s="13" t="str">
        <x:v>RPE 1–2</x:v>
      </x:c>
      <x:c r="O207" s="13" t="str"/>
      <x:c r="P207" s="13" t="str">
        <x:v>milestone_01_foundation/week_03_2026-09-21/04_THURSDAY.md</x:v>
      </x:c>
      <x:c r="Q207" s="138" t="str">
        <x:v>Markdown</x:v>
      </x:c>
      <x:c r="R207" s="20" t="str"/>
    </x:row>
    <x:row r="208" ht="36" customHeight="1">
      <x:c r="A208" s="19" t="str">
        <x:v>W03-20260924-0207</x:v>
      </x:c>
      <x:c r="B208" s="13" t="n">
        <x:v>3</x:v>
      </x:c>
      <x:c r="C208" s="13" t="str">
        <x:v>Этап 1 — База, разминка и исходная точка</x:v>
      </x:c>
      <x:c r="D208" s="138" t="str">
        <x:v>2026-09-24</x:v>
      </x:c>
      <x:c r="E208" s="13" t="str">
        <x:v>Четверг</x:v>
      </x:c>
      <x:c r="F208" s="13" t="str">
        <x:v>Тренировка B — пальцы/проект</x:v>
      </x:c>
      <x:c r="G208" s="44" t="n">
        <x:v>0.06041666666666667</x:v>
      </x:c>
      <x:c r="H208" s="44" t="n">
        <x:v>0.0625</x:v>
      </x:c>
      <x:c r="I208" s="32" t="n">
        <x:f>ROUND((H208-G208)*1440,0)</x:f>
        <x:v>3</x:v>
      </x:c>
      <x:c r="J208" s="13" t="str">
        <x:v>Журнал</x:v>
      </x:c>
      <x:c r="K208" s="13" t="str">
        <x:v>Запиши попытки, лучшую связку, одну правку и benchmark: Сравнить предсказанную бету с реальной: что было угадано, что пришлось изменить.</x:v>
      </x:c>
      <x:c r="L208" s="13" t="str">
        <x:v>☐ Не начато</x:v>
      </x:c>
      <x:c r="M208" s="13" t="str">
        <x:v>Обязательно</x:v>
      </x:c>
      <x:c r="N208" s="13" t="str">
        <x:v>Без нагрузки</x:v>
      </x:c>
      <x:c r="O208" s="13" t="str"/>
      <x:c r="P208" s="13" t="str">
        <x:v>milestone_01_foundation/week_03_2026-09-21/04_THURSDAY.md</x:v>
      </x:c>
      <x:c r="Q208" s="138" t="str">
        <x:v>Markdown</x:v>
      </x:c>
      <x:c r="R208" s="20" t="str"/>
    </x:row>
    <x:row r="209" ht="36" customHeight="1">
      <x:c r="A209" s="19" t="str">
        <x:v>W03-20260925-0208</x:v>
      </x:c>
      <x:c r="B209" s="13" t="n">
        <x:v>3</x:v>
      </x:c>
      <x:c r="C209" s="13" t="str">
        <x:v>Этап 1 — База, разминка и исходная точка</x:v>
      </x:c>
      <x:c r="D209" s="138" t="str">
        <x:v>2026-09-25</x:v>
      </x:c>
      <x:c r="E209" s="13" t="str">
        <x:v>Пятница</x:v>
      </x:c>
      <x:c r="F209" s="13" t="str">
        <x:v>Дом / теория</x:v>
      </x:c>
      <x:c r="G209" s="44" t="n">
        <x:v>0</x:v>
      </x:c>
      <x:c r="H209" s="44" t="n">
        <x:v>0.0020833333333333333</x:v>
      </x:c>
      <x:c r="I209" s="32" t="n">
        <x:f>ROUND((H209-G209)*1440,0)</x:f>
        <x:v>3</x:v>
      </x:c>
      <x:c r="J209" s="13" t="str">
        <x:v>Самопроверка</x:v>
      </x:c>
      <x:c r="K209" s="13" t="str">
        <x:v>Оцени утреннюю реакцию после четверга: пальцы/плечо/колено 0–10. Запиши, восстановилась ли обычная сила кисти.</x:v>
      </x:c>
      <x:c r="L209" s="13" t="str">
        <x:v>☐ Не начато</x:v>
      </x:c>
      <x:c r="M209" s="13" t="str">
        <x:v>Обязательно</x:v>
      </x:c>
      <x:c r="N209" s="13" t="str">
        <x:v>Без нагрузки</x:v>
      </x:c>
      <x:c r="O209" s="13" t="str">
        <x:v>Острая локальная боль пальца или усилившаяся боль плеча = воскресенье только восстановительное.</x:v>
      </x:c>
      <x:c r="P209" s="13" t="str">
        <x:v>milestone_01_foundation/week_03_2026-09-21/05_FRIDAY.md</x:v>
      </x:c>
      <x:c r="Q209" s="138" t="str">
        <x:v>Markdown</x:v>
      </x:c>
      <x:c r="R209" s="20" t="str"/>
    </x:row>
    <x:row r="210" ht="36" customHeight="1">
      <x:c r="A210" s="19" t="str">
        <x:v>W03-20260925-0209</x:v>
      </x:c>
      <x:c r="B210" s="13" t="n">
        <x:v>3</x:v>
      </x:c>
      <x:c r="C210" s="13" t="str">
        <x:v>Этап 1 — База, разминка и исходная точка</x:v>
      </x:c>
      <x:c r="D210" s="138" t="str">
        <x:v>2026-09-25</x:v>
      </x:c>
      <x:c r="E210" s="13" t="str">
        <x:v>Пятница</x:v>
      </x:c>
      <x:c r="F210" s="13" t="str">
        <x:v>Дом / теория</x:v>
      </x:c>
      <x:c r="G210" s="44" t="n">
        <x:v>0.0020833333333333333</x:v>
      </x:c>
      <x:c r="H210" s="44" t="n">
        <x:v>0.0125</x:v>
      </x:c>
      <x:c r="I210" s="32" t="n">
        <x:f>ROUND((H210-G210)*1440,0)</x:f>
        <x:v>15</x:v>
      </x:c>
      <x:c r="J210" s="13" t="str">
        <x:v>Теория</x:v>
      </x:c>
      <x:c r="K210" s="13" t="str">
        <x:v>Пересмотри ключевой фрагмент ресурса недели: [R04: The Gravity Lab — How To Read Bouldering Routes: An In-Depth Breakdown](https://www.youtube.com/watch?v=faOZI-tdMhg). Задача: Чтение последовательности рук/ног, поиск ключевого движения и предварительная визуализация.</x:v>
      </x:c>
      <x:c r="L210" s="13" t="str">
        <x:v>☐ Не начато</x:v>
      </x:c>
      <x:c r="M210" s="13" t="str">
        <x:v>Обязательно</x:v>
      </x:c>
      <x:c r="N210" s="13" t="str">
        <x:v>Без нагрузки</x:v>
      </x:c>
      <x:c r="O210" s="13" t="str"/>
      <x:c r="P210" s="13" t="str">
        <x:v>milestone_01_foundation/week_03_2026-09-21/05_FRIDAY.md</x:v>
      </x:c>
      <x:c r="Q210" s="138" t="str">
        <x:v>Markdown</x:v>
      </x:c>
      <x:c r="R210" s="20" t="str"/>
    </x:row>
    <x:row r="211" ht="36" customHeight="1">
      <x:c r="A211" s="19" t="str">
        <x:v>W03-20260925-0210</x:v>
      </x:c>
      <x:c r="B211" s="13" t="n">
        <x:v>3</x:v>
      </x:c>
      <x:c r="C211" s="13" t="str">
        <x:v>Этап 1 — База, разминка и исходная точка</x:v>
      </x:c>
      <x:c r="D211" s="138" t="str">
        <x:v>2026-09-25</x:v>
      </x:c>
      <x:c r="E211" s="13" t="str">
        <x:v>Пятница</x:v>
      </x:c>
      <x:c r="F211" s="13" t="str">
        <x:v>Дом / теория</x:v>
      </x:c>
      <x:c r="G211" s="44" t="n">
        <x:v>0.0125</x:v>
      </x:c>
      <x:c r="H211" s="44" t="n">
        <x:v>0.016666666666666666</x:v>
      </x:c>
      <x:c r="I211" s="32" t="n">
        <x:f>ROUND((H211-G211)*1440,0)</x:f>
        <x:v>6</x:v>
      </x:c>
      <x:c r="J211" s="13" t="str">
        <x:v>Ментальная репетиция</x:v>
      </x:c>
      <x:c r="K211" s="13" t="str">
        <x:v>Закрой глаза и 3 раза мысленно пройди одну рабочую трассу: руки → ноги → положение таза → дыхание. Визуализируй cue «Перед стартом назови руки, ноги, направление таза и предполагаемый crux.».</x:v>
      </x:c>
      <x:c r="L211" s="13" t="str">
        <x:v>☐ Не начато</x:v>
      </x:c>
      <x:c r="M211" s="13" t="str">
        <x:v>Обязательно</x:v>
      </x:c>
      <x:c r="N211" s="13" t="str">
        <x:v>Без нагрузки</x:v>
      </x:c>
      <x:c r="O211" s="13" t="str"/>
      <x:c r="P211" s="13" t="str">
        <x:v>milestone_01_foundation/week_03_2026-09-21/05_FRIDAY.md</x:v>
      </x:c>
      <x:c r="Q211" s="138" t="str">
        <x:v>Markdown</x:v>
      </x:c>
      <x:c r="R211" s="20" t="str"/>
    </x:row>
    <x:row r="212" ht="36" customHeight="1">
      <x:c r="A212" s="19" t="str">
        <x:v>W03-20260925-0211</x:v>
      </x:c>
      <x:c r="B212" s="13" t="n">
        <x:v>3</x:v>
      </x:c>
      <x:c r="C212" s="13" t="str">
        <x:v>Этап 1 — База, разминка и исходная точка</x:v>
      </x:c>
      <x:c r="D212" s="138" t="str">
        <x:v>2026-09-25</x:v>
      </x:c>
      <x:c r="E212" s="13" t="str">
        <x:v>Пятница</x:v>
      </x:c>
      <x:c r="F212" s="13" t="str">
        <x:v>Дом / теория</x:v>
      </x:c>
      <x:c r="G212" s="44" t="n">
        <x:v>0.016666666666666666</x:v>
      </x:c>
      <x:c r="H212" s="44" t="n">
        <x:v>0.025</x:v>
      </x:c>
      <x:c r="I212" s="32" t="n">
        <x:f>ROUND((H212-G212)*1440,0)</x:f>
        <x:v>12</x:v>
      </x:c>
      <x:c r="J212" s="13" t="str">
        <x:v>Домашняя мобильность</x:v>
      </x:c>
      <x:c r="K212" s="13" t="str">
        <x:v>Выполни H3 «Мобильность таза и контроль корпуса» — 12 минут.</x:v>
      </x:c>
      <x:c r="L212" s="13" t="str">
        <x:v>☐ Не начато</x:v>
      </x:c>
      <x:c r="M212" s="13" t="str">
        <x:v>Обязательно</x:v>
      </x:c>
      <x:c r="N212" s="13" t="str">
        <x:v>RPE 2–3</x:v>
      </x:c>
      <x:c r="O212" s="13" t="str">
        <x:v>Никаких скручиваний через боль. Плечом не отталкивайся от стены; касание только для равновесия.</x:v>
      </x:c>
      <x:c r="P212" s="13" t="str">
        <x:v>milestone_01_foundation/week_03_2026-09-21/05_FRIDAY.md</x:v>
      </x:c>
      <x:c r="Q212" s="138" t="str">
        <x:v>Markdown</x:v>
      </x:c>
      <x:c r="R212" s="20" t="str"/>
    </x:row>
    <x:row r="213" ht="36" customHeight="1">
      <x:c r="A213" s="19" t="str">
        <x:v>W03-20260925-0212</x:v>
      </x:c>
      <x:c r="B213" s="13" t="n">
        <x:v>3</x:v>
      </x:c>
      <x:c r="C213" s="13" t="str">
        <x:v>Этап 1 — База, разминка и исходная точка</x:v>
      </x:c>
      <x:c r="D213" s="138" t="str">
        <x:v>2026-09-25</x:v>
      </x:c>
      <x:c r="E213" s="13" t="str">
        <x:v>Пятница</x:v>
      </x:c>
      <x:c r="F213" s="13" t="str">
        <x:v>Дом / теория</x:v>
      </x:c>
      <x:c r="G213" s="44" t="n">
        <x:v>0.025</x:v>
      </x:c>
      <x:c r="H213" s="44" t="n">
        <x:v>0.03888888888888889</x:v>
      </x:c>
      <x:c r="I213" s="32" t="n">
        <x:f>ROUND((H213-G213)*1440,0)</x:f>
        <x:v>20</x:v>
      </x:c>
      <x:c r="J213" s="13" t="str">
        <x:v>Физиотерапия</x:v>
      </x:c>
      <x:c r="K213" s="13" t="str">
        <x:v>Выполни свой назначенный комплекс, если пятница входит в расписание физиотерапевта.</x:v>
      </x:c>
      <x:c r="L213" s="13" t="str">
        <x:v>☐ Не начато</x:v>
      </x:c>
      <x:c r="M213" s="13" t="str">
        <x:v>По назначению</x:v>
      </x:c>
      <x:c r="N213" s="13" t="str">
        <x:v>По назначению</x:v>
      </x:c>
      <x:c r="O213" s="13" t="str">
        <x:v>Не добавляй упражнения из интернета поверх назначений.</x:v>
      </x:c>
      <x:c r="P213" s="13" t="str">
        <x:v>milestone_01_foundation/week_03_2026-09-21/05_FRIDAY.md</x:v>
      </x:c>
      <x:c r="Q213" s="138" t="str">
        <x:v>Markdown</x:v>
      </x:c>
      <x:c r="R213" s="20" t="str"/>
    </x:row>
    <x:row r="214" ht="36" customHeight="1">
      <x:c r="A214" s="19" t="str">
        <x:v>W03-20260925-0213</x:v>
      </x:c>
      <x:c r="B214" s="13" t="n">
        <x:v>3</x:v>
      </x:c>
      <x:c r="C214" s="13" t="str">
        <x:v>Этап 1 — База, разминка и исходная точка</x:v>
      </x:c>
      <x:c r="D214" s="138" t="str">
        <x:v>2026-09-25</x:v>
      </x:c>
      <x:c r="E214" s="13" t="str">
        <x:v>Пятница</x:v>
      </x:c>
      <x:c r="F214" s="13" t="str">
        <x:v>Дом / теория</x:v>
      </x:c>
      <x:c r="G214" s="44" t="n">
        <x:v>0.03888888888888889</x:v>
      </x:c>
      <x:c r="H214" s="44" t="n">
        <x:v>0.041666666666666664</x:v>
      </x:c>
      <x:c r="I214" s="32" t="n">
        <x:f>ROUND((H214-G214)*1440,0)</x:f>
        <x:v>4</x:v>
      </x:c>
      <x:c r="J214" s="13" t="str">
        <x:v>Журнал</x:v>
      </x:c>
      <x:c r="K214" s="13" t="str">
        <x:v>Запиши одну вещь, которая сработала на этой неделе, и одну, которую повторишь в воскресенье на лёгкой трассе.</x:v>
      </x:c>
      <x:c r="L214" s="13" t="str">
        <x:v>☐ Не начато</x:v>
      </x:c>
      <x:c r="M214" s="13" t="str">
        <x:v>Обязательно</x:v>
      </x:c>
      <x:c r="N214" s="13" t="str">
        <x:v>Без нагрузки</x:v>
      </x:c>
      <x:c r="O214" s="13" t="str"/>
      <x:c r="P214" s="13" t="str">
        <x:v>milestone_01_foundation/week_03_2026-09-21/05_FRIDAY.md</x:v>
      </x:c>
      <x:c r="Q214" s="138" t="str">
        <x:v>Markdown</x:v>
      </x:c>
      <x:c r="R214" s="20" t="str"/>
    </x:row>
    <x:row r="215" ht="36" customHeight="1">
      <x:c r="A215" s="19" t="str">
        <x:v>W03-20260925-0214</x:v>
      </x:c>
      <x:c r="B215" s="13" t="n">
        <x:v>3</x:v>
      </x:c>
      <x:c r="C215" s="13" t="str">
        <x:v>Этап 1 — База, разминка и исходная точка</x:v>
      </x:c>
      <x:c r="D215" s="138" t="str">
        <x:v>2026-09-25</x:v>
      </x:c>
      <x:c r="E215" s="13" t="str">
        <x:v>Пятница</x:v>
      </x:c>
      <x:c r="F215" s="13" t="str">
        <x:v>Дом / теория</x:v>
      </x:c>
      <x:c r="G215" s="44" t="n">
        <x:v>0.041666666666666664</x:v>
      </x:c>
      <x:c r="H215" s="44" t="n">
        <x:v>0.04375</x:v>
      </x:c>
      <x:c r="I215" s="32" t="n">
        <x:f>ROUND((H215-G215)*1440,0)</x:f>
        <x:v>3</x:v>
      </x:c>
      <x:c r="J215" s="13" t="str">
        <x:v>Запрет лишней нагрузки</x:v>
      </x:c>
      <x:c r="K215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215" s="13" t="str">
        <x:v>☐ Не начато</x:v>
      </x:c>
      <x:c r="M215" s="13" t="str">
        <x:v>Обязательно</x:v>
      </x:c>
      <x:c r="N215" s="13" t="str">
        <x:v>Восстановление</x:v>
      </x:c>
      <x:c r="O215" s="13" t="str">
        <x:v>Общая пальцевая нагрузка уже получена в четверг.</x:v>
      </x:c>
      <x:c r="P215" s="13" t="str">
        <x:v>milestone_01_foundation/week_03_2026-09-21/05_FRIDAY.md</x:v>
      </x:c>
      <x:c r="Q215" s="138" t="str">
        <x:v>Markdown</x:v>
      </x:c>
      <x:c r="R215" s="20" t="str"/>
    </x:row>
    <x:row r="216" ht="36" customHeight="1">
      <x:c r="A216" s="19" t="str">
        <x:v>W03-20260926-0215</x:v>
      </x:c>
      <x:c r="B216" s="13" t="n">
        <x:v>3</x:v>
      </x:c>
      <x:c r="C216" s="13" t="str">
        <x:v>Этап 1 — База, разминка и исходная точка</x:v>
      </x:c>
      <x:c r="D216" s="138" t="str">
        <x:v>2026-09-26</x:v>
      </x:c>
      <x:c r="E216" s="13" t="str">
        <x:v>Суббота</x:v>
      </x:c>
      <x:c r="F216" s="13" t="str">
        <x:v>Отдых / подготовка</x:v>
      </x:c>
      <x:c r="G216" s="44" t="n">
        <x:v>0</x:v>
      </x:c>
      <x:c r="H216" s="44" t="n">
        <x:v>0.003472222222222222</x:v>
      </x:c>
      <x:c r="I216" s="32" t="n">
        <x:f>ROUND((H216-G216)*1440,0)</x:f>
        <x:v>5</x:v>
      </x:c>
      <x:c r="J216" s="13" t="str">
        <x:v>Самопроверка</x:v>
      </x:c>
      <x:c r="K216" s="13" t="str">
        <x:v>Проверь кожу пальцев, ногти, плечо и колено. Никаких тестовых висов.</x:v>
      </x:c>
      <x:c r="L216" s="13" t="str">
        <x:v>☐ Не начато</x:v>
      </x:c>
      <x:c r="M216" s="13" t="str">
        <x:v>Обязательно</x:v>
      </x:c>
      <x:c r="N216" s="13" t="str">
        <x:v>Восстановление</x:v>
      </x:c>
      <x:c r="O216" s="13" t="str"/>
      <x:c r="P216" s="13" t="str">
        <x:v>milestone_01_foundation/week_03_2026-09-21/06_SATURDAY.md</x:v>
      </x:c>
      <x:c r="Q216" s="138" t="str">
        <x:v>Markdown</x:v>
      </x:c>
      <x:c r="R216" s="20" t="str"/>
    </x:row>
    <x:row r="217" ht="36" customHeight="1">
      <x:c r="A217" s="19" t="str">
        <x:v>W03-20260926-0216</x:v>
      </x:c>
      <x:c r="B217" s="13" t="n">
        <x:v>3</x:v>
      </x:c>
      <x:c r="C217" s="13" t="str">
        <x:v>Этап 1 — База, разминка и исходная точка</x:v>
      </x:c>
      <x:c r="D217" s="138" t="str">
        <x:v>2026-09-26</x:v>
      </x:c>
      <x:c r="E217" s="13" t="str">
        <x:v>Суббота</x:v>
      </x:c>
      <x:c r="F217" s="13" t="str">
        <x:v>Отдых / подготовка</x:v>
      </x:c>
      <x:c r="G217" s="44" t="n">
        <x:v>0.003472222222222222</x:v>
      </x:c>
      <x:c r="H217" s="44" t="n">
        <x:v>0.010416666666666666</x:v>
      </x:c>
      <x:c r="I217" s="32" t="n">
        <x:f>ROUND((H217-G217)*1440,0)</x:f>
        <x:v>10</x:v>
      </x:c>
      <x:c r="J217" s="13" t="str">
        <x:v>Активное восстановление</x:v>
      </x:c>
      <x:c r="K217" s="13" t="str">
        <x:v>10 минут лёгкой прогулки или бытовой активности. Цель — восстановление, не тренировка.</x:v>
      </x:c>
      <x:c r="L217" s="13" t="str">
        <x:v>☐ Не начато</x:v>
      </x:c>
      <x:c r="M217" s="13" t="str">
        <x:v>Обязательно</x:v>
      </x:c>
      <x:c r="N217" s="13" t="str">
        <x:v>RPE 1–2</x:v>
      </x:c>
      <x:c r="O217" s="13" t="str"/>
      <x:c r="P217" s="13" t="str">
        <x:v>milestone_01_foundation/week_03_2026-09-21/06_SATURDAY.md</x:v>
      </x:c>
      <x:c r="Q217" s="138" t="str">
        <x:v>Markdown</x:v>
      </x:c>
      <x:c r="R217" s="20" t="str"/>
    </x:row>
    <x:row r="218" ht="36" customHeight="1">
      <x:c r="A218" s="19" t="str">
        <x:v>W03-20260926-0217</x:v>
      </x:c>
      <x:c r="B218" s="13" t="n">
        <x:v>3</x:v>
      </x:c>
      <x:c r="C218" s="13" t="str">
        <x:v>Этап 1 — База, разминка и исходная точка</x:v>
      </x:c>
      <x:c r="D218" s="138" t="str">
        <x:v>2026-09-26</x:v>
      </x:c>
      <x:c r="E218" s="13" t="str">
        <x:v>Суббота</x:v>
      </x:c>
      <x:c r="F218" s="13" t="str">
        <x:v>Отдых / подготовка</x:v>
      </x:c>
      <x:c r="G218" s="44" t="n">
        <x:v>0.010416666666666666</x:v>
      </x:c>
      <x:c r="H218" s="44" t="n">
        <x:v>0.013888888888888888</x:v>
      </x:c>
      <x:c r="I218" s="32" t="n">
        <x:f>ROUND((H218-G218)*1440,0)</x:f>
        <x:v>5</x:v>
      </x:c>
      <x:c r="J218" s="13" t="str">
        <x:v>Уход за кожей</x:v>
      </x:c>
      <x:c r="K218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218" s="13" t="str">
        <x:v>☐ Не начато</x:v>
      </x:c>
      <x:c r="M218" s="13" t="str">
        <x:v>Опционально</x:v>
      </x:c>
      <x:c r="N218" s="13" t="str">
        <x:v>Без нагрузки</x:v>
      </x:c>
      <x:c r="O218" s="13" t="str">
        <x:v>Повреждённую/болезненную кожу не шлифовать.</x:v>
      </x:c>
      <x:c r="P218" s="13" t="str">
        <x:v>milestone_01_foundation/week_03_2026-09-21/06_SATURDAY.md</x:v>
      </x:c>
      <x:c r="Q218" s="138" t="str">
        <x:v>Markdown</x:v>
      </x:c>
      <x:c r="R218" s="20" t="str"/>
    </x:row>
    <x:row r="219" ht="36" customHeight="1">
      <x:c r="A219" s="19" t="str">
        <x:v>W03-20260926-0218</x:v>
      </x:c>
      <x:c r="B219" s="13" t="n">
        <x:v>3</x:v>
      </x:c>
      <x:c r="C219" s="13" t="str">
        <x:v>Этап 1 — База, разминка и исходная точка</x:v>
      </x:c>
      <x:c r="D219" s="138" t="str">
        <x:v>2026-09-26</x:v>
      </x:c>
      <x:c r="E219" s="13" t="str">
        <x:v>Суббота</x:v>
      </x:c>
      <x:c r="F219" s="13" t="str">
        <x:v>Отдых / подготовка</x:v>
      </x:c>
      <x:c r="G219" s="44" t="n">
        <x:v>0.013888888888888888</x:v>
      </x:c>
      <x:c r="H219" s="44" t="n">
        <x:v>0.016666666666666666</x:v>
      </x:c>
      <x:c r="I219" s="32" t="n">
        <x:f>ROUND((H219-G219)*1440,0)</x:f>
        <x:v>4</x:v>
      </x:c>
      <x:c r="J219" s="13" t="str">
        <x:v>Подготовка</x:v>
      </x:c>
      <x:c r="K219" s="13" t="str">
        <x:v>Заряди телефон, освободи память для одного видео, положи щётку и магнезию.</x:v>
      </x:c>
      <x:c r="L219" s="13" t="str">
        <x:v>☐ Не начато</x:v>
      </x:c>
      <x:c r="M219" s="13" t="str">
        <x:v>Обязательно</x:v>
      </x:c>
      <x:c r="N219" s="13" t="str">
        <x:v>Без нагрузки</x:v>
      </x:c>
      <x:c r="O219" s="13" t="str"/>
      <x:c r="P219" s="13" t="str">
        <x:v>milestone_01_foundation/week_03_2026-09-21/06_SATURDAY.md</x:v>
      </x:c>
      <x:c r="Q219" s="138" t="str">
        <x:v>Markdown</x:v>
      </x:c>
      <x:c r="R219" s="20" t="str"/>
    </x:row>
    <x:row r="220" ht="36" customHeight="1">
      <x:c r="A220" s="19" t="str">
        <x:v>W03-20260926-0219</x:v>
      </x:c>
      <x:c r="B220" s="13" t="n">
        <x:v>3</x:v>
      </x:c>
      <x:c r="C220" s="13" t="str">
        <x:v>Этап 1 — База, разминка и исходная точка</x:v>
      </x:c>
      <x:c r="D220" s="138" t="str">
        <x:v>2026-09-26</x:v>
      </x:c>
      <x:c r="E220" s="13" t="str">
        <x:v>Суббота</x:v>
      </x:c>
      <x:c r="F220" s="13" t="str">
        <x:v>Отдых / подготовка</x:v>
      </x:c>
      <x:c r="G220" s="44" t="n">
        <x:v>0.016666666666666666</x:v>
      </x:c>
      <x:c r="H220" s="44" t="n">
        <x:v>0.01875</x:v>
      </x:c>
      <x:c r="I220" s="32" t="n">
        <x:f>ROUND((H220-G220)*1440,0)</x:f>
        <x:v>3</x:v>
      </x:c>
      <x:c r="J220" s="13" t="str">
        <x:v>План воскресенья</x:v>
      </x:c>
      <x:c r="K220" s="13" t="str">
        <x:v>Выбери заранее одну лёгкую трассу под тему «Чтение трассы и одна гипотеза». Воскресенье остаётся развлечением, не третьим тяжёлым днём.</x:v>
      </x:c>
      <x:c r="L220" s="13" t="str">
        <x:v>☐ Не начато</x:v>
      </x:c>
      <x:c r="M220" s="13" t="str">
        <x:v>Обязательно</x:v>
      </x:c>
      <x:c r="N220" s="13" t="str">
        <x:v>Без нагрузки</x:v>
      </x:c>
      <x:c r="O220" s="13" t="str"/>
      <x:c r="P220" s="13" t="str">
        <x:v>milestone_01_foundation/week_03_2026-09-21/06_SATURDAY.md</x:v>
      </x:c>
      <x:c r="Q220" s="138" t="str">
        <x:v>Markdown</x:v>
      </x:c>
      <x:c r="R220" s="20" t="str"/>
    </x:row>
    <x:row r="221" ht="36" customHeight="1">
      <x:c r="A221" s="19" t="str">
        <x:v>W03-20260926-0220</x:v>
      </x:c>
      <x:c r="B221" s="13" t="n">
        <x:v>3</x:v>
      </x:c>
      <x:c r="C221" s="13" t="str">
        <x:v>Этап 1 — База, разминка и исходная точка</x:v>
      </x:c>
      <x:c r="D221" s="138" t="str">
        <x:v>2026-09-26</x:v>
      </x:c>
      <x:c r="E221" s="13" t="str">
        <x:v>Суббота</x:v>
      </x:c>
      <x:c r="F221" s="13" t="str">
        <x:v>Отдых / подготовка</x:v>
      </x:c>
      <x:c r="G221" s="44" t="n">
        <x:v>0.01875</x:v>
      </x:c>
      <x:c r="H221" s="44" t="n">
        <x:v>0.020833333333333332</x:v>
      </x:c>
      <x:c r="I221" s="32" t="n">
        <x:f>ROUND((H221-G221)*1440,0)</x:f>
        <x:v>3</x:v>
      </x:c>
      <x:c r="J221" s="13" t="str">
        <x:v>Сон / восстановление</x:v>
      </x:c>
      <x:c r="K221" s="13" t="str">
        <x:v>Запланируй обычный сон и нормальный приём пищи; не пытайся «разбудить хват» вечером.</x:v>
      </x:c>
      <x:c r="L221" s="13" t="str">
        <x:v>☐ Не начато</x:v>
      </x:c>
      <x:c r="M221" s="13" t="str">
        <x:v>Обязательно</x:v>
      </x:c>
      <x:c r="N221" s="13" t="str">
        <x:v>Восстановление</x:v>
      </x:c>
      <x:c r="O221" s="13" t="str"/>
      <x:c r="P221" s="13" t="str">
        <x:v>milestone_01_foundation/week_03_2026-09-21/06_SATURDAY.md</x:v>
      </x:c>
      <x:c r="Q221" s="138" t="str">
        <x:v>Markdown</x:v>
      </x:c>
      <x:c r="R221" s="20" t="str"/>
    </x:row>
    <x:row r="222" ht="36" customHeight="1">
      <x:c r="A222" s="19" t="str">
        <x:v>W03-20260927-0221</x:v>
      </x:c>
      <x:c r="B222" s="13" t="n">
        <x:v>3</x:v>
      </x:c>
      <x:c r="C222" s="13" t="str">
        <x:v>Этап 1 — База, разминка и исходная точка</x:v>
      </x:c>
      <x:c r="D222" s="138" t="str">
        <x:v>2026-09-27</x:v>
      </x:c>
      <x:c r="E222" s="13" t="str">
        <x:v>Воскресенье</x:v>
      </x:c>
      <x:c r="F222" s="13" t="str">
        <x:v>Тренировка C — fun / опционально</x:v>
      </x:c>
      <x:c r="G222" s="44" t="n">
        <x:v>0</x:v>
      </x:c>
      <x:c r="H222" s="44" t="n">
        <x:v>0.0020833333333333333</x:v>
      </x:c>
      <x:c r="I222" s="32" t="n">
        <x:f>ROUND((H222-G222)*1440,0)</x:f>
        <x:v>3</x:v>
      </x:c>
      <x:c r="J222" s="13" t="str">
        <x:v>Выбор сценария</x:v>
      </x:c>
      <x:c r="K222" s="13" t="str">
        <x:v>Выбери один сценарий: (A) fun-сессия 75 минут в зале или (B) восстановительный день дома 25 минут. Не выполнять оба.</x:v>
      </x:c>
      <x:c r="L222" s="13" t="str">
        <x:v>☐ Не начато</x:v>
      </x:c>
      <x:c r="M222" s="13" t="str">
        <x:v>Выбрать один сценарий</x:v>
      </x:c>
      <x:c r="N222" s="13" t="str">
        <x:v>По состоянию</x:v>
      </x:c>
      <x:c r="O222" s="13" t="str"/>
      <x:c r="P222" s="13" t="str">
        <x:v>milestone_01_foundation/week_03_2026-09-21/07_SUNDAY.md</x:v>
      </x:c>
      <x:c r="Q222" s="138" t="str">
        <x:v>Markdown</x:v>
      </x:c>
      <x:c r="R222" s="20" t="str"/>
    </x:row>
    <x:row r="223" ht="36" customHeight="1">
      <x:c r="A223" s="19" t="str">
        <x:v>W03-20260927-0222</x:v>
      </x:c>
      <x:c r="B223" s="13" t="n">
        <x:v>3</x:v>
      </x:c>
      <x:c r="C223" s="13" t="str">
        <x:v>Этап 1 — База, разминка и исходная точка</x:v>
      </x:c>
      <x:c r="D223" s="138" t="str">
        <x:v>2026-09-27</x:v>
      </x:c>
      <x:c r="E223" s="13" t="str">
        <x:v>Воскресенье</x:v>
      </x:c>
      <x:c r="F223" s="13" t="str">
        <x:v>Тренировка C — fun / опционально</x:v>
      </x:c>
      <x:c r="G223" s="44" t="n">
        <x:v>0.0020833333333333333</x:v>
      </x:c>
      <x:c r="H223" s="44" t="n">
        <x:v>0.005555555555555556</x:v>
      </x:c>
      <x:c r="I223" s="32" t="n">
        <x:f>ROUND((H223-G223)*1440,0)</x:f>
        <x:v>5</x:v>
      </x:c>
      <x:c r="J223" s="13" t="str">
        <x:v>Разминка A</x:v>
      </x:c>
      <x:c r="K223" s="13" t="str">
        <x:v>Если идёшь в зал: 5 минут поднятия температуры.</x:v>
      </x:c>
      <x:c r="L223" s="13" t="str">
        <x:v>☐ Не начато</x:v>
      </x:c>
      <x:c r="M223" s="13" t="str">
        <x:v>Опционально</x:v>
      </x:c>
      <x:c r="N223" s="13" t="str">
        <x:v>RPE 2–3</x:v>
      </x:c>
      <x:c r="O223" s="13" t="str"/>
      <x:c r="P223" s="13" t="str">
        <x:v>milestone_01_foundation/week_03_2026-09-21/07_SUNDAY.md</x:v>
      </x:c>
      <x:c r="Q223" s="138" t="str">
        <x:v>Markdown</x:v>
      </x:c>
      <x:c r="R223" s="20" t="str"/>
    </x:row>
    <x:row r="224" ht="36" customHeight="1">
      <x:c r="A224" s="19" t="str">
        <x:v>W03-20260927-0223</x:v>
      </x:c>
      <x:c r="B224" s="13" t="n">
        <x:v>3</x:v>
      </x:c>
      <x:c r="C224" s="13" t="str">
        <x:v>Этап 1 — База, разминка и исходная точка</x:v>
      </x:c>
      <x:c r="D224" s="138" t="str">
        <x:v>2026-09-27</x:v>
      </x:c>
      <x:c r="E224" s="13" t="str">
        <x:v>Воскресенье</x:v>
      </x:c>
      <x:c r="F224" s="13" t="str">
        <x:v>Тренировка C — fun / опционально</x:v>
      </x:c>
      <x:c r="G224" s="44" t="n">
        <x:v>0.005555555555555556</x:v>
      </x:c>
      <x:c r="H224" s="44" t="n">
        <x:v>0.009027777777777777</x:v>
      </x:c>
      <x:c r="I224" s="32" t="n">
        <x:f>ROUND((H224-G224)*1440,0)</x:f>
        <x:v>5</x:v>
      </x:c>
      <x:c r="J224" s="13" t="str">
        <x:v>Разминка A</x:v>
      </x:c>
      <x:c r="K224" s="13" t="str">
        <x:v>Динамическая суставная разминка в безболезненном диапазоне; без отжиманий/press.</x:v>
      </x:c>
      <x:c r="L224" s="13" t="str">
        <x:v>☐ Не начато</x:v>
      </x:c>
      <x:c r="M224" s="13" t="str">
        <x:v>Опционально</x:v>
      </x:c>
      <x:c r="N224" s="13" t="str">
        <x:v>Очень легко</x:v>
      </x:c>
      <x:c r="O224" s="13" t="str">
        <x:v>Не повторять движение, если оно вызывает боль. Снимать весь корпус и обе ноги, а не только руки.</x:v>
      </x:c>
      <x:c r="P224" s="13" t="str">
        <x:v>milestone_01_foundation/week_03_2026-09-21/07_SUNDAY.md</x:v>
      </x:c>
      <x:c r="Q224" s="138" t="str">
        <x:v>Markdown</x:v>
      </x:c>
      <x:c r="R224" s="20" t="str"/>
    </x:row>
    <x:row r="225" ht="36" customHeight="1">
      <x:c r="A225" s="19" t="str">
        <x:v>W03-20260927-0224</x:v>
      </x:c>
      <x:c r="B225" s="13" t="n">
        <x:v>3</x:v>
      </x:c>
      <x:c r="C225" s="13" t="str">
        <x:v>Этап 1 — База, разминка и исходная точка</x:v>
      </x:c>
      <x:c r="D225" s="138" t="str">
        <x:v>2026-09-27</x:v>
      </x:c>
      <x:c r="E225" s="13" t="str">
        <x:v>Воскресенье</x:v>
      </x:c>
      <x:c r="F225" s="13" t="str">
        <x:v>Тренировка C — fun / опционально</x:v>
      </x:c>
      <x:c r="G225" s="44" t="n">
        <x:v>0.009027777777777777</x:v>
      </x:c>
      <x:c r="H225" s="44" t="n">
        <x:v>0.013888888888888888</x:v>
      </x:c>
      <x:c r="I225" s="32" t="n">
        <x:f>ROUND((H225-G225)*1440,0)</x:f>
        <x:v>7</x:v>
      </x:c>
      <x:c r="J225" s="13" t="str">
        <x:v>Лёгкое лазание A</x:v>
      </x:c>
      <x:c r="K225" s="13" t="str">
        <x:v>3 очень лёгкие трассы 1–3 с постепенным увеличением сложности.</x:v>
      </x:c>
      <x:c r="L225" s="13" t="str">
        <x:v>☐ Не начато</x:v>
      </x:c>
      <x:c r="M225" s="13" t="str">
        <x:v>Опционально</x:v>
      </x:c>
      <x:c r="N225" s="13" t="str">
        <x:v>RPE 2–4</x:v>
      </x:c>
      <x:c r="O225" s="13" t="str"/>
      <x:c r="P225" s="13" t="str">
        <x:v>milestone_01_foundation/week_03_2026-09-21/07_SUNDAY.md</x:v>
      </x:c>
      <x:c r="Q225" s="138" t="str">
        <x:v>Markdown</x:v>
      </x:c>
      <x:c r="R225" s="20" t="str"/>
    </x:row>
    <x:row r="226" ht="36" customHeight="1">
      <x:c r="A226" s="19" t="str">
        <x:v>W03-20260927-0225</x:v>
      </x:c>
      <x:c r="B226" s="13" t="n">
        <x:v>3</x:v>
      </x:c>
      <x:c r="C226" s="13" t="str">
        <x:v>Этап 1 — База, разминка и исходная точка</x:v>
      </x:c>
      <x:c r="D226" s="138" t="str">
        <x:v>2026-09-27</x:v>
      </x:c>
      <x:c r="E226" s="13" t="str">
        <x:v>Воскресенье</x:v>
      </x:c>
      <x:c r="F226" s="13" t="str">
        <x:v>Тренировка C — fun / опционально</x:v>
      </x:c>
      <x:c r="G226" s="44" t="n">
        <x:v>0.013888888888888888</x:v>
      </x:c>
      <x:c r="H226" s="44" t="n">
        <x:v>0.020833333333333332</x:v>
      </x:c>
      <x:c r="I226" s="32" t="n">
        <x:f>ROUND((H226-G226)*1440,0)</x:f>
        <x:v>10</x:v>
      </x:c>
      <x:c r="J226" s="13" t="str">
        <x:v>Технический праймер A</x:v>
      </x:c>
      <x:c r="K226" s="13" t="str">
        <x:v>На одной лёгкой трассе дважды повтори «Чтение трассы и одна гипотеза». Критерий: После каждой попытки есть конкретная гипотеза, а не только «не хватило сил».</x:v>
      </x:c>
      <x:c r="L226" s="13" t="str">
        <x:v>☐ Не начато</x:v>
      </x:c>
      <x:c r="M226" s="13" t="str">
        <x:v>Опционально</x:v>
      </x:c>
      <x:c r="N226" s="13" t="str">
        <x:v>RPE 3–4</x:v>
      </x:c>
      <x:c r="O226" s="13" t="str">
        <x:v>Телефон ставить вне зоны падения; в кадре должны быть обе ноги и весь корпус.</x:v>
      </x:c>
      <x:c r="P226" s="13" t="str">
        <x:v>milestone_01_foundation/week_03_2026-09-21/07_SUNDAY.md</x:v>
      </x:c>
      <x:c r="Q226" s="138" t="str">
        <x:v>Markdown</x:v>
      </x:c>
      <x:c r="R226" s="20" t="str"/>
    </x:row>
    <x:row r="227" ht="36" customHeight="1">
      <x:c r="A227" s="19" t="str">
        <x:v>W03-20260927-0226</x:v>
      </x:c>
      <x:c r="B227" s="13" t="n">
        <x:v>3</x:v>
      </x:c>
      <x:c r="C227" s="13" t="str">
        <x:v>Этап 1 — База, разминка и исходная точка</x:v>
      </x:c>
      <x:c r="D227" s="138" t="str">
        <x:v>2026-09-27</x:v>
      </x:c>
      <x:c r="E227" s="13" t="str">
        <x:v>Воскресенье</x:v>
      </x:c>
      <x:c r="F227" s="13" t="str">
        <x:v>Тренировка C — fun / опционально</x:v>
      </x:c>
      <x:c r="G227" s="44" t="n">
        <x:v>0.020833333333333332</x:v>
      </x:c>
      <x:c r="H227" s="44" t="n">
        <x:v>0.03819444444444445</x:v>
      </x:c>
      <x:c r="I227" s="32" t="n">
        <x:f>ROUND((H227-G227)*1440,0)</x:f>
        <x:v>25</x:v>
      </x:c>
      <x:c r="J227" s="13" t="str">
        <x:v>Свободное лазание A</x:v>
      </x:c>
      <x:c r="K227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227" s="13" t="str">
        <x:v>☐ Не начато</x:v>
      </x:c>
      <x:c r="M227" s="13" t="str">
        <x:v>Опционально</x:v>
      </x:c>
      <x:c r="N227" s="13" t="str">
        <x:v>RPE 4–7</x:v>
      </x:c>
      <x:c r="O227" s="13" t="str">
        <x:v>Не превращать блок в круг на выносливость.</x:v>
      </x:c>
      <x:c r="P227" s="13" t="str">
        <x:v>milestone_01_foundation/week_03_2026-09-21/07_SUNDAY.md</x:v>
      </x:c>
      <x:c r="Q227" s="138" t="str">
        <x:v>Markdown</x:v>
      </x:c>
      <x:c r="R227" s="20" t="str"/>
    </x:row>
    <x:row r="228" ht="36" customHeight="1">
      <x:c r="A228" s="19" t="str">
        <x:v>W03-20260927-0227</x:v>
      </x:c>
      <x:c r="B228" s="13" t="n">
        <x:v>3</x:v>
      </x:c>
      <x:c r="C228" s="13" t="str">
        <x:v>Этап 1 — База, разминка и исходная точка</x:v>
      </x:c>
      <x:c r="D228" s="138" t="str">
        <x:v>2026-09-27</x:v>
      </x:c>
      <x:c r="E228" s="13" t="str">
        <x:v>Воскресенье</x:v>
      </x:c>
      <x:c r="F228" s="13" t="str">
        <x:v>Тренировка C — fun / опционально</x:v>
      </x:c>
      <x:c r="G228" s="44" t="n">
        <x:v>0.03819444444444445</x:v>
      </x:c>
      <x:c r="H228" s="44" t="n">
        <x:v>0.04583333333333333</x:v>
      </x:c>
      <x:c r="I228" s="32" t="n">
        <x:f>ROUND((H228-G228)*1440,0)</x:f>
        <x:v>11</x:v>
      </x:c>
      <x:c r="J228" s="13" t="str">
        <x:v>Свежая сложная попытка A</x:v>
      </x:c>
      <x:c r="K228" s="13" t="str">
        <x:v>Только если всё зелёное: попробуй одну рабочую пятёрку или дружелюбную шестёрку по критериям недели — 1 пятёрка как проект: максимум 5 качественных попыток с 3–4 минутами отдыха; менять только одну вещь за попытку. Максимум 2 попытки, отдых 4 минуты.</x:v>
      </x:c>
      <x:c r="L228" s="13" t="str">
        <x:v>☐ Не начато</x:v>
      </x:c>
      <x:c r="M228" s="13" t="str">
        <x:v>Опционально</x:v>
      </x:c>
      <x:c r="N228" s="13" t="str">
        <x:v>RPE 7–8, без отказа</x:v>
      </x:c>
      <x:c r="O228" s="13" t="str">
        <x:v>Не повторять движение, если оно вызывает боль. Снимать весь корпус и обе ноги, а не только руки.</x:v>
      </x:c>
      <x:c r="P228" s="13" t="str">
        <x:v>milestone_01_foundation/week_03_2026-09-21/07_SUNDAY.md</x:v>
      </x:c>
      <x:c r="Q228" s="138" t="str">
        <x:v>Markdown</x:v>
      </x:c>
      <x:c r="R228" s="20" t="str"/>
    </x:row>
    <x:row r="229" ht="36" customHeight="1">
      <x:c r="A229" s="19" t="str">
        <x:v>W03-20260927-0228</x:v>
      </x:c>
      <x:c r="B229" s="13" t="n">
        <x:v>3</x:v>
      </x:c>
      <x:c r="C229" s="13" t="str">
        <x:v>Этап 1 — База, разминка и исходная точка</x:v>
      </x:c>
      <x:c r="D229" s="138" t="str">
        <x:v>2026-09-27</x:v>
      </x:c>
      <x:c r="E229" s="13" t="str">
        <x:v>Воскресенье</x:v>
      </x:c>
      <x:c r="F229" s="13" t="str">
        <x:v>Тренировка C — fun / опционально</x:v>
      </x:c>
      <x:c r="G229" s="44" t="n">
        <x:v>0.04583333333333333</x:v>
      </x:c>
      <x:c r="H229" s="44" t="n">
        <x:v>0.05</x:v>
      </x:c>
      <x:c r="I229" s="32" t="n">
        <x:f>ROUND((H229-G229)*1440,0)</x:f>
        <x:v>6</x:v>
      </x:c>
      <x:c r="J229" s="13" t="str">
        <x:v>Лёгкий финал A</x:v>
      </x:c>
      <x:c r="K229" s="13" t="str">
        <x:v>Одна любимая лёгкая трасса или спокойный спуск. Фингерборда и capacity-круга нет.</x:v>
      </x:c>
      <x:c r="L229" s="13" t="str">
        <x:v>☐ Не начато</x:v>
      </x:c>
      <x:c r="M229" s="13" t="str">
        <x:v>Опционально</x:v>
      </x:c>
      <x:c r="N229" s="13" t="str">
        <x:v>RPE 2–3</x:v>
      </x:c>
      <x:c r="O229" s="13" t="str"/>
      <x:c r="P229" s="13" t="str">
        <x:v>milestone_01_foundation/week_03_2026-09-21/07_SUNDAY.md</x:v>
      </x:c>
      <x:c r="Q229" s="138" t="str">
        <x:v>Markdown</x:v>
      </x:c>
      <x:c r="R229" s="20" t="str"/>
    </x:row>
    <x:row r="230" ht="36" customHeight="1">
      <x:c r="A230" s="19" t="str">
        <x:v>W03-20260927-0229</x:v>
      </x:c>
      <x:c r="B230" s="13" t="n">
        <x:v>3</x:v>
      </x:c>
      <x:c r="C230" s="13" t="str">
        <x:v>Этап 1 — База, разминка и исходная точка</x:v>
      </x:c>
      <x:c r="D230" s="138" t="str">
        <x:v>2026-09-27</x:v>
      </x:c>
      <x:c r="E230" s="13" t="str">
        <x:v>Воскресенье</x:v>
      </x:c>
      <x:c r="F230" s="13" t="str">
        <x:v>Тренировка C — fun / опционально</x:v>
      </x:c>
      <x:c r="G230" s="44" t="n">
        <x:v>0.05</x:v>
      </x:c>
      <x:c r="H230" s="44" t="n">
        <x:v>0.052083333333333336</x:v>
      </x:c>
      <x:c r="I230" s="32" t="n">
        <x:f>ROUND((H230-G230)*1440,0)</x:f>
        <x:v>3</x:v>
      </x:c>
      <x:c r="J230" s="13" t="str">
        <x:v>Журнал A</x:v>
      </x:c>
      <x:c r="K230" s="13" t="str">
        <x:v>Запиши только 3 вещи: что было весело, один удачный технический момент, состояние пальцев после сессии.</x:v>
      </x:c>
      <x:c r="L230" s="13" t="str">
        <x:v>☐ Не начато</x:v>
      </x:c>
      <x:c r="M230" s="13" t="str">
        <x:v>Опционально</x:v>
      </x:c>
      <x:c r="N230" s="13" t="str">
        <x:v>Без нагрузки</x:v>
      </x:c>
      <x:c r="O230" s="13" t="str"/>
      <x:c r="P230" s="13" t="str">
        <x:v>milestone_01_foundation/week_03_2026-09-21/07_SUNDAY.md</x:v>
      </x:c>
      <x:c r="Q230" s="138" t="str">
        <x:v>Markdown</x:v>
      </x:c>
      <x:c r="R230" s="20" t="str"/>
    </x:row>
    <x:row r="231" ht="36" customHeight="1">
      <x:c r="A231" s="19" t="str">
        <x:v>W03-20260927-0230</x:v>
      </x:c>
      <x:c r="B231" s="13" t="n">
        <x:v>3</x:v>
      </x:c>
      <x:c r="C231" s="13" t="str">
        <x:v>Этап 1 — База, разминка и исходная точка</x:v>
      </x:c>
      <x:c r="D231" s="138" t="str">
        <x:v>2026-09-27</x:v>
      </x:c>
      <x:c r="E231" s="13" t="str">
        <x:v>Воскресенье</x:v>
      </x:c>
      <x:c r="F231" s="13" t="str">
        <x:v>Восстановление B — дома</x:v>
      </x:c>
      <x:c r="G231" s="44" t="n">
        <x:v>0</x:v>
      </x:c>
      <x:c r="H231" s="44" t="n">
        <x:v>0.010416666666666666</x:v>
      </x:c>
      <x:c r="I231" s="32" t="n">
        <x:f>ROUND((H231-G231)*1440,0)</x:f>
        <x:v>15</x:v>
      </x:c>
      <x:c r="J231" s="13" t="str">
        <x:v>Прогулка B</x:v>
      </x:c>
      <x:c r="K231" s="13" t="str">
        <x:v>Если не идёшь в зал: 15 минут спокойной прогулки.</x:v>
      </x:c>
      <x:c r="L231" s="13" t="str">
        <x:v>☐ Не начато</x:v>
      </x:c>
      <x:c r="M231" s="13" t="str">
        <x:v>Опционально</x:v>
      </x:c>
      <x:c r="N231" s="13" t="str">
        <x:v>RPE 1–2</x:v>
      </x:c>
      <x:c r="O231" s="13" t="str"/>
      <x:c r="P231" s="13" t="str">
        <x:v>milestone_01_foundation/week_03_2026-09-21/07_SUNDAY.md</x:v>
      </x:c>
      <x:c r="Q231" s="138" t="str">
        <x:v>Markdown</x:v>
      </x:c>
      <x:c r="R231" s="20" t="str"/>
    </x:row>
    <x:row r="232" ht="36" customHeight="1">
      <x:c r="A232" s="19" t="str">
        <x:v>W03-20260927-0231</x:v>
      </x:c>
      <x:c r="B232" s="13" t="n">
        <x:v>3</x:v>
      </x:c>
      <x:c r="C232" s="13" t="str">
        <x:v>Этап 1 — База, разминка и исходная точка</x:v>
      </x:c>
      <x:c r="D232" s="138" t="str">
        <x:v>2026-09-27</x:v>
      </x:c>
      <x:c r="E232" s="13" t="str">
        <x:v>Воскресенье</x:v>
      </x:c>
      <x:c r="F232" s="13" t="str">
        <x:v>Восстановление B — дома</x:v>
      </x:c>
      <x:c r="G232" s="44" t="n">
        <x:v>0.010416666666666666</x:v>
      </x:c>
      <x:c r="H232" s="44" t="n">
        <x:v>0.015277777777777777</x:v>
      </x:c>
      <x:c r="I232" s="32" t="n">
        <x:f>ROUND((H232-G232)*1440,0)</x:f>
        <x:v>7</x:v>
      </x:c>
      <x:c r="J232" s="13" t="str">
        <x:v>Визуализация B</x:v>
      </x:c>
      <x:c r="K232" s="13" t="str">
        <x:v>7 минут: мысленно повтори тему недели «Чтение трассы и одна гипотеза» и одну трассу четверга.</x:v>
      </x:c>
      <x:c r="L232" s="13" t="str">
        <x:v>☐ Не начато</x:v>
      </x:c>
      <x:c r="M232" s="13" t="str">
        <x:v>Опционально</x:v>
      </x:c>
      <x:c r="N232" s="13" t="str">
        <x:v>Без нагрузки</x:v>
      </x:c>
      <x:c r="O232" s="13" t="str"/>
      <x:c r="P232" s="13" t="str">
        <x:v>milestone_01_foundation/week_03_2026-09-21/07_SUNDAY.md</x:v>
      </x:c>
      <x:c r="Q232" s="138" t="str">
        <x:v>Markdown</x:v>
      </x:c>
      <x:c r="R232" s="20" t="str"/>
    </x:row>
    <x:row r="233" ht="36" customHeight="1">
      <x:c r="A233" s="19" t="str">
        <x:v>W03-20260927-0232</x:v>
      </x:c>
      <x:c r="B233" s="13" t="n">
        <x:v>3</x:v>
      </x:c>
      <x:c r="C233" s="13" t="str">
        <x:v>Этап 1 — База, разминка и исходная точка</x:v>
      </x:c>
      <x:c r="D233" s="138" t="str">
        <x:v>2026-09-27</x:v>
      </x:c>
      <x:c r="E233" s="13" t="str">
        <x:v>Воскресенье</x:v>
      </x:c>
      <x:c r="F233" s="13" t="str">
        <x:v>Восстановление B — дома</x:v>
      </x:c>
      <x:c r="G233" s="44" t="n">
        <x:v>0.015277777777777777</x:v>
      </x:c>
      <x:c r="H233" s="44" t="n">
        <x:v>0.017361111111111112</x:v>
      </x:c>
      <x:c r="I233" s="32" t="n">
        <x:f>ROUND((H233-G233)*1440,0)</x:f>
        <x:v>3</x:v>
      </x:c>
      <x:c r="J233" s="13" t="str">
        <x:v>Итог недели B</x:v>
      </x:c>
      <x:c r="K233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233" s="13" t="str">
        <x:v>☐ Не начато</x:v>
      </x:c>
      <x:c r="M233" s="13" t="str">
        <x:v>Опционально</x:v>
      </x:c>
      <x:c r="N233" s="13" t="str">
        <x:v>Без нагрузки</x:v>
      </x:c>
      <x:c r="O233" s="13" t="str"/>
      <x:c r="P233" s="13" t="str">
        <x:v>milestone_01_foundation/week_03_2026-09-21/07_SUNDAY.md</x:v>
      </x:c>
      <x:c r="Q233" s="138" t="str">
        <x:v>Markdown</x:v>
      </x:c>
      <x:c r="R233" s="20" t="str"/>
    </x:row>
    <x:row r="234" ht="36" customHeight="1">
      <x:c r="A234" s="19" t="str">
        <x:v>W04-20260928-0233</x:v>
      </x:c>
      <x:c r="B234" s="13" t="n">
        <x:v>4</x:v>
      </x:c>
      <x:c r="C234" s="13" t="str">
        <x:v>Этап 1 — База, разминка и исходная точка</x:v>
      </x:c>
      <x:c r="D234" s="138" t="str">
        <x:v>2026-09-28</x:v>
      </x:c>
      <x:c r="E234" s="13" t="str">
        <x:v>Понедельник</x:v>
      </x:c>
      <x:c r="F234" s="13" t="str">
        <x:v>Дом / теория</x:v>
      </x:c>
      <x:c r="G234" s="44" t="n">
        <x:v>0</x:v>
      </x:c>
      <x:c r="H234" s="44" t="n">
        <x:v>0.0020833333333333333</x:v>
      </x:c>
      <x:c r="I234" s="32" t="n">
        <x:f>ROUND((H234-G234)*1440,0)</x:f>
        <x:v>3</x:v>
      </x:c>
      <x:c r="J234" s="13" t="str">
        <x:v>Самопроверка</x:v>
      </x:c>
      <x:c r="K234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234" s="13" t="str">
        <x:v>☐ Не начато</x:v>
      </x:c>
      <x:c r="M234" s="13" t="str">
        <x:v>Обязательно</x:v>
      </x:c>
      <x:c r="N234" s="13" t="str">
        <x:v>Очень легко</x:v>
      </x:c>
      <x:c r="O234" s="13" t="str">
        <x:v>Не диагностируй травму самостоятельно; используй правила из документа безопасности.</x:v>
      </x:c>
      <x:c r="P234" s="13" t="str">
        <x:v>milestone_01_foundation/week_04_2026-09-28/01_MONDAY.md</x:v>
      </x:c>
      <x:c r="Q234" s="138" t="str">
        <x:v>Markdown</x:v>
      </x:c>
      <x:c r="R234" s="20" t="str"/>
    </x:row>
    <x:row r="235" ht="36" customHeight="1">
      <x:c r="A235" s="19" t="str">
        <x:v>W04-20260928-0234</x:v>
      </x:c>
      <x:c r="B235" s="13" t="n">
        <x:v>4</x:v>
      </x:c>
      <x:c r="C235" s="13" t="str">
        <x:v>Этап 1 — База, разминка и исходная точка</x:v>
      </x:c>
      <x:c r="D235" s="138" t="str">
        <x:v>2026-09-28</x:v>
      </x:c>
      <x:c r="E235" s="13" t="str">
        <x:v>Понедельник</x:v>
      </x:c>
      <x:c r="F235" s="13" t="str">
        <x:v>Дом / теория</x:v>
      </x:c>
      <x:c r="G235" s="44" t="n">
        <x:v>0.0020833333333333333</x:v>
      </x:c>
      <x:c r="H235" s="44" t="n">
        <x:v>0.005555555555555556</x:v>
      </x:c>
      <x:c r="I235" s="32" t="n">
        <x:f>ROUND((H235-G235)*1440,0)</x:f>
        <x:v>5</x:v>
      </x:c>
      <x:c r="J235" s="13" t="str">
        <x:v>Планирование</x:v>
      </x:c>
      <x:c r="K235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«Заканчивай подход, пока техника ещё аккуратная, а не после полного отказа пальцев.»</x:v>
      </x:c>
      <x:c r="L235" s="13" t="str">
        <x:v>☐ Не начато</x:v>
      </x:c>
      <x:c r="M235" s="13" t="str">
        <x:v>Обязательно</x:v>
      </x:c>
      <x:c r="N235" s="13" t="str">
        <x:v>Без нагрузки</x:v>
      </x:c>
      <x:c r="O235" s="13" t="str"/>
      <x:c r="P235" s="13" t="str">
        <x:v>milestone_01_foundation/week_04_2026-09-28/01_MONDAY.md</x:v>
      </x:c>
      <x:c r="Q235" s="138" t="str">
        <x:v>Markdown</x:v>
      </x:c>
      <x:c r="R235" s="20" t="str"/>
    </x:row>
    <x:row r="236" ht="36" customHeight="1">
      <x:c r="A236" s="19" t="str">
        <x:v>W04-20260928-0235</x:v>
      </x:c>
      <x:c r="B236" s="13" t="n">
        <x:v>4</x:v>
      </x:c>
      <x:c r="C236" s="13" t="str">
        <x:v>Этап 1 — База, разминка и исходная точка</x:v>
      </x:c>
      <x:c r="D236" s="138" t="str">
        <x:v>2026-09-28</x:v>
      </x:c>
      <x:c r="E236" s="13" t="str">
        <x:v>Понедельник</x:v>
      </x:c>
      <x:c r="F236" s="13" t="str">
        <x:v>Дом / теория</x:v>
      </x:c>
      <x:c r="G236" s="44" t="n">
        <x:v>0.005555555555555556</x:v>
      </x:c>
      <x:c r="H236" s="44" t="n">
        <x:v>0.011111111111111112</x:v>
      </x:c>
      <x:c r="I236" s="32" t="n">
        <x:f>ROUND((H236-G236)*1440,0)</x:f>
        <x:v>8</x:v>
      </x:c>
      <x:c r="J236" s="13" t="str">
        <x:v>Теория</x:v>
      </x:c>
      <x:c r="K236" s="13" t="str">
        <x:v>Посмотри/прочитай [R05: BMC — Listening to your body when training for climbing](https://www.thebmc.co.uk/en/listening-to-your-body-when-training-for-climbing-video). Задача: Правила остановки, различие обычной усталости и тревожных ощущений.</x:v>
      </x:c>
      <x:c r="L236" s="13" t="str">
        <x:v>☐ Не начато</x:v>
      </x:c>
      <x:c r="M236" s="13" t="str">
        <x:v>Обязательно</x:v>
      </x:c>
      <x:c r="N236" s="13" t="str">
        <x:v>Без нагрузки</x:v>
      </x:c>
      <x:c r="O236" s="13" t="str"/>
      <x:c r="P236" s="13" t="str">
        <x:v>milestone_01_foundation/week_04_2026-09-28/01_MONDAY.md</x:v>
      </x:c>
      <x:c r="Q236" s="138" t="str">
        <x:v>Markdown</x:v>
      </x:c>
      <x:c r="R236" s="20" t="str"/>
    </x:row>
    <x:row r="237" ht="36" customHeight="1">
      <x:c r="A237" s="19" t="str">
        <x:v>W04-20260928-0236</x:v>
      </x:c>
      <x:c r="B237" s="13" t="n">
        <x:v>4</x:v>
      </x:c>
      <x:c r="C237" s="13" t="str">
        <x:v>Этап 1 — База, разминка и исходная точка</x:v>
      </x:c>
      <x:c r="D237" s="138" t="str">
        <x:v>2026-09-28</x:v>
      </x:c>
      <x:c r="E237" s="13" t="str">
        <x:v>Понедельник</x:v>
      </x:c>
      <x:c r="F237" s="13" t="str">
        <x:v>Дом / теория</x:v>
      </x:c>
      <x:c r="G237" s="44" t="n">
        <x:v>0.011111111111111112</x:v>
      </x:c>
      <x:c r="H237" s="44" t="n">
        <x:v>0.014583333333333334</x:v>
      </x:c>
      <x:c r="I237" s="32" t="n">
        <x:f>ROUND((H237-G237)*1440,0)</x:f>
        <x:v>5</x:v>
      </x:c>
      <x:c r="J237" s="13" t="str">
        <x:v>Конспект</x:v>
      </x:c>
      <x:c r="K237" s="13" t="str">
        <x:v>Запиши ровно 3 пункта: (1) что делать ногами/тазом; (2) что не делать руками; (3) какой признак успеха проверишь на стене для темы «Разгрузка и закрепление».</x:v>
      </x:c>
      <x:c r="L237" s="13" t="str">
        <x:v>☐ Не начато</x:v>
      </x:c>
      <x:c r="M237" s="13" t="str">
        <x:v>Обязательно</x:v>
      </x:c>
      <x:c r="N237" s="13" t="str">
        <x:v>Без нагрузки</x:v>
      </x:c>
      <x:c r="O237" s="13" t="str"/>
      <x:c r="P237" s="13" t="str">
        <x:v>milestone_01_foundation/week_04_2026-09-28/01_MONDAY.md</x:v>
      </x:c>
      <x:c r="Q237" s="138" t="str">
        <x:v>Markdown</x:v>
      </x:c>
      <x:c r="R237" s="20" t="str"/>
    </x:row>
    <x:row r="238" ht="36" customHeight="1">
      <x:c r="A238" s="19" t="str">
        <x:v>W04-20260928-0237</x:v>
      </x:c>
      <x:c r="B238" s="13" t="n">
        <x:v>4</x:v>
      </x:c>
      <x:c r="C238" s="13" t="str">
        <x:v>Этап 1 — База, разминка и исходная точка</x:v>
      </x:c>
      <x:c r="D238" s="138" t="str">
        <x:v>2026-09-28</x:v>
      </x:c>
      <x:c r="E238" s="13" t="str">
        <x:v>Понедельник</x:v>
      </x:c>
      <x:c r="F238" s="13" t="str">
        <x:v>Дом / теория</x:v>
      </x:c>
      <x:c r="G238" s="44" t="n">
        <x:v>0.014583333333333334</x:v>
      </x:c>
      <x:c r="H238" s="44" t="n">
        <x:v>0.022916666666666665</x:v>
      </x:c>
      <x:c r="I238" s="32" t="n">
        <x:f>ROUND((H238-G238)*1440,0)</x:f>
        <x:v>12</x:v>
      </x:c>
      <x:c r="J238" s="13" t="str">
        <x:v>Домашняя мобильность</x:v>
      </x:c>
      <x:c r="K238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238" s="13" t="str">
        <x:v>☐ Не начато</x:v>
      </x:c>
      <x:c r="M238" s="13" t="str">
        <x:v>Обязательно</x:v>
      </x:c>
      <x:c r="N238" s="13" t="str">
        <x:v>RPE 2–3</x:v>
      </x:c>
      <x:c r="O238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238" s="13" t="str">
        <x:v>milestone_01_foundation/week_04_2026-09-28/01_MONDAY.md</x:v>
      </x:c>
      <x:c r="Q238" s="138" t="str">
        <x:v>Markdown</x:v>
      </x:c>
      <x:c r="R238" s="20" t="str"/>
    </x:row>
    <x:row r="239" ht="36" customHeight="1">
      <x:c r="A239" s="19" t="str">
        <x:v>W04-20260928-0238</x:v>
      </x:c>
      <x:c r="B239" s="13" t="n">
        <x:v>4</x:v>
      </x:c>
      <x:c r="C239" s="13" t="str">
        <x:v>Этап 1 — База, разминка и исходная точка</x:v>
      </x:c>
      <x:c r="D239" s="138" t="str">
        <x:v>2026-09-28</x:v>
      </x:c>
      <x:c r="E239" s="13" t="str">
        <x:v>Понедельник</x:v>
      </x:c>
      <x:c r="F239" s="13" t="str">
        <x:v>Дом / теория</x:v>
      </x:c>
      <x:c r="G239" s="44" t="n">
        <x:v>0.022916666666666665</x:v>
      </x:c>
      <x:c r="H239" s="44" t="n">
        <x:v>0.03680555555555556</x:v>
      </x:c>
      <x:c r="I239" s="32" t="n">
        <x:f>ROUND((H239-G239)*1440,0)</x:f>
        <x:v>20</x:v>
      </x:c>
      <x:c r="J239" s="13" t="str">
        <x:v>Физиотерапия</x:v>
      </x:c>
      <x:c r="K239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239" s="13" t="str">
        <x:v>☐ Не начато</x:v>
      </x:c>
      <x:c r="M239" s="13" t="str">
        <x:v>По назначению</x:v>
      </x:c>
      <x:c r="N239" s="13" t="str">
        <x:v>По назначению физиотерапевта</x:v>
      </x:c>
      <x:c r="O239" s="13" t="str">
        <x:v>Любые указания физиотерапевта имеют приоритет над этим планом.</x:v>
      </x:c>
      <x:c r="P239" s="13" t="str">
        <x:v>milestone_01_foundation/week_04_2026-09-28/01_MONDAY.md</x:v>
      </x:c>
      <x:c r="Q239" s="138" t="str">
        <x:v>Markdown</x:v>
      </x:c>
      <x:c r="R239" s="20" t="str"/>
    </x:row>
    <x:row r="240" ht="36" customHeight="1">
      <x:c r="A240" s="19" t="str">
        <x:v>W04-20260928-0239</x:v>
      </x:c>
      <x:c r="B240" s="13" t="n">
        <x:v>4</x:v>
      </x:c>
      <x:c r="C240" s="13" t="str">
        <x:v>Этап 1 — База, разминка и исходная точка</x:v>
      </x:c>
      <x:c r="D240" s="138" t="str">
        <x:v>2026-09-28</x:v>
      </x:c>
      <x:c r="E240" s="13" t="str">
        <x:v>Понедельник</x:v>
      </x:c>
      <x:c r="F240" s="13" t="str">
        <x:v>Дом / теория</x:v>
      </x:c>
      <x:c r="G240" s="44" t="n">
        <x:v>0.03680555555555556</x:v>
      </x:c>
      <x:c r="H240" s="44" t="n">
        <x:v>0.04027777777777778</x:v>
      </x:c>
      <x:c r="I240" s="32" t="n">
        <x:f>ROUND((H240-G240)*1440,0)</x:f>
        <x:v>5</x:v>
      </x:c>
      <x:c r="J240" s="13" t="str">
        <x:v>Покупка / организация</x:v>
      </x:c>
      <x:c r="K240" s="13" t="str">
        <x:v>Опционально проверить даты Mastering the Basics/Technikkurs 1. Курс заменяет одну тренировку, а не добавляется сверху.</x:v>
      </x:c>
      <x:c r="L240" s="13" t="str">
        <x:v>☐ Не начато</x:v>
      </x:c>
      <x:c r="M240" s="13" t="str">
        <x:v>Опционально</x:v>
      </x:c>
      <x:c r="N240" s="13" t="str">
        <x:v>Без нагрузки</x:v>
      </x:c>
      <x:c r="O240" s="13" t="str"/>
      <x:c r="P240" s="13" t="str">
        <x:v>milestone_01_foundation/week_04_2026-09-28/01_MONDAY.md</x:v>
      </x:c>
      <x:c r="Q240" s="138" t="str">
        <x:v>Markdown</x:v>
      </x:c>
      <x:c r="R240" s="20" t="str"/>
    </x:row>
    <x:row r="241" ht="36" customHeight="1">
      <x:c r="A241" s="19" t="str">
        <x:v>W04-20260928-0240</x:v>
      </x:c>
      <x:c r="B241" s="13" t="n">
        <x:v>4</x:v>
      </x:c>
      <x:c r="C241" s="13" t="str">
        <x:v>Этап 1 — База, разминка и исходная точка</x:v>
      </x:c>
      <x:c r="D241" s="138" t="str">
        <x:v>2026-09-28</x:v>
      </x:c>
      <x:c r="E241" s="13" t="str">
        <x:v>Понедельник</x:v>
      </x:c>
      <x:c r="F241" s="13" t="str">
        <x:v>Дом / теория</x:v>
      </x:c>
      <x:c r="G241" s="44" t="n">
        <x:v>0.04027777777777778</x:v>
      </x:c>
      <x:c r="H241" s="44" t="n">
        <x:v>0.04236111111111111</x:v>
      </x:c>
      <x:c r="I241" s="32" t="n">
        <x:f>ROUND((H241-G241)*1440,0)</x:f>
        <x:v>3</x:v>
      </x:c>
      <x:c r="J241" s="13" t="str">
        <x:v>Подготовка</x:v>
      </x:c>
      <x:c r="K241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241" s="13" t="str">
        <x:v>☐ Не начато</x:v>
      </x:c>
      <x:c r="M241" s="13" t="str">
        <x:v>Обязательно</x:v>
      </x:c>
      <x:c r="N241" s="13" t="str">
        <x:v>Без нагрузки</x:v>
      </x:c>
      <x:c r="O241" s="13" t="str">
        <x:v>Кольца и турник — только в рамках программы физиотерапевта.</x:v>
      </x:c>
      <x:c r="P241" s="13" t="str">
        <x:v>milestone_01_foundation/week_04_2026-09-28/01_MONDAY.md</x:v>
      </x:c>
      <x:c r="Q241" s="138" t="str">
        <x:v>Markdown</x:v>
      </x:c>
      <x:c r="R241" s="20" t="str"/>
    </x:row>
    <x:row r="242" ht="36" customHeight="1">
      <x:c r="A242" s="19" t="str">
        <x:v>W04-20260929-0241</x:v>
      </x:c>
      <x:c r="B242" s="13" t="n">
        <x:v>4</x:v>
      </x:c>
      <x:c r="C242" s="13" t="str">
        <x:v>Этап 1 — База, разминка и исходная точка</x:v>
      </x:c>
      <x:c r="D242" s="138" t="str">
        <x:v>2026-09-29</x:v>
      </x:c>
      <x:c r="E242" s="13" t="str">
        <x:v>Вторник</x:v>
      </x:c>
      <x:c r="F242" s="13" t="str">
        <x:v>Тренировка A — техника/объём</x:v>
      </x:c>
      <x:c r="G242" s="44" t="n">
        <x:v>0</x:v>
      </x:c>
      <x:c r="H242" s="44" t="n">
        <x:v>0.0020833333333333333</x:v>
      </x:c>
      <x:c r="I242" s="32" t="n">
        <x:f>ROUND((H242-G242)*1440,0)</x:f>
        <x:v>3</x:v>
      </x:c>
      <x:c r="J242" s="13" t="str">
        <x:v>Самопроверка</x:v>
      </x:c>
      <x:c r="K24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242" s="13" t="str">
        <x:v>☐ Не начато</x:v>
      </x:c>
      <x:c r="M242" s="13" t="str">
        <x:v>Обязательно</x:v>
      </x:c>
      <x:c r="N242" s="13" t="str">
        <x:v>Без нагрузки</x:v>
      </x:c>
      <x:c r="O242" s="13" t="str">
        <x:v>Красный флаг = не начинать пальцевую нагрузку.</x:v>
      </x:c>
      <x:c r="P242" s="13" t="str">
        <x:v>milestone_01_foundation/week_04_2026-09-28/02_TUESDAY.md</x:v>
      </x:c>
      <x:c r="Q242" s="138" t="str">
        <x:v>Markdown</x:v>
      </x:c>
      <x:c r="R242" s="20" t="str"/>
    </x:row>
    <x:row r="243" ht="36" customHeight="1">
      <x:c r="A243" s="19" t="str">
        <x:v>W04-20260929-0242</x:v>
      </x:c>
      <x:c r="B243" s="13" t="n">
        <x:v>4</x:v>
      </x:c>
      <x:c r="C243" s="13" t="str">
        <x:v>Этап 1 — База, разминка и исходная точка</x:v>
      </x:c>
      <x:c r="D243" s="138" t="str">
        <x:v>2026-09-29</x:v>
      </x:c>
      <x:c r="E243" s="13" t="str">
        <x:v>Вторник</x:v>
      </x:c>
      <x:c r="F243" s="13" t="str">
        <x:v>Тренировка A — техника/объём</x:v>
      </x:c>
      <x:c r="G243" s="44" t="n">
        <x:v>0.0020833333333333333</x:v>
      </x:c>
      <x:c r="H243" s="44" t="n">
        <x:v>0.005555555555555556</x:v>
      </x:c>
      <x:c r="I243" s="32" t="n">
        <x:f>ROUND((H243-G243)*1440,0)</x:f>
        <x:v>5</x:v>
      </x:c>
      <x:c r="J243" s="13" t="str">
        <x:v>Разминка</x:v>
      </x:c>
      <x:c r="K243" s="13" t="str">
        <x:v>Подними температуру: быстрая ходьба, лестница или лёгкий велотренажёр 5 минут.</x:v>
      </x:c>
      <x:c r="L243" s="13" t="str">
        <x:v>☐ Не начато</x:v>
      </x:c>
      <x:c r="M243" s="13" t="str">
        <x:v>Обязательно</x:v>
      </x:c>
      <x:c r="N243" s="13" t="str">
        <x:v>RPE 2–3</x:v>
      </x:c>
      <x:c r="O243" s="13" t="str"/>
      <x:c r="P243" s="13" t="str">
        <x:v>milestone_01_foundation/week_04_2026-09-28/02_TUESDAY.md</x:v>
      </x:c>
      <x:c r="Q243" s="138" t="str">
        <x:v>Markdown</x:v>
      </x:c>
      <x:c r="R243" s="20" t="str"/>
    </x:row>
    <x:row r="244" ht="36" customHeight="1">
      <x:c r="A244" s="19" t="str">
        <x:v>W04-20260929-0243</x:v>
      </x:c>
      <x:c r="B244" s="13" t="n">
        <x:v>4</x:v>
      </x:c>
      <x:c r="C244" s="13" t="str">
        <x:v>Этап 1 — База, разминка и исходная точка</x:v>
      </x:c>
      <x:c r="D244" s="138" t="str">
        <x:v>2026-09-29</x:v>
      </x:c>
      <x:c r="E244" s="13" t="str">
        <x:v>Вторник</x:v>
      </x:c>
      <x:c r="F244" s="13" t="str">
        <x:v>Тренировка A — техника/объём</x:v>
      </x:c>
      <x:c r="G244" s="44" t="n">
        <x:v>0.005555555555555556</x:v>
      </x:c>
      <x:c r="H244" s="44" t="n">
        <x:v>0.009027777777777777</x:v>
      </x:c>
      <x:c r="I244" s="32" t="n">
        <x:f>ROUND((H244-G244)*1440,0)</x:f>
        <x:v>5</x:v>
      </x:c>
      <x:c r="J244" s="13" t="str">
        <x:v>Разминка</x:v>
      </x:c>
      <x:c r="K24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244" s="13" t="str">
        <x:v>☐ Не начато</x:v>
      </x:c>
      <x:c r="M244" s="13" t="str">
        <x:v>Обязательно</x:v>
      </x:c>
      <x:c r="N244" s="13" t="str">
        <x:v>Очень легко</x:v>
      </x:c>
      <x:c r="O244" s="13" t="str">
        <x:v>Не делай press/отжимания и движения, которые раздражают плечо.</x:v>
      </x:c>
      <x:c r="P244" s="13" t="str">
        <x:v>milestone_01_foundation/week_04_2026-09-28/02_TUESDAY.md</x:v>
      </x:c>
      <x:c r="Q244" s="138" t="str">
        <x:v>Markdown</x:v>
      </x:c>
      <x:c r="R244" s="20" t="str"/>
    </x:row>
    <x:row r="245" ht="36" customHeight="1">
      <x:c r="A245" s="19" t="str">
        <x:v>W04-20260929-0244</x:v>
      </x:c>
      <x:c r="B245" s="13" t="n">
        <x:v>4</x:v>
      </x:c>
      <x:c r="C245" s="13" t="str">
        <x:v>Этап 1 — База, разминка и исходная точка</x:v>
      </x:c>
      <x:c r="D245" s="138" t="str">
        <x:v>2026-09-29</x:v>
      </x:c>
      <x:c r="E245" s="13" t="str">
        <x:v>Вторник</x:v>
      </x:c>
      <x:c r="F245" s="13" t="str">
        <x:v>Тренировка A — техника/объём</x:v>
      </x:c>
      <x:c r="G245" s="44" t="n">
        <x:v>0.009027777777777777</x:v>
      </x:c>
      <x:c r="H245" s="44" t="n">
        <x:v>0.011805555555555555</x:v>
      </x:c>
      <x:c r="I245" s="32" t="n">
        <x:f>ROUND((H245-G245)*1440,0)</x:f>
        <x:v>4</x:v>
      </x:c>
      <x:c r="J245" s="13" t="str">
        <x:v>Разминка пальцев</x:v>
      </x:c>
      <x:c r="K24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245" s="13" t="str">
        <x:v>☐ Не начато</x:v>
      </x:c>
      <x:c r="M245" s="13" t="str">
        <x:v>Обязательно</x:v>
      </x:c>
      <x:c r="N245" s="13" t="str">
        <x:v>Очень легко</x:v>
      </x:c>
      <x:c r="O245" s="13" t="str"/>
      <x:c r="P245" s="13" t="str">
        <x:v>milestone_01_foundation/week_04_2026-09-28/02_TUESDAY.md</x:v>
      </x:c>
      <x:c r="Q245" s="138" t="str">
        <x:v>Markdown</x:v>
      </x:c>
      <x:c r="R245" s="20" t="str"/>
    </x:row>
    <x:row r="246" ht="36" customHeight="1">
      <x:c r="A246" s="19" t="str">
        <x:v>W04-20260929-0245</x:v>
      </x:c>
      <x:c r="B246" s="13" t="n">
        <x:v>4</x:v>
      </x:c>
      <x:c r="C246" s="13" t="str">
        <x:v>Этап 1 — База, разминка и исходная точка</x:v>
      </x:c>
      <x:c r="D246" s="138" t="str">
        <x:v>2026-09-29</x:v>
      </x:c>
      <x:c r="E246" s="13" t="str">
        <x:v>Вторник</x:v>
      </x:c>
      <x:c r="F246" s="13" t="str">
        <x:v>Тренировка A — техника/объём</x:v>
      </x:c>
      <x:c r="G246" s="44" t="n">
        <x:v>0.011805555555555555</x:v>
      </x:c>
      <x:c r="H246" s="44" t="n">
        <x:v>0.014583333333333334</x:v>
      </x:c>
      <x:c r="I246" s="32" t="n">
        <x:f>ROUND((H246-G246)*1440,0)</x:f>
        <x:v>4</x:v>
      </x:c>
      <x:c r="J246" s="13" t="str">
        <x:v>Разминочное лазание</x:v>
      </x:c>
      <x:c r="K246" s="13" t="str">
        <x:v>Пройди 2 очень лёгкие трассы уровня 1–2; двигайся медленно, спускайся по зацепам.</x:v>
      </x:c>
      <x:c r="L246" s="13" t="str">
        <x:v>☐ Не начато</x:v>
      </x:c>
      <x:c r="M246" s="13" t="str">
        <x:v>Обязательно</x:v>
      </x:c>
      <x:c r="N246" s="13" t="str">
        <x:v>RPE 2–3</x:v>
      </x:c>
      <x:c r="O246" s="13" t="str">
        <x:v>Финиш с обязательным болезненным mantle/press пропусти.</x:v>
      </x:c>
      <x:c r="P246" s="13" t="str">
        <x:v>milestone_01_foundation/week_04_2026-09-28/02_TUESDAY.md</x:v>
      </x:c>
      <x:c r="Q246" s="138" t="str">
        <x:v>Markdown</x:v>
      </x:c>
      <x:c r="R246" s="20" t="str"/>
    </x:row>
    <x:row r="247" ht="36" customHeight="1">
      <x:c r="A247" s="19" t="str">
        <x:v>W04-20260929-0246</x:v>
      </x:c>
      <x:c r="B247" s="13" t="n">
        <x:v>4</x:v>
      </x:c>
      <x:c r="C247" s="13" t="str">
        <x:v>Этап 1 — База, разминка и исходная точка</x:v>
      </x:c>
      <x:c r="D247" s="138" t="str">
        <x:v>2026-09-29</x:v>
      </x:c>
      <x:c r="E247" s="13" t="str">
        <x:v>Вторник</x:v>
      </x:c>
      <x:c r="F247" s="13" t="str">
        <x:v>Тренировка A — техника/объём</x:v>
      </x:c>
      <x:c r="G247" s="44" t="n">
        <x:v>0.014583333333333334</x:v>
      </x:c>
      <x:c r="H247" s="44" t="n">
        <x:v>0.017361111111111112</x:v>
      </x:c>
      <x:c r="I247" s="32" t="n">
        <x:f>ROUND((H247-G247)*1440,0)</x:f>
        <x:v>4</x:v>
      </x:c>
      <x:c r="J247" s="13" t="str">
        <x:v>Разминочное лазание</x:v>
      </x:c>
      <x:c r="K247" s="13" t="str">
        <x:v>Пройди 2 трассы уровня 2–3, затем сделай 2–3 движения на комфортной четвёрке. Между ними 45–60 секунд.</x:v>
      </x:c>
      <x:c r="L247" s="13" t="str">
        <x:v>☐ Не начато</x:v>
      </x:c>
      <x:c r="M247" s="13" t="str">
        <x:v>Обязательно</x:v>
      </x:c>
      <x:c r="N247" s="13" t="str">
        <x:v>RPE 3–4</x:v>
      </x:c>
      <x:c r="O247" s="13" t="str">
        <x:v>Разминка не должна утомить пальцы.</x:v>
      </x:c>
      <x:c r="P247" s="13" t="str">
        <x:v>milestone_01_foundation/week_04_2026-09-28/02_TUESDAY.md</x:v>
      </x:c>
      <x:c r="Q247" s="138" t="str">
        <x:v>Markdown</x:v>
      </x:c>
      <x:c r="R247" s="20" t="str"/>
    </x:row>
    <x:row r="248" ht="36" customHeight="1">
      <x:c r="A248" s="19" t="str">
        <x:v>W04-20260929-0247</x:v>
      </x:c>
      <x:c r="B248" s="13" t="n">
        <x:v>4</x:v>
      </x:c>
      <x:c r="C248" s="13" t="str">
        <x:v>Этап 1 — База, разминка и исходная точка</x:v>
      </x:c>
      <x:c r="D248" s="138" t="str">
        <x:v>2026-09-29</x:v>
      </x:c>
      <x:c r="E248" s="13" t="str">
        <x:v>Вторник</x:v>
      </x:c>
      <x:c r="F248" s="13" t="str">
        <x:v>Тренировка A — техника/объём</x:v>
      </x:c>
      <x:c r="G248" s="44" t="n">
        <x:v>0.017361111111111112</x:v>
      </x:c>
      <x:c r="H248" s="44" t="n">
        <x:v>0.02013888888888889</x:v>
      </x:c>
      <x:c r="I248" s="32" t="n">
        <x:f>ROUND((H248-G248)*1440,0)</x:f>
        <x:v>4</x:v>
      </x:c>
      <x:c r="J248" s="13" t="str">
        <x:v>Выбор трасс</x:v>
      </x:c>
      <x:c r="K248" s="13" t="str">
        <x:v>Найди трассы для упражнения: 2 знакомые четвёрки и 1 лёгкая пятёрка; цель — меньше лишних перестановок ног, а не рекорд.</x:v>
      </x:c>
      <x:c r="L248" s="13" t="str">
        <x:v>☐ Не начато</x:v>
      </x:c>
      <x:c r="M248" s="13" t="str">
        <x:v>Обязательно</x:v>
      </x:c>
      <x:c r="N248" s="13" t="str">
        <x:v>Без нагрузки</x:v>
      </x:c>
      <x:c r="O248" s="13" t="str">
        <x:v>Объём снижён примерно на 35%. Никаких «компенсаций» и максимальных висов.</x:v>
      </x:c>
      <x:c r="P248" s="13" t="str">
        <x:v>milestone_01_foundation/week_04_2026-09-28/02_TUESDAY.md</x:v>
      </x:c>
      <x:c r="Q248" s="138" t="str">
        <x:v>Markdown</x:v>
      </x:c>
      <x:c r="R248" s="20" t="str"/>
    </x:row>
    <x:row r="249" ht="36" customHeight="1">
      <x:c r="A249" s="19" t="str">
        <x:v>W04-20260929-0248</x:v>
      </x:c>
      <x:c r="B249" s="13" t="n">
        <x:v>4</x:v>
      </x:c>
      <x:c r="C249" s="13" t="str">
        <x:v>Этап 1 — База, разминка и исходная точка</x:v>
      </x:c>
      <x:c r="D249" s="138" t="str">
        <x:v>2026-09-29</x:v>
      </x:c>
      <x:c r="E249" s="13" t="str">
        <x:v>Вторник</x:v>
      </x:c>
      <x:c r="F249" s="13" t="str">
        <x:v>Тренировка A — техника/объём</x:v>
      </x:c>
      <x:c r="G249" s="44" t="n">
        <x:v>0.02013888888888889</x:v>
      </x:c>
      <x:c r="H249" s="44" t="n">
        <x:v>0.03194444444444444</x:v>
      </x:c>
      <x:c r="I249" s="32" t="n">
        <x:f>ROUND((H249-G249)*1440,0)</x:f>
        <x:v>17</x:v>
      </x:c>
      <x:c r="J249" s="13" t="str">
        <x:v>Технический блок</x:v>
      </x:c>
      <x:c r="K249" s="13" t="str">
        <x:v>Отработай «Разгрузка и закрепление». Шаги: Повтори тихие ноги. Перед каждым движением проверь, начинает ли нога раньше руки. Сними одну знакомую трассу с того же ракурса, что раньше.</x:v>
      </x:c>
      <x:c r="L249" s="13" t="str">
        <x:v>☐ Не начато</x:v>
      </x:c>
      <x:c r="M249" s="13" t="str">
        <x:v>Обязательно</x:v>
      </x:c>
      <x:c r="N249" s="13" t="str">
        <x:v>RPE 3–5</x:v>
      </x:c>
      <x:c r="O249" s="13" t="str">
        <x:v>Нагрузка недели уменьшена; ничего не компенсировать дома.</x:v>
      </x:c>
      <x:c r="P249" s="13" t="str">
        <x:v>milestone_01_foundation/week_04_2026-09-28/02_TUESDAY.md</x:v>
      </x:c>
      <x:c r="Q249" s="138" t="str">
        <x:v>Markdown</x:v>
      </x:c>
      <x:c r="R249" s="20" t="str"/>
    </x:row>
    <x:row r="250" ht="36" customHeight="1">
      <x:c r="A250" s="19" t="str">
        <x:v>W04-20260929-0249</x:v>
      </x:c>
      <x:c r="B250" s="13" t="n">
        <x:v>4</x:v>
      </x:c>
      <x:c r="C250" s="13" t="str">
        <x:v>Этап 1 — База, разминка и исходная точка</x:v>
      </x:c>
      <x:c r="D250" s="138" t="str">
        <x:v>2026-09-29</x:v>
      </x:c>
      <x:c r="E250" s="13" t="str">
        <x:v>Вторник</x:v>
      </x:c>
      <x:c r="F250" s="13" t="str">
        <x:v>Тренировка A — техника/объём</x:v>
      </x:c>
      <x:c r="G250" s="44" t="n">
        <x:v>0.03194444444444444</x:v>
      </x:c>
      <x:c r="H250" s="44" t="n">
        <x:v>0.035416666666666666</x:v>
      </x:c>
      <x:c r="I250" s="32" t="n">
        <x:f>ROUND((H250-G250)*1440,0)</x:f>
        <x:v>5</x:v>
      </x:c>
      <x:c r="J250" s="13" t="str">
        <x:v>Обратная связь</x:v>
      </x:c>
      <x:c r="K250" s="13" t="str">
        <x:v>Повтори лучшую лёгкую трассу и проверь критерий успеха: Меньше перестановок стоп и ранних сгибаний рук при меньшем объёме.</x:v>
      </x:c>
      <x:c r="L250" s="13" t="str">
        <x:v>☐ Не начато</x:v>
      </x:c>
      <x:c r="M250" s="13" t="str">
        <x:v>Обязательно</x:v>
      </x:c>
      <x:c r="N250" s="13" t="str">
        <x:v>RPE 4–5</x:v>
      </x:c>
      <x:c r="O250" s="13" t="str"/>
      <x:c r="P250" s="13" t="str">
        <x:v>milestone_01_foundation/week_04_2026-09-28/02_TUESDAY.md</x:v>
      </x:c>
      <x:c r="Q250" s="138" t="str">
        <x:v>Markdown</x:v>
      </x:c>
      <x:c r="R250" s="20" t="str"/>
    </x:row>
    <x:row r="251" ht="36" customHeight="1">
      <x:c r="A251" s="19" t="str">
        <x:v>W04-20260929-0250</x:v>
      </x:c>
      <x:c r="B251" s="13" t="n">
        <x:v>4</x:v>
      </x:c>
      <x:c r="C251" s="13" t="str">
        <x:v>Этап 1 — База, разминка и исходная точка</x:v>
      </x:c>
      <x:c r="D251" s="138" t="str">
        <x:v>2026-09-29</x:v>
      </x:c>
      <x:c r="E251" s="13" t="str">
        <x:v>Вторник</x:v>
      </x:c>
      <x:c r="F251" s="13" t="str">
        <x:v>Тренировка A — техника/объём</x:v>
      </x:c>
      <x:c r="G251" s="44" t="n">
        <x:v>0.035416666666666666</x:v>
      </x:c>
      <x:c r="H251" s="44" t="n">
        <x:v>0.04583333333333333</x:v>
      </x:c>
      <x:c r="I251" s="32" t="n">
        <x:f>ROUND((H251-G251)*1440,0)</x:f>
        <x:v>15</x:v>
      </x:c>
      <x:c r="J251" s="13" t="str">
        <x:v>Качественный объём</x:v>
      </x:c>
      <x:c r="K251" s="13" t="str">
        <x:v>Попробуй 2–3 четвёрки, максимум 2 попытки на каждую, отдых 2:00. На неудаче назови техническую причину.</x:v>
      </x:c>
      <x:c r="L251" s="13" t="str">
        <x:v>☐ Не начато</x:v>
      </x:c>
      <x:c r="M251" s="13" t="str">
        <x:v>Обязательно</x:v>
      </x:c>
      <x:c r="N251" s="13" t="str">
        <x:v>RPE 6–7</x:v>
      </x:c>
      <x:c r="O251" s="13" t="str">
        <x:v>Не выбирать подряд три трассы на одинаково маленьких кромках.</x:v>
      </x:c>
      <x:c r="P251" s="13" t="str">
        <x:v>milestone_01_foundation/week_04_2026-09-28/02_TUESDAY.md</x:v>
      </x:c>
      <x:c r="Q251" s="138" t="str">
        <x:v>Markdown</x:v>
      </x:c>
      <x:c r="R251" s="20" t="str"/>
    </x:row>
    <x:row r="252" ht="36" customHeight="1">
      <x:c r="A252" s="19" t="str">
        <x:v>W04-20260929-0251</x:v>
      </x:c>
      <x:c r="B252" s="13" t="n">
        <x:v>4</x:v>
      </x:c>
      <x:c r="C252" s="13" t="str">
        <x:v>Этап 1 — База, разминка и исходная точка</x:v>
      </x:c>
      <x:c r="D252" s="138" t="str">
        <x:v>2026-09-29</x:v>
      </x:c>
      <x:c r="E252" s="13" t="str">
        <x:v>Вторник</x:v>
      </x:c>
      <x:c r="F252" s="13" t="str">
        <x:v>Тренировка A — техника/объём</x:v>
      </x:c>
      <x:c r="G252" s="44" t="n">
        <x:v>0.04583333333333333</x:v>
      </x:c>
      <x:c r="H252" s="44" t="n">
        <x:v>0.052083333333333336</x:v>
      </x:c>
      <x:c r="I252" s="32" t="n">
        <x:f>ROUND((H252-G252)*1440,0)</x:f>
        <x:v>9</x:v>
      </x:c>
      <x:c r="J252" s="13" t="str">
        <x:v>Рабочая пятёрка</x:v>
      </x:c>
      <x:c r="K252" s="13" t="str">
        <x:v>Одна пятёрка, максимум 2 попытки, отдых 3:00. Цель — применить тему недели, а не обязательно закрыть.</x:v>
      </x:c>
      <x:c r="L252" s="13" t="str">
        <x:v>☐ Не начато</x:v>
      </x:c>
      <x:c r="M252" s="13" t="str">
        <x:v>Обязательно</x:v>
      </x:c>
      <x:c r="N252" s="13" t="str">
        <x:v>RPE 7–8</x:v>
      </x:c>
      <x:c r="O252" s="13" t="str">
        <x:v>Объём снижён примерно на 35%. Никаких «компенсаций» и максимальных висов.</x:v>
      </x:c>
      <x:c r="P252" s="13" t="str">
        <x:v>milestone_01_foundation/week_04_2026-09-28/02_TUESDAY.md</x:v>
      </x:c>
      <x:c r="Q252" s="138" t="str">
        <x:v>Markdown</x:v>
      </x:c>
      <x:c r="R252" s="20" t="str"/>
    </x:row>
    <x:row r="253" ht="36" customHeight="1">
      <x:c r="A253" s="19" t="str">
        <x:v>W04-20260929-0252</x:v>
      </x:c>
      <x:c r="B253" s="13" t="n">
        <x:v>4</x:v>
      </x:c>
      <x:c r="C253" s="13" t="str">
        <x:v>Этап 1 — База, разминка и исходная точка</x:v>
      </x:c>
      <x:c r="D253" s="138" t="str">
        <x:v>2026-09-29</x:v>
      </x:c>
      <x:c r="E253" s="13" t="str">
        <x:v>Вторник</x:v>
      </x:c>
      <x:c r="F253" s="13" t="str">
        <x:v>Тренировка A — техника/объём</x:v>
      </x:c>
      <x:c r="G253" s="44" t="n">
        <x:v>0.052083333333333336</x:v>
      </x:c>
      <x:c r="H253" s="44" t="n">
        <x:v>0.058333333333333334</x:v>
      </x:c>
      <x:c r="I253" s="32" t="n">
        <x:f>ROUND((H253-G253)*1440,0)</x:f>
        <x:v>9</x:v>
      </x:c>
      <x:c r="J253" s="13" t="str">
        <x:v>Лёгкая выносливость</x:v>
      </x:c>
      <x:c r="K253" s="13" t="str">
        <x:v>Начни 1 раунд × 2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253" s="13" t="str">
        <x:v>☐ Не начато</x:v>
      </x:c>
      <x:c r="M253" s="13" t="str">
        <x:v>Обязательно</x:v>
      </x:c>
      <x:c r="N253" s="13" t="str">
        <x:v>Памп максимум 4/10</x:v>
      </x:c>
      <x:c r="O253" s="13" t="str">
        <x:v>Остановиться при неточной постановке ног или разжимании пальцев.</x:v>
      </x:c>
      <x:c r="P253" s="13" t="str">
        <x:v>milestone_01_foundation/week_04_2026-09-28/02_TUESDAY.md</x:v>
      </x:c>
      <x:c r="Q253" s="138" t="str">
        <x:v>Markdown</x:v>
      </x:c>
      <x:c r="R253" s="20" t="str"/>
    </x:row>
    <x:row r="254" ht="36" customHeight="1">
      <x:c r="A254" s="19" t="str">
        <x:v>W04-20260929-0253</x:v>
      </x:c>
      <x:c r="B254" s="13" t="n">
        <x:v>4</x:v>
      </x:c>
      <x:c r="C254" s="13" t="str">
        <x:v>Этап 1 — База, разминка и исходная точка</x:v>
      </x:c>
      <x:c r="D254" s="138" t="str">
        <x:v>2026-09-29</x:v>
      </x:c>
      <x:c r="E254" s="13" t="str">
        <x:v>Вторник</x:v>
      </x:c>
      <x:c r="F254" s="13" t="str">
        <x:v>Тренировка A — техника/объём</x:v>
      </x:c>
      <x:c r="G254" s="44" t="n">
        <x:v>0.058333333333333334</x:v>
      </x:c>
      <x:c r="H254" s="44" t="n">
        <x:v>0.06041666666666667</x:v>
      </x:c>
      <x:c r="I254" s="32" t="n">
        <x:f>ROUND((H254-G254)*1440,0)</x:f>
        <x:v>3</x:v>
      </x:c>
      <x:c r="J254" s="13" t="str">
        <x:v>Завершение</x:v>
      </x:c>
      <x:c r="K254" s="13" t="str">
        <x:v>Очень лёгкий спуск/ходьба и спокойное встряхивание кистей.</x:v>
      </x:c>
      <x:c r="L254" s="13" t="str">
        <x:v>☐ Не начато</x:v>
      </x:c>
      <x:c r="M254" s="13" t="str">
        <x:v>Обязательно</x:v>
      </x:c>
      <x:c r="N254" s="13" t="str">
        <x:v>RPE 1–2</x:v>
      </x:c>
      <x:c r="O254" s="13" t="str"/>
      <x:c r="P254" s="13" t="str">
        <x:v>milestone_01_foundation/week_04_2026-09-28/02_TUESDAY.md</x:v>
      </x:c>
      <x:c r="Q254" s="138" t="str">
        <x:v>Markdown</x:v>
      </x:c>
      <x:c r="R254" s="20" t="str"/>
    </x:row>
    <x:row r="255" ht="36" customHeight="1">
      <x:c r="A255" s="19" t="str">
        <x:v>W04-20260929-0254</x:v>
      </x:c>
      <x:c r="B255" s="13" t="n">
        <x:v>4</x:v>
      </x:c>
      <x:c r="C255" s="13" t="str">
        <x:v>Этап 1 — База, разминка и исходная точка</x:v>
      </x:c>
      <x:c r="D255" s="138" t="str">
        <x:v>2026-09-29</x:v>
      </x:c>
      <x:c r="E255" s="13" t="str">
        <x:v>Вторник</x:v>
      </x:c>
      <x:c r="F255" s="13" t="str">
        <x:v>Тренировка A — техника/объём</x:v>
      </x:c>
      <x:c r="G255" s="44" t="n">
        <x:v>0.06041666666666667</x:v>
      </x:c>
      <x:c r="H255" s="44" t="n">
        <x:v>0.0625</x:v>
      </x:c>
      <x:c r="I255" s="32" t="n">
        <x:f>ROUND((H255-G255)*1440,0)</x:f>
        <x:v>3</x:v>
      </x:c>
      <x:c r="J255" s="13" t="str">
        <x:v>Журнал</x:v>
      </x:c>
      <x:c r="K255" s="13" t="str">
        <x:v>Запиши: Повторить укороченный тест недели 1 и сравнить видео. Решение о старте фингерборда только при спокойных пальцах и плече. Также отметь минуту первой просадки хвата.</x:v>
      </x:c>
      <x:c r="L255" s="13" t="str">
        <x:v>☐ Не начато</x:v>
      </x:c>
      <x:c r="M255" s="13" t="str">
        <x:v>Обязательно</x:v>
      </x:c>
      <x:c r="N255" s="13" t="str">
        <x:v>Без нагрузки</x:v>
      </x:c>
      <x:c r="O255" s="13" t="str"/>
      <x:c r="P255" s="13" t="str">
        <x:v>milestone_01_foundation/week_04_2026-09-28/02_TUESDAY.md</x:v>
      </x:c>
      <x:c r="Q255" s="138" t="str">
        <x:v>Markdown</x:v>
      </x:c>
      <x:c r="R255" s="20" t="str"/>
    </x:row>
    <x:row r="256" ht="36" customHeight="1">
      <x:c r="A256" s="19" t="str">
        <x:v>W04-20260930-0255</x:v>
      </x:c>
      <x:c r="B256" s="13" t="n">
        <x:v>4</x:v>
      </x:c>
      <x:c r="C256" s="13" t="str">
        <x:v>Этап 1 — База, разминка и исходная точка</x:v>
      </x:c>
      <x:c r="D256" s="138" t="str">
        <x:v>2026-09-30</x:v>
      </x:c>
      <x:c r="E256" s="13" t="str">
        <x:v>Среда</x:v>
      </x:c>
      <x:c r="F256" s="13" t="str">
        <x:v>Восстановление / видео</x:v>
      </x:c>
      <x:c r="G256" s="44" t="n">
        <x:v>0</x:v>
      </x:c>
      <x:c r="H256" s="44" t="n">
        <x:v>0.006944444444444444</x:v>
      </x:c>
      <x:c r="I256" s="32" t="n">
        <x:f>ROUND((H256-G256)*1440,0)</x:f>
        <x:v>10</x:v>
      </x:c>
      <x:c r="J256" s="13" t="str">
        <x:v>Восстановление</x:v>
      </x:c>
      <x:c r="K256" s="13" t="str">
        <x:v>10 минут спокойной ходьбы. Руки расслаблены; это не тренировка выносливости.</x:v>
      </x:c>
      <x:c r="L256" s="13" t="str">
        <x:v>☐ Не начато</x:v>
      </x:c>
      <x:c r="M256" s="13" t="str">
        <x:v>Обязательно</x:v>
      </x:c>
      <x:c r="N256" s="13" t="str">
        <x:v>RPE 1–2</x:v>
      </x:c>
      <x:c r="O256" s="13" t="str"/>
      <x:c r="P256" s="13" t="str">
        <x:v>milestone_01_foundation/week_04_2026-09-28/03_WEDNESDAY.md</x:v>
      </x:c>
      <x:c r="Q256" s="138" t="str">
        <x:v>Markdown</x:v>
      </x:c>
      <x:c r="R256" s="20" t="str"/>
    </x:row>
    <x:row r="257" ht="36" customHeight="1">
      <x:c r="A257" s="19" t="str">
        <x:v>W04-20260930-0256</x:v>
      </x:c>
      <x:c r="B257" s="13" t="n">
        <x:v>4</x:v>
      </x:c>
      <x:c r="C257" s="13" t="str">
        <x:v>Этап 1 — База, разминка и исходная точка</x:v>
      </x:c>
      <x:c r="D257" s="138" t="str">
        <x:v>2026-09-30</x:v>
      </x:c>
      <x:c r="E257" s="13" t="str">
        <x:v>Среда</x:v>
      </x:c>
      <x:c r="F257" s="13" t="str">
        <x:v>Восстановление / видео</x:v>
      </x:c>
      <x:c r="G257" s="44" t="n">
        <x:v>0.006944444444444444</x:v>
      </x:c>
      <x:c r="H257" s="44" t="n">
        <x:v>0.009027777777777777</x:v>
      </x:c>
      <x:c r="I257" s="32" t="n">
        <x:f>ROUND((H257-G257)*1440,0)</x:f>
        <x:v>3</x:v>
      </x:c>
      <x:c r="J257" s="13" t="str">
        <x:v>Самопроверка</x:v>
      </x:c>
      <x:c r="K257" s="13" t="str">
        <x:v>Оцени реакцию после вторника: плечо, пальцы, правое колено 0–10. Запиши, что изменилось относительно вчерашнего утра.</x:v>
      </x:c>
      <x:c r="L257" s="13" t="str">
        <x:v>☐ Не начато</x:v>
      </x:c>
      <x:c r="M257" s="13" t="str">
        <x:v>Обязательно</x:v>
      </x:c>
      <x:c r="N257" s="13" t="str">
        <x:v>Без нагрузки</x:v>
      </x:c>
      <x:c r="O257" s="13" t="str">
        <x:v>Острая локальная боль пальца или ухудшение плеча = не делать четверговую пальцевую нагрузку.</x:v>
      </x:c>
      <x:c r="P257" s="13" t="str">
        <x:v>milestone_01_foundation/week_04_2026-09-28/03_WEDNESDAY.md</x:v>
      </x:c>
      <x:c r="Q257" s="138" t="str">
        <x:v>Markdown</x:v>
      </x:c>
      <x:c r="R257" s="20" t="str"/>
    </x:row>
    <x:row r="258" ht="36" customHeight="1">
      <x:c r="A258" s="19" t="str">
        <x:v>W04-20260930-0257</x:v>
      </x:c>
      <x:c r="B258" s="13" t="n">
        <x:v>4</x:v>
      </x:c>
      <x:c r="C258" s="13" t="str">
        <x:v>Этап 1 — База, разминка и исходная точка</x:v>
      </x:c>
      <x:c r="D258" s="138" t="str">
        <x:v>2026-09-30</x:v>
      </x:c>
      <x:c r="E258" s="13" t="str">
        <x:v>Среда</x:v>
      </x:c>
      <x:c r="F258" s="13" t="str">
        <x:v>Восстановление / видео</x:v>
      </x:c>
      <x:c r="G258" s="44" t="n">
        <x:v>0.009027777777777777</x:v>
      </x:c>
      <x:c r="H258" s="44" t="n">
        <x:v>0.01597222222222222</x:v>
      </x:c>
      <x:c r="I258" s="32" t="n">
        <x:f>ROUND((H258-G258)*1440,0)</x:f>
        <x:v>10</x:v>
      </x:c>
      <x:c r="J258" s="13" t="str">
        <x:v>Видеоразбор</x:v>
      </x:c>
      <x:c r="K25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258" s="13" t="str">
        <x:v>☐ Не начато</x:v>
      </x:c>
      <x:c r="M258" s="13" t="str">
        <x:v>Обязательно</x:v>
      </x:c>
      <x:c r="N258" s="13" t="str">
        <x:v>Без нагрузки</x:v>
      </x:c>
      <x:c r="O258" s="13" t="str"/>
      <x:c r="P258" s="13" t="str">
        <x:v>milestone_01_foundation/week_04_2026-09-28/03_WEDNESDAY.md</x:v>
      </x:c>
      <x:c r="Q258" s="138" t="str">
        <x:v>Markdown</x:v>
      </x:c>
      <x:c r="R258" s="20" t="str"/>
    </x:row>
    <x:row r="259" ht="36" customHeight="1">
      <x:c r="A259" s="19" t="str">
        <x:v>W04-20260930-0258</x:v>
      </x:c>
      <x:c r="B259" s="13" t="n">
        <x:v>4</x:v>
      </x:c>
      <x:c r="C259" s="13" t="str">
        <x:v>Этап 1 — База, разминка и исходная точка</x:v>
      </x:c>
      <x:c r="D259" s="138" t="str">
        <x:v>2026-09-30</x:v>
      </x:c>
      <x:c r="E259" s="13" t="str">
        <x:v>Среда</x:v>
      </x:c>
      <x:c r="F259" s="13" t="str">
        <x:v>Восстановление / видео</x:v>
      </x:c>
      <x:c r="G259" s="44" t="n">
        <x:v>0.01597222222222222</x:v>
      </x:c>
      <x:c r="H259" s="44" t="n">
        <x:v>0.01875</x:v>
      </x:c>
      <x:c r="I259" s="32" t="n">
        <x:f>ROUND((H259-G259)*1440,0)</x:f>
        <x:v>4</x:v>
      </x:c>
      <x:c r="J259" s="13" t="str">
        <x:v>Конспект</x:v>
      </x:c>
      <x:c r="K259" s="13" t="str">
        <x:v>Запиши одну правку на четверг в формате «В следующей попытке я…». Используй cue: «Заканчивай подход, пока техника ещё аккуратная, а не после полного отказа пальцев.».</x:v>
      </x:c>
      <x:c r="L259" s="13" t="str">
        <x:v>☐ Не начато</x:v>
      </x:c>
      <x:c r="M259" s="13" t="str">
        <x:v>Обязательно</x:v>
      </x:c>
      <x:c r="N259" s="13" t="str">
        <x:v>Без нагрузки</x:v>
      </x:c>
      <x:c r="O259" s="13" t="str"/>
      <x:c r="P259" s="13" t="str">
        <x:v>milestone_01_foundation/week_04_2026-09-28/03_WEDNESDAY.md</x:v>
      </x:c>
      <x:c r="Q259" s="138" t="str">
        <x:v>Markdown</x:v>
      </x:c>
      <x:c r="R259" s="20" t="str"/>
    </x:row>
    <x:row r="260" ht="36" customHeight="1">
      <x:c r="A260" s="19" t="str">
        <x:v>W04-20260930-0259</x:v>
      </x:c>
      <x:c r="B260" s="13" t="n">
        <x:v>4</x:v>
      </x:c>
      <x:c r="C260" s="13" t="str">
        <x:v>Этап 1 — База, разминка и исходная точка</x:v>
      </x:c>
      <x:c r="D260" s="138" t="str">
        <x:v>2026-09-30</x:v>
      </x:c>
      <x:c r="E260" s="13" t="str">
        <x:v>Среда</x:v>
      </x:c>
      <x:c r="F260" s="13" t="str">
        <x:v>Восстановление / видео</x:v>
      </x:c>
      <x:c r="G260" s="44" t="n">
        <x:v>0.01875</x:v>
      </x:c>
      <x:c r="H260" s="44" t="n">
        <x:v>0.027083333333333334</x:v>
      </x:c>
      <x:c r="I260" s="32" t="n">
        <x:f>ROUND((H260-G260)*1440,0)</x:f>
        <x:v>12</x:v>
      </x:c>
      <x:c r="J260" s="13" t="str">
        <x:v>Домашняя мобильность</x:v>
      </x:c>
      <x:c r="K260" s="13" t="str">
        <x:v>Выполни комплекс H2 «Баланс и опора ног», 12 минут. Ни турника, ни колец для дополнительного хвата.</x:v>
      </x:c>
      <x:c r="L260" s="13" t="str">
        <x:v>☐ Не начато</x:v>
      </x:c>
      <x:c r="M260" s="13" t="str">
        <x:v>Обязательно</x:v>
      </x:c>
      <x:c r="N260" s="13" t="str">
        <x:v>RPE 2–3</x:v>
      </x:c>
      <x:c r="O260" s="13" t="str">
        <x:v>Не уходи в глубокий присед. Стена используется как страховка; упражнение не должно провоцировать правое колено.</x:v>
      </x:c>
      <x:c r="P260" s="13" t="str">
        <x:v>milestone_01_foundation/week_04_2026-09-28/03_WEDNESDAY.md</x:v>
      </x:c>
      <x:c r="Q260" s="138" t="str">
        <x:v>Markdown</x:v>
      </x:c>
      <x:c r="R260" s="20" t="str"/>
    </x:row>
    <x:row r="261" ht="36" customHeight="1">
      <x:c r="A261" s="19" t="str">
        <x:v>W04-20260930-0260</x:v>
      </x:c>
      <x:c r="B261" s="13" t="n">
        <x:v>4</x:v>
      </x:c>
      <x:c r="C261" s="13" t="str">
        <x:v>Этап 1 — База, разминка и исходная точка</x:v>
      </x:c>
      <x:c r="D261" s="138" t="str">
        <x:v>2026-09-30</x:v>
      </x:c>
      <x:c r="E261" s="13" t="str">
        <x:v>Среда</x:v>
      </x:c>
      <x:c r="F261" s="13" t="str">
        <x:v>Восстановление / видео</x:v>
      </x:c>
      <x:c r="G261" s="44" t="n">
        <x:v>0.027083333333333334</x:v>
      </x:c>
      <x:c r="H261" s="44" t="n">
        <x:v>0.04097222222222222</x:v>
      </x:c>
      <x:c r="I261" s="32" t="n">
        <x:f>ROUND((H261-G261)*1440,0)</x:f>
        <x:v>20</x:v>
      </x:c>
      <x:c r="J261" s="13" t="str">
        <x:v>Физиотерапия</x:v>
      </x:c>
      <x:c r="K261" s="13" t="str">
        <x:v>Выполни свой назначенный физиотерапевтом комплекс, если среда входит в его расписание.</x:v>
      </x:c>
      <x:c r="L261" s="13" t="str">
        <x:v>☐ Не начато</x:v>
      </x:c>
      <x:c r="M261" s="13" t="str">
        <x:v>По назначению</x:v>
      </x:c>
      <x:c r="N261" s="13" t="str">
        <x:v>По назначению</x:v>
      </x:c>
      <x:c r="O261" s="13" t="str">
        <x:v>Назначения физиотерапевта имеют приоритет.</x:v>
      </x:c>
      <x:c r="P261" s="13" t="str">
        <x:v>milestone_01_foundation/week_04_2026-09-28/03_WEDNESDAY.md</x:v>
      </x:c>
      <x:c r="Q261" s="138" t="str">
        <x:v>Markdown</x:v>
      </x:c>
      <x:c r="R261" s="20" t="str"/>
    </x:row>
    <x:row r="262" ht="36" customHeight="1">
      <x:c r="A262" s="19" t="str">
        <x:v>W04-20260930-0261</x:v>
      </x:c>
      <x:c r="B262" s="13" t="n">
        <x:v>4</x:v>
      </x:c>
      <x:c r="C262" s="13" t="str">
        <x:v>Этап 1 — База, разминка и исходная точка</x:v>
      </x:c>
      <x:c r="D262" s="138" t="str">
        <x:v>2026-09-30</x:v>
      </x:c>
      <x:c r="E262" s="13" t="str">
        <x:v>Среда</x:v>
      </x:c>
      <x:c r="F262" s="13" t="str">
        <x:v>Восстановление / видео</x:v>
      </x:c>
      <x:c r="G262" s="44" t="n">
        <x:v>0.04097222222222222</x:v>
      </x:c>
      <x:c r="H262" s="44" t="n">
        <x:v>0.043055555555555555</x:v>
      </x:c>
      <x:c r="I262" s="32" t="n">
        <x:f>ROUND((H262-G262)*1440,0)</x:f>
        <x:v>3</x:v>
      </x:c>
      <x:c r="J262" s="13" t="str">
        <x:v>Запрет лишней нагрузки</x:v>
      </x:c>
      <x:c r="K262" s="13" t="str">
        <x:v>Поставь отметку: сегодня не было висов, подтягиваний «на проверку», эспандера-сжимателя или тяжёлого ношения.</x:v>
      </x:c>
      <x:c r="L262" s="13" t="str">
        <x:v>☐ Не начато</x:v>
      </x:c>
      <x:c r="M262" s="13" t="str">
        <x:v>Обязательно</x:v>
      </x:c>
      <x:c r="N262" s="13" t="str">
        <x:v>Восстановление</x:v>
      </x:c>
      <x:c r="O262" s="13" t="str"/>
      <x:c r="P262" s="13" t="str">
        <x:v>milestone_01_foundation/week_04_2026-09-28/03_WEDNESDAY.md</x:v>
      </x:c>
      <x:c r="Q262" s="138" t="str">
        <x:v>Markdown</x:v>
      </x:c>
      <x:c r="R262" s="20" t="str"/>
    </x:row>
    <x:row r="263" ht="36" customHeight="1">
      <x:c r="A263" s="19" t="str">
        <x:v>W04-20261001-0262</x:v>
      </x:c>
      <x:c r="B263" s="13" t="n">
        <x:v>4</x:v>
      </x:c>
      <x:c r="C263" s="13" t="str">
        <x:v>Этап 1 — База, разминка и исходная точка</x:v>
      </x:c>
      <x:c r="D263" s="138" t="str">
        <x:v>2026-10-01</x:v>
      </x:c>
      <x:c r="E263" s="13" t="str">
        <x:v>Четверг</x:v>
      </x:c>
      <x:c r="F263" s="13" t="str">
        <x:v>Тренировка B — пальцы/проект</x:v>
      </x:c>
      <x:c r="G263" s="44" t="n">
        <x:v>0</x:v>
      </x:c>
      <x:c r="H263" s="44" t="n">
        <x:v>0.0020833333333333333</x:v>
      </x:c>
      <x:c r="I263" s="32" t="n">
        <x:f>ROUND((H263-G263)*1440,0)</x:f>
        <x:v>3</x:v>
      </x:c>
      <x:c r="J263" s="13" t="str">
        <x:v>Самопроверка</x:v>
      </x:c>
      <x:c r="K26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263" s="13" t="str">
        <x:v>☐ Не начато</x:v>
      </x:c>
      <x:c r="M263" s="13" t="str">
        <x:v>Обязательно</x:v>
      </x:c>
      <x:c r="N263" s="13" t="str">
        <x:v>Без нагрузки</x:v>
      </x:c>
      <x:c r="O263" s="13" t="str">
        <x:v>Красный флаг = не начинать пальцевую нагрузку.</x:v>
      </x:c>
      <x:c r="P263" s="13" t="str">
        <x:v>milestone_01_foundation/week_04_2026-09-28/04_THURSDAY.md</x:v>
      </x:c>
      <x:c r="Q263" s="138" t="str">
        <x:v>Markdown</x:v>
      </x:c>
      <x:c r="R263" s="20" t="str"/>
    </x:row>
    <x:row r="264" ht="36" customHeight="1">
      <x:c r="A264" s="19" t="str">
        <x:v>W04-20261001-0263</x:v>
      </x:c>
      <x:c r="B264" s="13" t="n">
        <x:v>4</x:v>
      </x:c>
      <x:c r="C264" s="13" t="str">
        <x:v>Этап 1 — База, разминка и исходная точка</x:v>
      </x:c>
      <x:c r="D264" s="138" t="str">
        <x:v>2026-10-01</x:v>
      </x:c>
      <x:c r="E264" s="13" t="str">
        <x:v>Четверг</x:v>
      </x:c>
      <x:c r="F264" s="13" t="str">
        <x:v>Тренировка B — пальцы/проект</x:v>
      </x:c>
      <x:c r="G264" s="44" t="n">
        <x:v>0.0020833333333333333</x:v>
      </x:c>
      <x:c r="H264" s="44" t="n">
        <x:v>0.005555555555555556</x:v>
      </x:c>
      <x:c r="I264" s="32" t="n">
        <x:f>ROUND((H264-G264)*1440,0)</x:f>
        <x:v>5</x:v>
      </x:c>
      <x:c r="J264" s="13" t="str">
        <x:v>Разминка</x:v>
      </x:c>
      <x:c r="K264" s="13" t="str">
        <x:v>Подними температуру: быстрая ходьба, лестница или лёгкий велотренажёр 5 минут.</x:v>
      </x:c>
      <x:c r="L264" s="13" t="str">
        <x:v>☐ Не начато</x:v>
      </x:c>
      <x:c r="M264" s="13" t="str">
        <x:v>Обязательно</x:v>
      </x:c>
      <x:c r="N264" s="13" t="str">
        <x:v>RPE 2–3</x:v>
      </x:c>
      <x:c r="O264" s="13" t="str"/>
      <x:c r="P264" s="13" t="str">
        <x:v>milestone_01_foundation/week_04_2026-09-28/04_THURSDAY.md</x:v>
      </x:c>
      <x:c r="Q264" s="138" t="str">
        <x:v>Markdown</x:v>
      </x:c>
      <x:c r="R264" s="20" t="str"/>
    </x:row>
    <x:row r="265" ht="36" customHeight="1">
      <x:c r="A265" s="19" t="str">
        <x:v>W04-20261001-0264</x:v>
      </x:c>
      <x:c r="B265" s="13" t="n">
        <x:v>4</x:v>
      </x:c>
      <x:c r="C265" s="13" t="str">
        <x:v>Этап 1 — База, разминка и исходная точка</x:v>
      </x:c>
      <x:c r="D265" s="138" t="str">
        <x:v>2026-10-01</x:v>
      </x:c>
      <x:c r="E265" s="13" t="str">
        <x:v>Четверг</x:v>
      </x:c>
      <x:c r="F265" s="13" t="str">
        <x:v>Тренировка B — пальцы/проект</x:v>
      </x:c>
      <x:c r="G265" s="44" t="n">
        <x:v>0.005555555555555556</x:v>
      </x:c>
      <x:c r="H265" s="44" t="n">
        <x:v>0.009027777777777777</x:v>
      </x:c>
      <x:c r="I265" s="32" t="n">
        <x:f>ROUND((H265-G265)*1440,0)</x:f>
        <x:v>5</x:v>
      </x:c>
      <x:c r="J265" s="13" t="str">
        <x:v>Разминка</x:v>
      </x:c>
      <x:c r="K26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265" s="13" t="str">
        <x:v>☐ Не начато</x:v>
      </x:c>
      <x:c r="M265" s="13" t="str">
        <x:v>Обязательно</x:v>
      </x:c>
      <x:c r="N265" s="13" t="str">
        <x:v>Очень легко</x:v>
      </x:c>
      <x:c r="O265" s="13" t="str">
        <x:v>Не делай press/отжимания и движения, которые раздражают плечо.</x:v>
      </x:c>
      <x:c r="P265" s="13" t="str">
        <x:v>milestone_01_foundation/week_04_2026-09-28/04_THURSDAY.md</x:v>
      </x:c>
      <x:c r="Q265" s="138" t="str">
        <x:v>Markdown</x:v>
      </x:c>
      <x:c r="R265" s="20" t="str"/>
    </x:row>
    <x:row r="266" ht="36" customHeight="1">
      <x:c r="A266" s="19" t="str">
        <x:v>W04-20261001-0265</x:v>
      </x:c>
      <x:c r="B266" s="13" t="n">
        <x:v>4</x:v>
      </x:c>
      <x:c r="C266" s="13" t="str">
        <x:v>Этап 1 — База, разминка и исходная точка</x:v>
      </x:c>
      <x:c r="D266" s="138" t="str">
        <x:v>2026-10-01</x:v>
      </x:c>
      <x:c r="E266" s="13" t="str">
        <x:v>Четверг</x:v>
      </x:c>
      <x:c r="F266" s="13" t="str">
        <x:v>Тренировка B — пальцы/проект</x:v>
      </x:c>
      <x:c r="G266" s="44" t="n">
        <x:v>0.009027777777777777</x:v>
      </x:c>
      <x:c r="H266" s="44" t="n">
        <x:v>0.011805555555555555</x:v>
      </x:c>
      <x:c r="I266" s="32" t="n">
        <x:f>ROUND((H266-G266)*1440,0)</x:f>
        <x:v>4</x:v>
      </x:c>
      <x:c r="J266" s="13" t="str">
        <x:v>Разминка пальцев</x:v>
      </x:c>
      <x:c r="K26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266" s="13" t="str">
        <x:v>☐ Не начато</x:v>
      </x:c>
      <x:c r="M266" s="13" t="str">
        <x:v>Обязательно</x:v>
      </x:c>
      <x:c r="N266" s="13" t="str">
        <x:v>Очень легко</x:v>
      </x:c>
      <x:c r="O266" s="13" t="str"/>
      <x:c r="P266" s="13" t="str">
        <x:v>milestone_01_foundation/week_04_2026-09-28/04_THURSDAY.md</x:v>
      </x:c>
      <x:c r="Q266" s="138" t="str">
        <x:v>Markdown</x:v>
      </x:c>
      <x:c r="R266" s="20" t="str"/>
    </x:row>
    <x:row r="267" ht="36" customHeight="1">
      <x:c r="A267" s="19" t="str">
        <x:v>W04-20261001-0266</x:v>
      </x:c>
      <x:c r="B267" s="13" t="n">
        <x:v>4</x:v>
      </x:c>
      <x:c r="C267" s="13" t="str">
        <x:v>Этап 1 — База, разминка и исходная точка</x:v>
      </x:c>
      <x:c r="D267" s="138" t="str">
        <x:v>2026-10-01</x:v>
      </x:c>
      <x:c r="E267" s="13" t="str">
        <x:v>Четверг</x:v>
      </x:c>
      <x:c r="F267" s="13" t="str">
        <x:v>Тренировка B — пальцы/проект</x:v>
      </x:c>
      <x:c r="G267" s="44" t="n">
        <x:v>0.011805555555555555</x:v>
      </x:c>
      <x:c r="H267" s="44" t="n">
        <x:v>0.014583333333333334</x:v>
      </x:c>
      <x:c r="I267" s="32" t="n">
        <x:f>ROUND((H267-G267)*1440,0)</x:f>
        <x:v>4</x:v>
      </x:c>
      <x:c r="J267" s="13" t="str">
        <x:v>Разминочное лазание</x:v>
      </x:c>
      <x:c r="K267" s="13" t="str">
        <x:v>Пройди 2 очень лёгкие трассы уровня 1–2; двигайся медленно, спускайся по зацепам.</x:v>
      </x:c>
      <x:c r="L267" s="13" t="str">
        <x:v>☐ Не начато</x:v>
      </x:c>
      <x:c r="M267" s="13" t="str">
        <x:v>Обязательно</x:v>
      </x:c>
      <x:c r="N267" s="13" t="str">
        <x:v>RPE 2–3</x:v>
      </x:c>
      <x:c r="O267" s="13" t="str">
        <x:v>Финиш с обязательным болезненным mantle/press пропусти.</x:v>
      </x:c>
      <x:c r="P267" s="13" t="str">
        <x:v>milestone_01_foundation/week_04_2026-09-28/04_THURSDAY.md</x:v>
      </x:c>
      <x:c r="Q267" s="138" t="str">
        <x:v>Markdown</x:v>
      </x:c>
      <x:c r="R267" s="20" t="str"/>
    </x:row>
    <x:row r="268" ht="36" customHeight="1">
      <x:c r="A268" s="19" t="str">
        <x:v>W04-20261001-0267</x:v>
      </x:c>
      <x:c r="B268" s="13" t="n">
        <x:v>4</x:v>
      </x:c>
      <x:c r="C268" s="13" t="str">
        <x:v>Этап 1 — База, разминка и исходная точка</x:v>
      </x:c>
      <x:c r="D268" s="138" t="str">
        <x:v>2026-10-01</x:v>
      </x:c>
      <x:c r="E268" s="13" t="str">
        <x:v>Четверг</x:v>
      </x:c>
      <x:c r="F268" s="13" t="str">
        <x:v>Тренировка B — пальцы/проект</x:v>
      </x:c>
      <x:c r="G268" s="44" t="n">
        <x:v>0.014583333333333334</x:v>
      </x:c>
      <x:c r="H268" s="44" t="n">
        <x:v>0.017361111111111112</x:v>
      </x:c>
      <x:c r="I268" s="32" t="n">
        <x:f>ROUND((H268-G268)*1440,0)</x:f>
        <x:v>4</x:v>
      </x:c>
      <x:c r="J268" s="13" t="str">
        <x:v>Разминочное лазание</x:v>
      </x:c>
      <x:c r="K268" s="13" t="str">
        <x:v>Пройди 2 трассы уровня 2–3, затем сделай 2–3 движения на комфортной четвёрке. Между ними 45–60 секунд.</x:v>
      </x:c>
      <x:c r="L268" s="13" t="str">
        <x:v>☐ Не начато</x:v>
      </x:c>
      <x:c r="M268" s="13" t="str">
        <x:v>Обязательно</x:v>
      </x:c>
      <x:c r="N268" s="13" t="str">
        <x:v>RPE 3–4</x:v>
      </x:c>
      <x:c r="O268" s="13" t="str">
        <x:v>Разминка не должна утомить пальцы.</x:v>
      </x:c>
      <x:c r="P268" s="13" t="str">
        <x:v>milestone_01_foundation/week_04_2026-09-28/04_THURSDAY.md</x:v>
      </x:c>
      <x:c r="Q268" s="138" t="str">
        <x:v>Markdown</x:v>
      </x:c>
      <x:c r="R268" s="20" t="str"/>
    </x:row>
    <x:row r="269" ht="36" customHeight="1">
      <x:c r="A269" s="19" t="str">
        <x:v>W04-20261001-0268</x:v>
      </x:c>
      <x:c r="B269" s="13" t="n">
        <x:v>4</x:v>
      </x:c>
      <x:c r="C269" s="13" t="str">
        <x:v>Этап 1 — База, разминка и исходная точка</x:v>
      </x:c>
      <x:c r="D269" s="138" t="str">
        <x:v>2026-10-01</x:v>
      </x:c>
      <x:c r="E269" s="13" t="str">
        <x:v>Четверг</x:v>
      </x:c>
      <x:c r="F269" s="13" t="str">
        <x:v>Тренировка B — пальцы/проект</x:v>
      </x:c>
      <x:c r="G269" s="44" t="n">
        <x:v>0.017361111111111112</x:v>
      </x:c>
      <x:c r="H269" s="44" t="n">
        <x:v>0.02013888888888889</x:v>
      </x:c>
      <x:c r="I269" s="32" t="n">
        <x:f>ROUND((H269-G269)*1440,0)</x:f>
        <x:v>4</x:v>
      </x:c>
      <x:c r="J269" s="13" t="str">
        <x:v>Техника</x:v>
      </x:c>
      <x:c r="K269" s="13" t="str">
        <x:v>Повтори cue недели на одной лёгкой трассе 2–3: «Заканчивай подход, пока техника ещё аккуратная, а не после полного отказа пальцев.».</x:v>
      </x:c>
      <x:c r="L269" s="13" t="str">
        <x:v>☐ Не начато</x:v>
      </x:c>
      <x:c r="M269" s="13" t="str">
        <x:v>Обязательно</x:v>
      </x:c>
      <x:c r="N269" s="13" t="str">
        <x:v>RPE 3–4</x:v>
      </x:c>
      <x:c r="O269" s="13" t="str">
        <x:v>Объём снижён примерно на 35%. Никаких «компенсаций» и максимальных висов.</x:v>
      </x:c>
      <x:c r="P269" s="13" t="str">
        <x:v>milestone_01_foundation/week_04_2026-09-28/04_THURSDAY.md</x:v>
      </x:c>
      <x:c r="Q269" s="138" t="str">
        <x:v>Markdown</x:v>
      </x:c>
      <x:c r="R269" s="20" t="str"/>
    </x:row>
    <x:row r="270" ht="36" customHeight="1">
      <x:c r="A270" s="19" t="str">
        <x:v>W04-20261001-0269</x:v>
      </x:c>
      <x:c r="B270" s="13" t="n">
        <x:v>4</x:v>
      </x:c>
      <x:c r="C270" s="13" t="str">
        <x:v>Этап 1 — База, разминка и исходная точка</x:v>
      </x:c>
      <x:c r="D270" s="138" t="str">
        <x:v>2026-10-01</x:v>
      </x:c>
      <x:c r="E270" s="13" t="str">
        <x:v>Четверг</x:v>
      </x:c>
      <x:c r="F270" s="13" t="str">
        <x:v>Тренировка B — пальцы/проект</x:v>
      </x:c>
      <x:c r="G270" s="44" t="n">
        <x:v>0.02013888888888889</x:v>
      </x:c>
      <x:c r="H270" s="44" t="n">
        <x:v>0.025</x:v>
      </x:c>
      <x:c r="I270" s="32" t="n">
        <x:f>ROUND((H270-G270)*1440,0)</x:f>
        <x:v>7</x:v>
      </x:c>
      <x:c r="J270" s="13" t="str">
        <x:v>Подготовка проекта</x:v>
      </x:c>
      <x:c r="K270" s="13" t="str">
        <x:v>Выбери основной проект, очисти нужные зацепы, прочитай трассу 90 секунд и запиши предполагаемый crux.</x:v>
      </x:c>
      <x:c r="L270" s="13" t="str">
        <x:v>☐ Не начато</x:v>
      </x:c>
      <x:c r="M270" s="13" t="str">
        <x:v>Обязательно</x:v>
      </x:c>
      <x:c r="N270" s="13" t="str">
        <x:v>Без нагрузки</x:v>
      </x:c>
      <x:c r="O270" s="13" t="str"/>
      <x:c r="P270" s="13" t="str">
        <x:v>milestone_01_foundation/week_04_2026-09-28/04_THURSDAY.md</x:v>
      </x:c>
      <x:c r="Q270" s="138" t="str">
        <x:v>Markdown</x:v>
      </x:c>
      <x:c r="R270" s="20" t="str"/>
    </x:row>
    <x:row r="271" ht="36" customHeight="1">
      <x:c r="A271" s="19" t="str">
        <x:v>W04-20261001-0270</x:v>
      </x:c>
      <x:c r="B271" s="13" t="n">
        <x:v>4</x:v>
      </x:c>
      <x:c r="C271" s="13" t="str">
        <x:v>Этап 1 — База, разминка и исходная точка</x:v>
      </x:c>
      <x:c r="D271" s="138" t="str">
        <x:v>2026-10-01</x:v>
      </x:c>
      <x:c r="E271" s="13" t="str">
        <x:v>Четверг</x:v>
      </x:c>
      <x:c r="F271" s="13" t="str">
        <x:v>Тренировка B — пальцы/проект</x:v>
      </x:c>
      <x:c r="G271" s="44" t="n">
        <x:v>0.025</x:v>
      </x:c>
      <x:c r="H271" s="44" t="n">
        <x:v>0.02847222222222222</x:v>
      </x:c>
      <x:c r="I271" s="32" t="n">
        <x:f>ROUND((H271-G271)*1440,0)</x:f>
        <x:v>5</x:v>
      </x:c>
      <x:c r="J271" s="13" t="str">
        <x:v>Отдых</x:v>
      </x:c>
      <x:c r="K271" s="13" t="str">
        <x:v>Полный отдых перед проектом: походи, не висни на зацепах.</x:v>
      </x:c>
      <x:c r="L271" s="13" t="str">
        <x:v>☐ Не начато</x:v>
      </x:c>
      <x:c r="M271" s="13" t="str">
        <x:v>Обязательно</x:v>
      </x:c>
      <x:c r="N271" s="13" t="str">
        <x:v>Восстановление</x:v>
      </x:c>
      <x:c r="O271" s="13" t="str"/>
      <x:c r="P271" s="13" t="str">
        <x:v>milestone_01_foundation/week_04_2026-09-28/04_THURSDAY.md</x:v>
      </x:c>
      <x:c r="Q271" s="138" t="str">
        <x:v>Markdown</x:v>
      </x:c>
      <x:c r="R271" s="20" t="str"/>
    </x:row>
    <x:row r="272" ht="36" customHeight="1">
      <x:c r="A272" s="19" t="str">
        <x:v>W04-20261001-0271</x:v>
      </x:c>
      <x:c r="B272" s="13" t="n">
        <x:v>4</x:v>
      </x:c>
      <x:c r="C272" s="13" t="str">
        <x:v>Этап 1 — База, разминка и исходная точка</x:v>
      </x:c>
      <x:c r="D272" s="138" t="str">
        <x:v>2026-10-01</x:v>
      </x:c>
      <x:c r="E272" s="13" t="str">
        <x:v>Четверг</x:v>
      </x:c>
      <x:c r="F272" s="13" t="str">
        <x:v>Тренировка B — пальцы/проект</x:v>
      </x:c>
      <x:c r="G272" s="44" t="n">
        <x:v>0.02847222222222222</x:v>
      </x:c>
      <x:c r="H272" s="44" t="n">
        <x:v>0.03125</x:v>
      </x:c>
      <x:c r="I272" s="32" t="n">
        <x:f>ROUND((H272-G272)*1440,0)</x:f>
        <x:v>4</x:v>
      </x:c>
      <x:c r="J272" s="13" t="str">
        <x:v>Выбор проекта</x:v>
      </x:c>
      <x:c r="K272" s="13" t="str">
        <x:v>Выбери трассу по критериям недели: Только одна пятёрка, максимум 3 тяжёлые попытки. Остальное — лёгкая техника.</x:v>
      </x:c>
      <x:c r="L272" s="13" t="str">
        <x:v>☐ Не начато</x:v>
      </x:c>
      <x:c r="M272" s="13" t="str">
        <x:v>Обязательно</x:v>
      </x:c>
      <x:c r="N272" s="13" t="str">
        <x:v>Без нагрузки</x:v>
      </x:c>
      <x:c r="O272" s="13" t="str">
        <x:v>Объём снижён примерно на 35%. Никаких «компенсаций» и максимальных висов.</x:v>
      </x:c>
      <x:c r="P272" s="13" t="str">
        <x:v>milestone_01_foundation/week_04_2026-09-28/04_THURSDAY.md</x:v>
      </x:c>
      <x:c r="Q272" s="138" t="str">
        <x:v>Markdown</x:v>
      </x:c>
      <x:c r="R272" s="20" t="str"/>
    </x:row>
    <x:row r="273" ht="36" customHeight="1">
      <x:c r="A273" s="19" t="str">
        <x:v>W04-20261001-0272</x:v>
      </x:c>
      <x:c r="B273" s="13" t="n">
        <x:v>4</x:v>
      </x:c>
      <x:c r="C273" s="13" t="str">
        <x:v>Этап 1 — База, разминка и исходная точка</x:v>
      </x:c>
      <x:c r="D273" s="138" t="str">
        <x:v>2026-10-01</x:v>
      </x:c>
      <x:c r="E273" s="13" t="str">
        <x:v>Четверг</x:v>
      </x:c>
      <x:c r="F273" s="13" t="str">
        <x:v>Тренировка B — пальцы/проект</x:v>
      </x:c>
      <x:c r="G273" s="44" t="n">
        <x:v>0.03125</x:v>
      </x:c>
      <x:c r="H273" s="44" t="n">
        <x:v>0.034722222222222224</x:v>
      </x:c>
      <x:c r="I273" s="32" t="n">
        <x:f>ROUND((H273-G273)*1440,0)</x:f>
        <x:v>5</x:v>
      </x:c>
      <x:c r="J273" s="13" t="str">
        <x:v>Проект — попытка 1</x:v>
      </x:c>
      <x:c r="K273" s="13" t="str">
        <x:v>Сделай первую полную диагностическую попытку. После падения не повторяй сразу: назови точную причину.</x:v>
      </x:c>
      <x:c r="L273" s="13" t="str">
        <x:v>☐ Не начато</x:v>
      </x:c>
      <x:c r="M273" s="13" t="str">
        <x:v>Обязательно</x:v>
      </x:c>
      <x:c r="N273" s="13" t="str">
        <x:v>RPE 7–8</x:v>
      </x:c>
      <x:c r="O273" s="13" t="str">
        <x:v>Прекратить движение при боли, а не после падения.</x:v>
      </x:c>
      <x:c r="P273" s="13" t="str">
        <x:v>milestone_01_foundation/week_04_2026-09-28/04_THURSDAY.md</x:v>
      </x:c>
      <x:c r="Q273" s="138" t="str">
        <x:v>Markdown</x:v>
      </x:c>
      <x:c r="R273" s="20" t="str"/>
    </x:row>
    <x:row r="274" ht="36" customHeight="1">
      <x:c r="A274" s="19" t="str">
        <x:v>W04-20261001-0273</x:v>
      </x:c>
      <x:c r="B274" s="13" t="n">
        <x:v>4</x:v>
      </x:c>
      <x:c r="C274" s="13" t="str">
        <x:v>Этап 1 — База, разминка и исходная точка</x:v>
      </x:c>
      <x:c r="D274" s="138" t="str">
        <x:v>2026-10-01</x:v>
      </x:c>
      <x:c r="E274" s="13" t="str">
        <x:v>Четверг</x:v>
      </x:c>
      <x:c r="F274" s="13" t="str">
        <x:v>Тренировка B — пальцы/проект</x:v>
      </x:c>
      <x:c r="G274" s="44" t="n">
        <x:v>0.034722222222222224</x:v>
      </x:c>
      <x:c r="H274" s="44" t="n">
        <x:v>0.03819444444444445</x:v>
      </x:c>
      <x:c r="I274" s="32" t="n">
        <x:f>ROUND((H274-G274)*1440,0)</x:f>
        <x:v>5</x:v>
      </x:c>
      <x:c r="J274" s="13" t="str">
        <x:v>Отдых / гипотеза</x:v>
      </x:c>
      <x:c r="K274" s="13" t="str">
        <x:v>Отдых 4–5 минут. Запиши одну гипотезу: стопа, положение таза, хват или темп.</x:v>
      </x:c>
      <x:c r="L274" s="13" t="str">
        <x:v>☐ Не начато</x:v>
      </x:c>
      <x:c r="M274" s="13" t="str">
        <x:v>Обязательно</x:v>
      </x:c>
      <x:c r="N274" s="13" t="str">
        <x:v>Восстановление</x:v>
      </x:c>
      <x:c r="O274" s="13" t="str"/>
      <x:c r="P274" s="13" t="str">
        <x:v>milestone_01_foundation/week_04_2026-09-28/04_THURSDAY.md</x:v>
      </x:c>
      <x:c r="Q274" s="138" t="str">
        <x:v>Markdown</x:v>
      </x:c>
      <x:c r="R274" s="20" t="str"/>
    </x:row>
    <x:row r="275" ht="36" customHeight="1">
      <x:c r="A275" s="19" t="str">
        <x:v>W04-20261001-0274</x:v>
      </x:c>
      <x:c r="B275" s="13" t="n">
        <x:v>4</x:v>
      </x:c>
      <x:c r="C275" s="13" t="str">
        <x:v>Этап 1 — База, разминка и исходная точка</x:v>
      </x:c>
      <x:c r="D275" s="138" t="str">
        <x:v>2026-10-01</x:v>
      </x:c>
      <x:c r="E275" s="13" t="str">
        <x:v>Четверг</x:v>
      </x:c>
      <x:c r="F275" s="13" t="str">
        <x:v>Тренировка B — пальцы/проект</x:v>
      </x:c>
      <x:c r="G275" s="44" t="n">
        <x:v>0.03819444444444445</x:v>
      </x:c>
      <x:c r="H275" s="44" t="n">
        <x:v>0.04236111111111111</x:v>
      </x:c>
      <x:c r="I275" s="32" t="n">
        <x:f>ROUND((H275-G275)*1440,0)</x:f>
        <x:v>6</x:v>
      </x:c>
      <x:c r="J275" s="13" t="str">
        <x:v>Проект — попытки 2–3</x:v>
      </x:c>
      <x:c r="K275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275" s="13" t="str">
        <x:v>☐ Не начато</x:v>
      </x:c>
      <x:c r="M275" s="13" t="str">
        <x:v>Обязательно</x:v>
      </x:c>
      <x:c r="N275" s="13" t="str">
        <x:v>RPE 7–8, без отказа</x:v>
      </x:c>
      <x:c r="O275" s="13" t="str">
        <x:v>Не смотреть beta заранее: сначала собственная гипотеза.</x:v>
      </x:c>
      <x:c r="P275" s="13" t="str">
        <x:v>milestone_01_foundation/week_04_2026-09-28/04_THURSDAY.md</x:v>
      </x:c>
      <x:c r="Q275" s="138" t="str">
        <x:v>Markdown</x:v>
      </x:c>
      <x:c r="R275" s="20" t="str"/>
    </x:row>
    <x:row r="276" ht="36" customHeight="1">
      <x:c r="A276" s="19" t="str">
        <x:v>W04-20261001-0275</x:v>
      </x:c>
      <x:c r="B276" s="13" t="n">
        <x:v>4</x:v>
      </x:c>
      <x:c r="C276" s="13" t="str">
        <x:v>Этап 1 — База, разминка и исходная точка</x:v>
      </x:c>
      <x:c r="D276" s="138" t="str">
        <x:v>2026-10-01</x:v>
      </x:c>
      <x:c r="E276" s="13" t="str">
        <x:v>Четверг</x:v>
      </x:c>
      <x:c r="F276" s="13" t="str">
        <x:v>Тренировка B — пальцы/проект</x:v>
      </x:c>
      <x:c r="G276" s="44" t="n">
        <x:v>0.04236111111111111</x:v>
      </x:c>
      <x:c r="H276" s="44" t="n">
        <x:v>0.05277777777777778</x:v>
      </x:c>
      <x:c r="I276" s="32" t="n">
        <x:f>ROUND((H276-G276)*1440,0)</x:f>
        <x:v>15</x:v>
      </x:c>
      <x:c r="J276" s="13" t="str">
        <x:v>Проект — заключительная попытка</x:v>
      </x:c>
      <x:c r="K276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276" s="13" t="str">
        <x:v>☐ Не начато</x:v>
      </x:c>
      <x:c r="M276" s="13" t="str">
        <x:v>Обязательно</x:v>
      </x:c>
      <x:c r="N276" s="13" t="str">
        <x:v>RPE 8, с запасом</x:v>
      </x:c>
      <x:c r="O276" s="13" t="str">
        <x:v>Объём снижён примерно на 35%. Никаких «компенсаций» и максимальных висов.</x:v>
      </x:c>
      <x:c r="P276" s="13" t="str">
        <x:v>milestone_01_foundation/week_04_2026-09-28/04_THURSDAY.md</x:v>
      </x:c>
      <x:c r="Q276" s="138" t="str">
        <x:v>Markdown</x:v>
      </x:c>
      <x:c r="R276" s="20" t="str"/>
    </x:row>
    <x:row r="277" ht="36" customHeight="1">
      <x:c r="A277" s="19" t="str">
        <x:v>W04-20261001-0276</x:v>
      </x:c>
      <x:c r="B277" s="13" t="n">
        <x:v>4</x:v>
      </x:c>
      <x:c r="C277" s="13" t="str">
        <x:v>Этап 1 — База, разминка и исходная точка</x:v>
      </x:c>
      <x:c r="D277" s="138" t="str">
        <x:v>2026-10-01</x:v>
      </x:c>
      <x:c r="E277" s="13" t="str">
        <x:v>Четверг</x:v>
      </x:c>
      <x:c r="F277" s="13" t="str">
        <x:v>Тренировка B — пальцы/проект</x:v>
      </x:c>
      <x:c r="G277" s="44" t="n">
        <x:v>0.05277777777777778</x:v>
      </x:c>
      <x:c r="H277" s="44" t="n">
        <x:v>0.05763888888888889</x:v>
      </x:c>
      <x:c r="I277" s="32" t="n">
        <x:f>ROUND((H277-G277)*1440,0)</x:f>
        <x:v>7</x:v>
      </x:c>
      <x:c r="J277" s="13" t="str">
        <x:v>Вторичная трасса</x:v>
      </x:c>
      <x:c r="K277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277" s="13" t="str">
        <x:v>☐ Не начато</x:v>
      </x:c>
      <x:c r="M277" s="13" t="str">
        <x:v>Обязательно</x:v>
      </x:c>
      <x:c r="N277" s="13" t="str">
        <x:v>RPE 5–7</x:v>
      </x:c>
      <x:c r="O277" s="13" t="str">
        <x:v>Пропустить, если хват уже просел.</x:v>
      </x:c>
      <x:c r="P277" s="13" t="str">
        <x:v>milestone_01_foundation/week_04_2026-09-28/04_THURSDAY.md</x:v>
      </x:c>
      <x:c r="Q277" s="138" t="str">
        <x:v>Markdown</x:v>
      </x:c>
      <x:c r="R277" s="20" t="str"/>
    </x:row>
    <x:row r="278" ht="36" customHeight="1">
      <x:c r="A278" s="19" t="str">
        <x:v>W04-20261001-0277</x:v>
      </x:c>
      <x:c r="B278" s="13" t="n">
        <x:v>4</x:v>
      </x:c>
      <x:c r="C278" s="13" t="str">
        <x:v>Этап 1 — База, разминка и исходная точка</x:v>
      </x:c>
      <x:c r="D278" s="138" t="str">
        <x:v>2026-10-01</x:v>
      </x:c>
      <x:c r="E278" s="13" t="str">
        <x:v>Четверг</x:v>
      </x:c>
      <x:c r="F278" s="13" t="str">
        <x:v>Тренировка B — пальцы/проект</x:v>
      </x:c>
      <x:c r="G278" s="44" t="n">
        <x:v>0.05763888888888889</x:v>
      </x:c>
      <x:c r="H278" s="44" t="n">
        <x:v>0.06041666666666667</x:v>
      </x:c>
      <x:c r="I278" s="32" t="n">
        <x:f>ROUND((H278-G278)*1440,0)</x:f>
        <x:v>4</x:v>
      </x:c>
      <x:c r="J278" s="13" t="str">
        <x:v>Завершение</x:v>
      </x:c>
      <x:c r="K278" s="13" t="str">
        <x:v>Очень лёгкий спуск/ходьба, вода, никаких финишных висов.</x:v>
      </x:c>
      <x:c r="L278" s="13" t="str">
        <x:v>☐ Не начато</x:v>
      </x:c>
      <x:c r="M278" s="13" t="str">
        <x:v>Обязательно</x:v>
      </x:c>
      <x:c r="N278" s="13" t="str">
        <x:v>RPE 1–2</x:v>
      </x:c>
      <x:c r="O278" s="13" t="str"/>
      <x:c r="P278" s="13" t="str">
        <x:v>milestone_01_foundation/week_04_2026-09-28/04_THURSDAY.md</x:v>
      </x:c>
      <x:c r="Q278" s="138" t="str">
        <x:v>Markdown</x:v>
      </x:c>
      <x:c r="R278" s="20" t="str"/>
    </x:row>
    <x:row r="279" ht="36" customHeight="1">
      <x:c r="A279" s="19" t="str">
        <x:v>W04-20261001-0278</x:v>
      </x:c>
      <x:c r="B279" s="13" t="n">
        <x:v>4</x:v>
      </x:c>
      <x:c r="C279" s="13" t="str">
        <x:v>Этап 1 — База, разминка и исходная точка</x:v>
      </x:c>
      <x:c r="D279" s="138" t="str">
        <x:v>2026-10-01</x:v>
      </x:c>
      <x:c r="E279" s="13" t="str">
        <x:v>Четверг</x:v>
      </x:c>
      <x:c r="F279" s="13" t="str">
        <x:v>Тренировка B — пальцы/проект</x:v>
      </x:c>
      <x:c r="G279" s="44" t="n">
        <x:v>0.06041666666666667</x:v>
      </x:c>
      <x:c r="H279" s="44" t="n">
        <x:v>0.0625</x:v>
      </x:c>
      <x:c r="I279" s="32" t="n">
        <x:f>ROUND((H279-G279)*1440,0)</x:f>
        <x:v>3</x:v>
      </x:c>
      <x:c r="J279" s="13" t="str">
        <x:v>Журнал</x:v>
      </x:c>
      <x:c r="K279" s="13" t="str">
        <x:v>Запиши попытки, лучшую связку, одну правку и benchmark: Повторить укороченный тест недели 1 и сравнить видео. Решение о старте фингерборда только при спокойных пальцах и плече.</x:v>
      </x:c>
      <x:c r="L279" s="13" t="str">
        <x:v>☐ Не начато</x:v>
      </x:c>
      <x:c r="M279" s="13" t="str">
        <x:v>Обязательно</x:v>
      </x:c>
      <x:c r="N279" s="13" t="str">
        <x:v>Без нагрузки</x:v>
      </x:c>
      <x:c r="O279" s="13" t="str"/>
      <x:c r="P279" s="13" t="str">
        <x:v>milestone_01_foundation/week_04_2026-09-28/04_THURSDAY.md</x:v>
      </x:c>
      <x:c r="Q279" s="138" t="str">
        <x:v>Markdown</x:v>
      </x:c>
      <x:c r="R279" s="20" t="str"/>
    </x:row>
    <x:row r="280" ht="36" customHeight="1">
      <x:c r="A280" s="19" t="str">
        <x:v>W04-20261002-0279</x:v>
      </x:c>
      <x:c r="B280" s="13" t="n">
        <x:v>4</x:v>
      </x:c>
      <x:c r="C280" s="13" t="str">
        <x:v>Этап 1 — База, разминка и исходная точка</x:v>
      </x:c>
      <x:c r="D280" s="138" t="str">
        <x:v>2026-10-02</x:v>
      </x:c>
      <x:c r="E280" s="13" t="str">
        <x:v>Пятница</x:v>
      </x:c>
      <x:c r="F280" s="13" t="str">
        <x:v>Дом / теория</x:v>
      </x:c>
      <x:c r="G280" s="44" t="n">
        <x:v>0</x:v>
      </x:c>
      <x:c r="H280" s="44" t="n">
        <x:v>0.0020833333333333333</x:v>
      </x:c>
      <x:c r="I280" s="32" t="n">
        <x:f>ROUND((H280-G280)*1440,0)</x:f>
        <x:v>3</x:v>
      </x:c>
      <x:c r="J280" s="13" t="str">
        <x:v>Самопроверка</x:v>
      </x:c>
      <x:c r="K280" s="13" t="str">
        <x:v>Оцени утреннюю реакцию после четверга: пальцы/плечо/колено 0–10. Запиши, восстановилась ли обычная сила кисти.</x:v>
      </x:c>
      <x:c r="L280" s="13" t="str">
        <x:v>☐ Не начато</x:v>
      </x:c>
      <x:c r="M280" s="13" t="str">
        <x:v>Обязательно</x:v>
      </x:c>
      <x:c r="N280" s="13" t="str">
        <x:v>Без нагрузки</x:v>
      </x:c>
      <x:c r="O280" s="13" t="str">
        <x:v>Острая локальная боль пальца или усилившаяся боль плеча = воскресенье только восстановительное.</x:v>
      </x:c>
      <x:c r="P280" s="13" t="str">
        <x:v>milestone_01_foundation/week_04_2026-09-28/05_FRIDAY.md</x:v>
      </x:c>
      <x:c r="Q280" s="138" t="str">
        <x:v>Markdown</x:v>
      </x:c>
      <x:c r="R280" s="20" t="str"/>
    </x:row>
    <x:row r="281" ht="36" customHeight="1">
      <x:c r="A281" s="19" t="str">
        <x:v>W04-20261002-0280</x:v>
      </x:c>
      <x:c r="B281" s="13" t="n">
        <x:v>4</x:v>
      </x:c>
      <x:c r="C281" s="13" t="str">
        <x:v>Этап 1 — База, разминка и исходная точка</x:v>
      </x:c>
      <x:c r="D281" s="138" t="str">
        <x:v>2026-10-02</x:v>
      </x:c>
      <x:c r="E281" s="13" t="str">
        <x:v>Пятница</x:v>
      </x:c>
      <x:c r="F281" s="13" t="str">
        <x:v>Дом / теория</x:v>
      </x:c>
      <x:c r="G281" s="44" t="n">
        <x:v>0.0020833333333333333</x:v>
      </x:c>
      <x:c r="H281" s="44" t="n">
        <x:v>0.009027777777777777</x:v>
      </x:c>
      <x:c r="I281" s="32" t="n">
        <x:f>ROUND((H281-G281)*1440,0)</x:f>
        <x:v>10</x:v>
      </x:c>
      <x:c r="J281" s="13" t="str">
        <x:v>Теория</x:v>
      </x:c>
      <x:c r="K281" s="13" t="str">
        <x:v>Посмотри/прочитай второй ресурс недели: [R14: BMC — How to start fingerboarding](https://www.thebmc.co.uk/en/how-to-start-fingerboarding-with-gb-climbing-coach-rachel-carr-video). Задача: Только техника положения кисти/плеча. Не копировать чужую тяжёлую программу: в плане используется облегчённый вис с ногами.</x:v>
      </x:c>
      <x:c r="L281" s="13" t="str">
        <x:v>☐ Не начато</x:v>
      </x:c>
      <x:c r="M281" s="13" t="str">
        <x:v>Обязательно</x:v>
      </x:c>
      <x:c r="N281" s="13" t="str">
        <x:v>Без нагрузки</x:v>
      </x:c>
      <x:c r="O281" s="13" t="str"/>
      <x:c r="P281" s="13" t="str">
        <x:v>milestone_01_foundation/week_04_2026-09-28/05_FRIDAY.md</x:v>
      </x:c>
      <x:c r="Q281" s="138" t="str">
        <x:v>Markdown</x:v>
      </x:c>
      <x:c r="R281" s="20" t="str"/>
    </x:row>
    <x:row r="282" ht="36" customHeight="1">
      <x:c r="A282" s="19" t="str">
        <x:v>W04-20261002-0281</x:v>
      </x:c>
      <x:c r="B282" s="13" t="n">
        <x:v>4</x:v>
      </x:c>
      <x:c r="C282" s="13" t="str">
        <x:v>Этап 1 — База, разминка и исходная точка</x:v>
      </x:c>
      <x:c r="D282" s="138" t="str">
        <x:v>2026-10-02</x:v>
      </x:c>
      <x:c r="E282" s="13" t="str">
        <x:v>Пятница</x:v>
      </x:c>
      <x:c r="F282" s="13" t="str">
        <x:v>Дом / теория</x:v>
      </x:c>
      <x:c r="G282" s="44" t="n">
        <x:v>0.009027777777777777</x:v>
      </x:c>
      <x:c r="H282" s="44" t="n">
        <x:v>0.013194444444444444</x:v>
      </x:c>
      <x:c r="I282" s="32" t="n">
        <x:f>ROUND((H282-G282)*1440,0)</x:f>
        <x:v>6</x:v>
      </x:c>
      <x:c r="J282" s="13" t="str">
        <x:v>Ментальная репетиция</x:v>
      </x:c>
      <x:c r="K282" s="13" t="str">
        <x:v>Закрой глаза и 3 раза мысленно пройди одну рабочую трассу: руки → ноги → положение таза → дыхание. Визуализируй cue «Заканчивай подход, пока техника ещё аккуратная, а не после полного отказа пальцев.».</x:v>
      </x:c>
      <x:c r="L282" s="13" t="str">
        <x:v>☐ Не начато</x:v>
      </x:c>
      <x:c r="M282" s="13" t="str">
        <x:v>Обязательно</x:v>
      </x:c>
      <x:c r="N282" s="13" t="str">
        <x:v>Без нагрузки</x:v>
      </x:c>
      <x:c r="O282" s="13" t="str"/>
      <x:c r="P282" s="13" t="str">
        <x:v>milestone_01_foundation/week_04_2026-09-28/05_FRIDAY.md</x:v>
      </x:c>
      <x:c r="Q282" s="138" t="str">
        <x:v>Markdown</x:v>
      </x:c>
      <x:c r="R282" s="20" t="str"/>
    </x:row>
    <x:row r="283" ht="36" customHeight="1">
      <x:c r="A283" s="19" t="str">
        <x:v>W04-20261002-0282</x:v>
      </x:c>
      <x:c r="B283" s="13" t="n">
        <x:v>4</x:v>
      </x:c>
      <x:c r="C283" s="13" t="str">
        <x:v>Этап 1 — База, разминка и исходная точка</x:v>
      </x:c>
      <x:c r="D283" s="138" t="str">
        <x:v>2026-10-02</x:v>
      </x:c>
      <x:c r="E283" s="13" t="str">
        <x:v>Пятница</x:v>
      </x:c>
      <x:c r="F283" s="13" t="str">
        <x:v>Дом / теория</x:v>
      </x:c>
      <x:c r="G283" s="44" t="n">
        <x:v>0.013194444444444444</x:v>
      </x:c>
      <x:c r="H283" s="44" t="n">
        <x:v>0.021527777777777778</x:v>
      </x:c>
      <x:c r="I283" s="32" t="n">
        <x:f>ROUND((H283-G283)*1440,0)</x:f>
        <x:v>12</x:v>
      </x:c>
      <x:c r="J283" s="13" t="str">
        <x:v>Домашняя мобильность</x:v>
      </x:c>
      <x:c r="K283" s="13" t="str">
        <x:v>Выполни H3 «Мобильность таза и контроль корпуса» — 12 минут.</x:v>
      </x:c>
      <x:c r="L283" s="13" t="str">
        <x:v>☐ Не начато</x:v>
      </x:c>
      <x:c r="M283" s="13" t="str">
        <x:v>Обязательно</x:v>
      </x:c>
      <x:c r="N283" s="13" t="str">
        <x:v>RPE 2–3</x:v>
      </x:c>
      <x:c r="O283" s="13" t="str">
        <x:v>Никаких скручиваний через боль. Плечом не отталкивайся от стены; касание только для равновесия.</x:v>
      </x:c>
      <x:c r="P283" s="13" t="str">
        <x:v>milestone_01_foundation/week_04_2026-09-28/05_FRIDAY.md</x:v>
      </x:c>
      <x:c r="Q283" s="138" t="str">
        <x:v>Markdown</x:v>
      </x:c>
      <x:c r="R283" s="20" t="str"/>
    </x:row>
    <x:row r="284" ht="36" customHeight="1">
      <x:c r="A284" s="19" t="str">
        <x:v>W04-20261002-0283</x:v>
      </x:c>
      <x:c r="B284" s="13" t="n">
        <x:v>4</x:v>
      </x:c>
      <x:c r="C284" s="13" t="str">
        <x:v>Этап 1 — База, разминка и исходная точка</x:v>
      </x:c>
      <x:c r="D284" s="138" t="str">
        <x:v>2026-10-02</x:v>
      </x:c>
      <x:c r="E284" s="13" t="str">
        <x:v>Пятница</x:v>
      </x:c>
      <x:c r="F284" s="13" t="str">
        <x:v>Дом / теория</x:v>
      </x:c>
      <x:c r="G284" s="44" t="n">
        <x:v>0.021527777777777778</x:v>
      </x:c>
      <x:c r="H284" s="44" t="n">
        <x:v>0.035416666666666666</x:v>
      </x:c>
      <x:c r="I284" s="32" t="n">
        <x:f>ROUND((H284-G284)*1440,0)</x:f>
        <x:v>20</x:v>
      </x:c>
      <x:c r="J284" s="13" t="str">
        <x:v>Физиотерапия</x:v>
      </x:c>
      <x:c r="K284" s="13" t="str">
        <x:v>Выполни свой назначенный комплекс, если пятница входит в расписание физиотерапевта.</x:v>
      </x:c>
      <x:c r="L284" s="13" t="str">
        <x:v>☐ Не начато</x:v>
      </x:c>
      <x:c r="M284" s="13" t="str">
        <x:v>По назначению</x:v>
      </x:c>
      <x:c r="N284" s="13" t="str">
        <x:v>По назначению</x:v>
      </x:c>
      <x:c r="O284" s="13" t="str">
        <x:v>Не добавляй упражнения из интернета поверх назначений.</x:v>
      </x:c>
      <x:c r="P284" s="13" t="str">
        <x:v>milestone_01_foundation/week_04_2026-09-28/05_FRIDAY.md</x:v>
      </x:c>
      <x:c r="Q284" s="138" t="str">
        <x:v>Markdown</x:v>
      </x:c>
      <x:c r="R284" s="20" t="str"/>
    </x:row>
    <x:row r="285" ht="36" customHeight="1">
      <x:c r="A285" s="19" t="str">
        <x:v>W04-20261002-0284</x:v>
      </x:c>
      <x:c r="B285" s="13" t="n">
        <x:v>4</x:v>
      </x:c>
      <x:c r="C285" s="13" t="str">
        <x:v>Этап 1 — База, разминка и исходная точка</x:v>
      </x:c>
      <x:c r="D285" s="138" t="str">
        <x:v>2026-10-02</x:v>
      </x:c>
      <x:c r="E285" s="13" t="str">
        <x:v>Пятница</x:v>
      </x:c>
      <x:c r="F285" s="13" t="str">
        <x:v>Дом / теория</x:v>
      </x:c>
      <x:c r="G285" s="44" t="n">
        <x:v>0.035416666666666666</x:v>
      </x:c>
      <x:c r="H285" s="44" t="n">
        <x:v>0.03819444444444445</x:v>
      </x:c>
      <x:c r="I285" s="32" t="n">
        <x:f>ROUND((H285-G285)*1440,0)</x:f>
        <x:v>4</x:v>
      </x:c>
      <x:c r="J285" s="13" t="str">
        <x:v>Журнал</x:v>
      </x:c>
      <x:c r="K285" s="13" t="str">
        <x:v>Запиши одну вещь, которая сработала на этой неделе, и одну, которую повторишь в воскресенье на лёгкой трассе.</x:v>
      </x:c>
      <x:c r="L285" s="13" t="str">
        <x:v>☐ Не начато</x:v>
      </x:c>
      <x:c r="M285" s="13" t="str">
        <x:v>Обязательно</x:v>
      </x:c>
      <x:c r="N285" s="13" t="str">
        <x:v>Без нагрузки</x:v>
      </x:c>
      <x:c r="O285" s="13" t="str"/>
      <x:c r="P285" s="13" t="str">
        <x:v>milestone_01_foundation/week_04_2026-09-28/05_FRIDAY.md</x:v>
      </x:c>
      <x:c r="Q285" s="138" t="str">
        <x:v>Markdown</x:v>
      </x:c>
      <x:c r="R285" s="20" t="str"/>
    </x:row>
    <x:row r="286" ht="36" customHeight="1">
      <x:c r="A286" s="19" t="str">
        <x:v>W04-20261002-0285</x:v>
      </x:c>
      <x:c r="B286" s="13" t="n">
        <x:v>4</x:v>
      </x:c>
      <x:c r="C286" s="13" t="str">
        <x:v>Этап 1 — База, разминка и исходная точка</x:v>
      </x:c>
      <x:c r="D286" s="138" t="str">
        <x:v>2026-10-02</x:v>
      </x:c>
      <x:c r="E286" s="13" t="str">
        <x:v>Пятница</x:v>
      </x:c>
      <x:c r="F286" s="13" t="str">
        <x:v>Дом / теория</x:v>
      </x:c>
      <x:c r="G286" s="44" t="n">
        <x:v>0.03819444444444445</x:v>
      </x:c>
      <x:c r="H286" s="44" t="n">
        <x:v>0.04027777777777778</x:v>
      </x:c>
      <x:c r="I286" s="32" t="n">
        <x:f>ROUND((H286-G286)*1440,0)</x:f>
        <x:v>3</x:v>
      </x:c>
      <x:c r="J286" s="13" t="str">
        <x:v>Запрет лишней нагрузки</x:v>
      </x:c>
      <x:c r="K286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286" s="13" t="str">
        <x:v>☐ Не начато</x:v>
      </x:c>
      <x:c r="M286" s="13" t="str">
        <x:v>Обязательно</x:v>
      </x:c>
      <x:c r="N286" s="13" t="str">
        <x:v>Восстановление</x:v>
      </x:c>
      <x:c r="O286" s="13" t="str">
        <x:v>Общая пальцевая нагрузка уже получена в четверг.</x:v>
      </x:c>
      <x:c r="P286" s="13" t="str">
        <x:v>milestone_01_foundation/week_04_2026-09-28/05_FRIDAY.md</x:v>
      </x:c>
      <x:c r="Q286" s="138" t="str">
        <x:v>Markdown</x:v>
      </x:c>
      <x:c r="R286" s="20" t="str"/>
    </x:row>
    <x:row r="287" ht="36" customHeight="1">
      <x:c r="A287" s="19" t="str">
        <x:v>W04-20261003-0286</x:v>
      </x:c>
      <x:c r="B287" s="13" t="n">
        <x:v>4</x:v>
      </x:c>
      <x:c r="C287" s="13" t="str">
        <x:v>Этап 1 — База, разминка и исходная точка</x:v>
      </x:c>
      <x:c r="D287" s="138" t="str">
        <x:v>2026-10-03</x:v>
      </x:c>
      <x:c r="E287" s="13" t="str">
        <x:v>Суббота</x:v>
      </x:c>
      <x:c r="F287" s="13" t="str">
        <x:v>Отдых / подготовка</x:v>
      </x:c>
      <x:c r="G287" s="44" t="n">
        <x:v>0</x:v>
      </x:c>
      <x:c r="H287" s="44" t="n">
        <x:v>0.003472222222222222</x:v>
      </x:c>
      <x:c r="I287" s="32" t="n">
        <x:f>ROUND((H287-G287)*1440,0)</x:f>
        <x:v>5</x:v>
      </x:c>
      <x:c r="J287" s="13" t="str">
        <x:v>Самопроверка</x:v>
      </x:c>
      <x:c r="K287" s="13" t="str">
        <x:v>Проверь кожу пальцев, ногти, плечо и колено. Никаких тестовых висов.</x:v>
      </x:c>
      <x:c r="L287" s="13" t="str">
        <x:v>☐ Не начато</x:v>
      </x:c>
      <x:c r="M287" s="13" t="str">
        <x:v>Обязательно</x:v>
      </x:c>
      <x:c r="N287" s="13" t="str">
        <x:v>Восстановление</x:v>
      </x:c>
      <x:c r="O287" s="13" t="str"/>
      <x:c r="P287" s="13" t="str">
        <x:v>milestone_01_foundation/week_04_2026-09-28/06_SATURDAY.md</x:v>
      </x:c>
      <x:c r="Q287" s="138" t="str">
        <x:v>Markdown</x:v>
      </x:c>
      <x:c r="R287" s="20" t="str"/>
    </x:row>
    <x:row r="288" ht="36" customHeight="1">
      <x:c r="A288" s="19" t="str">
        <x:v>W04-20261003-0287</x:v>
      </x:c>
      <x:c r="B288" s="13" t="n">
        <x:v>4</x:v>
      </x:c>
      <x:c r="C288" s="13" t="str">
        <x:v>Этап 1 — База, разминка и исходная точка</x:v>
      </x:c>
      <x:c r="D288" s="138" t="str">
        <x:v>2026-10-03</x:v>
      </x:c>
      <x:c r="E288" s="13" t="str">
        <x:v>Суббота</x:v>
      </x:c>
      <x:c r="F288" s="13" t="str">
        <x:v>Отдых / подготовка</x:v>
      </x:c>
      <x:c r="G288" s="44" t="n">
        <x:v>0.003472222222222222</x:v>
      </x:c>
      <x:c r="H288" s="44" t="n">
        <x:v>0.010416666666666666</x:v>
      </x:c>
      <x:c r="I288" s="32" t="n">
        <x:f>ROUND((H288-G288)*1440,0)</x:f>
        <x:v>10</x:v>
      </x:c>
      <x:c r="J288" s="13" t="str">
        <x:v>Активное восстановление</x:v>
      </x:c>
      <x:c r="K288" s="13" t="str">
        <x:v>10 минут лёгкой прогулки или бытовой активности. Цель — восстановление, не тренировка.</x:v>
      </x:c>
      <x:c r="L288" s="13" t="str">
        <x:v>☐ Не начато</x:v>
      </x:c>
      <x:c r="M288" s="13" t="str">
        <x:v>Обязательно</x:v>
      </x:c>
      <x:c r="N288" s="13" t="str">
        <x:v>RPE 1–2</x:v>
      </x:c>
      <x:c r="O288" s="13" t="str"/>
      <x:c r="P288" s="13" t="str">
        <x:v>milestone_01_foundation/week_04_2026-09-28/06_SATURDAY.md</x:v>
      </x:c>
      <x:c r="Q288" s="138" t="str">
        <x:v>Markdown</x:v>
      </x:c>
      <x:c r="R288" s="20" t="str"/>
    </x:row>
    <x:row r="289" ht="36" customHeight="1">
      <x:c r="A289" s="19" t="str">
        <x:v>W04-20261003-0288</x:v>
      </x:c>
      <x:c r="B289" s="13" t="n">
        <x:v>4</x:v>
      </x:c>
      <x:c r="C289" s="13" t="str">
        <x:v>Этап 1 — База, разминка и исходная точка</x:v>
      </x:c>
      <x:c r="D289" s="138" t="str">
        <x:v>2026-10-03</x:v>
      </x:c>
      <x:c r="E289" s="13" t="str">
        <x:v>Суббота</x:v>
      </x:c>
      <x:c r="F289" s="13" t="str">
        <x:v>Отдых / подготовка</x:v>
      </x:c>
      <x:c r="G289" s="44" t="n">
        <x:v>0.010416666666666666</x:v>
      </x:c>
      <x:c r="H289" s="44" t="n">
        <x:v>0.013888888888888888</x:v>
      </x:c>
      <x:c r="I289" s="32" t="n">
        <x:f>ROUND((H289-G289)*1440,0)</x:f>
        <x:v>5</x:v>
      </x:c>
      <x:c r="J289" s="13" t="str">
        <x:v>Уход за кожей</x:v>
      </x:c>
      <x:c r="K289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289" s="13" t="str">
        <x:v>☐ Не начато</x:v>
      </x:c>
      <x:c r="M289" s="13" t="str">
        <x:v>Опционально</x:v>
      </x:c>
      <x:c r="N289" s="13" t="str">
        <x:v>Без нагрузки</x:v>
      </x:c>
      <x:c r="O289" s="13" t="str">
        <x:v>Повреждённую/болезненную кожу не шлифовать.</x:v>
      </x:c>
      <x:c r="P289" s="13" t="str">
        <x:v>milestone_01_foundation/week_04_2026-09-28/06_SATURDAY.md</x:v>
      </x:c>
      <x:c r="Q289" s="138" t="str">
        <x:v>Markdown</x:v>
      </x:c>
      <x:c r="R289" s="20" t="str"/>
    </x:row>
    <x:row r="290" ht="36" customHeight="1">
      <x:c r="A290" s="19" t="str">
        <x:v>W04-20261003-0289</x:v>
      </x:c>
      <x:c r="B290" s="13" t="n">
        <x:v>4</x:v>
      </x:c>
      <x:c r="C290" s="13" t="str">
        <x:v>Этап 1 — База, разминка и исходная точка</x:v>
      </x:c>
      <x:c r="D290" s="138" t="str">
        <x:v>2026-10-03</x:v>
      </x:c>
      <x:c r="E290" s="13" t="str">
        <x:v>Суббота</x:v>
      </x:c>
      <x:c r="F290" s="13" t="str">
        <x:v>Отдых / подготовка</x:v>
      </x:c>
      <x:c r="G290" s="44" t="n">
        <x:v>0.013888888888888888</x:v>
      </x:c>
      <x:c r="H290" s="44" t="n">
        <x:v>0.016666666666666666</x:v>
      </x:c>
      <x:c r="I290" s="32" t="n">
        <x:f>ROUND((H290-G290)*1440,0)</x:f>
        <x:v>4</x:v>
      </x:c>
      <x:c r="J290" s="13" t="str">
        <x:v>Подготовка</x:v>
      </x:c>
      <x:c r="K290" s="13" t="str">
        <x:v>Заряди телефон, освободи память для одного видео, положи щётку и магнезию.</x:v>
      </x:c>
      <x:c r="L290" s="13" t="str">
        <x:v>☐ Не начато</x:v>
      </x:c>
      <x:c r="M290" s="13" t="str">
        <x:v>Обязательно</x:v>
      </x:c>
      <x:c r="N290" s="13" t="str">
        <x:v>Без нагрузки</x:v>
      </x:c>
      <x:c r="O290" s="13" t="str"/>
      <x:c r="P290" s="13" t="str">
        <x:v>milestone_01_foundation/week_04_2026-09-28/06_SATURDAY.md</x:v>
      </x:c>
      <x:c r="Q290" s="138" t="str">
        <x:v>Markdown</x:v>
      </x:c>
      <x:c r="R290" s="20" t="str"/>
    </x:row>
    <x:row r="291" ht="36" customHeight="1">
      <x:c r="A291" s="19" t="str">
        <x:v>W04-20261003-0290</x:v>
      </x:c>
      <x:c r="B291" s="13" t="n">
        <x:v>4</x:v>
      </x:c>
      <x:c r="C291" s="13" t="str">
        <x:v>Этап 1 — База, разминка и исходная точка</x:v>
      </x:c>
      <x:c r="D291" s="138" t="str">
        <x:v>2026-10-03</x:v>
      </x:c>
      <x:c r="E291" s="13" t="str">
        <x:v>Суббота</x:v>
      </x:c>
      <x:c r="F291" s="13" t="str">
        <x:v>Отдых / подготовка</x:v>
      </x:c>
      <x:c r="G291" s="44" t="n">
        <x:v>0.016666666666666666</x:v>
      </x:c>
      <x:c r="H291" s="44" t="n">
        <x:v>0.01875</x:v>
      </x:c>
      <x:c r="I291" s="32" t="n">
        <x:f>ROUND((H291-G291)*1440,0)</x:f>
        <x:v>3</x:v>
      </x:c>
      <x:c r="J291" s="13" t="str">
        <x:v>План воскресенья</x:v>
      </x:c>
      <x:c r="K291" s="13" t="str">
        <x:v>Выбери заранее одну лёгкую трассу под тему «Разгрузка и закрепление». Воскресенье остаётся развлечением, не третьим тяжёлым днём.</x:v>
      </x:c>
      <x:c r="L291" s="13" t="str">
        <x:v>☐ Не начато</x:v>
      </x:c>
      <x:c r="M291" s="13" t="str">
        <x:v>Обязательно</x:v>
      </x:c>
      <x:c r="N291" s="13" t="str">
        <x:v>Без нагрузки</x:v>
      </x:c>
      <x:c r="O291" s="13" t="str"/>
      <x:c r="P291" s="13" t="str">
        <x:v>milestone_01_foundation/week_04_2026-09-28/06_SATURDAY.md</x:v>
      </x:c>
      <x:c r="Q291" s="138" t="str">
        <x:v>Markdown</x:v>
      </x:c>
      <x:c r="R291" s="20" t="str"/>
    </x:row>
    <x:row r="292" ht="36" customHeight="1">
      <x:c r="A292" s="19" t="str">
        <x:v>W04-20261003-0291</x:v>
      </x:c>
      <x:c r="B292" s="13" t="n">
        <x:v>4</x:v>
      </x:c>
      <x:c r="C292" s="13" t="str">
        <x:v>Этап 1 — База, разминка и исходная точка</x:v>
      </x:c>
      <x:c r="D292" s="138" t="str">
        <x:v>2026-10-03</x:v>
      </x:c>
      <x:c r="E292" s="13" t="str">
        <x:v>Суббота</x:v>
      </x:c>
      <x:c r="F292" s="13" t="str">
        <x:v>Отдых / подготовка</x:v>
      </x:c>
      <x:c r="G292" s="44" t="n">
        <x:v>0.01875</x:v>
      </x:c>
      <x:c r="H292" s="44" t="n">
        <x:v>0.020833333333333332</x:v>
      </x:c>
      <x:c r="I292" s="32" t="n">
        <x:f>ROUND((H292-G292)*1440,0)</x:f>
        <x:v>3</x:v>
      </x:c>
      <x:c r="J292" s="13" t="str">
        <x:v>Сон / восстановление</x:v>
      </x:c>
      <x:c r="K292" s="13" t="str">
        <x:v>Запланируй обычный сон и нормальный приём пищи; не пытайся «разбудить хват» вечером.</x:v>
      </x:c>
      <x:c r="L292" s="13" t="str">
        <x:v>☐ Не начато</x:v>
      </x:c>
      <x:c r="M292" s="13" t="str">
        <x:v>Обязательно</x:v>
      </x:c>
      <x:c r="N292" s="13" t="str">
        <x:v>Восстановление</x:v>
      </x:c>
      <x:c r="O292" s="13" t="str"/>
      <x:c r="P292" s="13" t="str">
        <x:v>milestone_01_foundation/week_04_2026-09-28/06_SATURDAY.md</x:v>
      </x:c>
      <x:c r="Q292" s="138" t="str">
        <x:v>Markdown</x:v>
      </x:c>
      <x:c r="R292" s="20" t="str"/>
    </x:row>
    <x:row r="293" ht="36" customHeight="1">
      <x:c r="A293" s="19" t="str">
        <x:v>W04-20261004-0292</x:v>
      </x:c>
      <x:c r="B293" s="13" t="n">
        <x:v>4</x:v>
      </x:c>
      <x:c r="C293" s="13" t="str">
        <x:v>Этап 1 — База, разминка и исходная точка</x:v>
      </x:c>
      <x:c r="D293" s="138" t="str">
        <x:v>2026-10-04</x:v>
      </x:c>
      <x:c r="E293" s="13" t="str">
        <x:v>Воскресенье</x:v>
      </x:c>
      <x:c r="F293" s="13" t="str">
        <x:v>Тренировка C — fun / опционально</x:v>
      </x:c>
      <x:c r="G293" s="44" t="n">
        <x:v>0</x:v>
      </x:c>
      <x:c r="H293" s="44" t="n">
        <x:v>0.0020833333333333333</x:v>
      </x:c>
      <x:c r="I293" s="32" t="n">
        <x:f>ROUND((H293-G293)*1440,0)</x:f>
        <x:v>3</x:v>
      </x:c>
      <x:c r="J293" s="13" t="str">
        <x:v>Выбор сценария</x:v>
      </x:c>
      <x:c r="K293" s="13" t="str">
        <x:v>Выбери один сценарий: (A) fun-сессия 75 минут в зале или (B) восстановительный день дома 25 минут. Не выполнять оба.</x:v>
      </x:c>
      <x:c r="L293" s="13" t="str">
        <x:v>☐ Не начато</x:v>
      </x:c>
      <x:c r="M293" s="13" t="str">
        <x:v>Выбрать один сценарий</x:v>
      </x:c>
      <x:c r="N293" s="13" t="str">
        <x:v>По состоянию</x:v>
      </x:c>
      <x:c r="O293" s="13" t="str"/>
      <x:c r="P293" s="13" t="str">
        <x:v>milestone_01_foundation/week_04_2026-09-28/07_SUNDAY.md</x:v>
      </x:c>
      <x:c r="Q293" s="138" t="str">
        <x:v>Markdown</x:v>
      </x:c>
      <x:c r="R293" s="20" t="str"/>
    </x:row>
    <x:row r="294" ht="36" customHeight="1">
      <x:c r="A294" s="19" t="str">
        <x:v>W04-20261004-0293</x:v>
      </x:c>
      <x:c r="B294" s="13" t="n">
        <x:v>4</x:v>
      </x:c>
      <x:c r="C294" s="13" t="str">
        <x:v>Этап 1 — База, разминка и исходная точка</x:v>
      </x:c>
      <x:c r="D294" s="138" t="str">
        <x:v>2026-10-04</x:v>
      </x:c>
      <x:c r="E294" s="13" t="str">
        <x:v>Воскресенье</x:v>
      </x:c>
      <x:c r="F294" s="13" t="str">
        <x:v>Тренировка C — fun / опционально</x:v>
      </x:c>
      <x:c r="G294" s="44" t="n">
        <x:v>0.0020833333333333333</x:v>
      </x:c>
      <x:c r="H294" s="44" t="n">
        <x:v>0.005555555555555556</x:v>
      </x:c>
      <x:c r="I294" s="32" t="n">
        <x:f>ROUND((H294-G294)*1440,0)</x:f>
        <x:v>5</x:v>
      </x:c>
      <x:c r="J294" s="13" t="str">
        <x:v>Разминка A</x:v>
      </x:c>
      <x:c r="K294" s="13" t="str">
        <x:v>Если идёшь в зал: 5 минут поднятия температуры.</x:v>
      </x:c>
      <x:c r="L294" s="13" t="str">
        <x:v>☐ Не начато</x:v>
      </x:c>
      <x:c r="M294" s="13" t="str">
        <x:v>Опционально</x:v>
      </x:c>
      <x:c r="N294" s="13" t="str">
        <x:v>RPE 2–3</x:v>
      </x:c>
      <x:c r="O294" s="13" t="str"/>
      <x:c r="P294" s="13" t="str">
        <x:v>milestone_01_foundation/week_04_2026-09-28/07_SUNDAY.md</x:v>
      </x:c>
      <x:c r="Q294" s="138" t="str">
        <x:v>Markdown</x:v>
      </x:c>
      <x:c r="R294" s="20" t="str"/>
    </x:row>
    <x:row r="295" ht="36" customHeight="1">
      <x:c r="A295" s="19" t="str">
        <x:v>W04-20261004-0294</x:v>
      </x:c>
      <x:c r="B295" s="13" t="n">
        <x:v>4</x:v>
      </x:c>
      <x:c r="C295" s="13" t="str">
        <x:v>Этап 1 — База, разминка и исходная точка</x:v>
      </x:c>
      <x:c r="D295" s="138" t="str">
        <x:v>2026-10-04</x:v>
      </x:c>
      <x:c r="E295" s="13" t="str">
        <x:v>Воскресенье</x:v>
      </x:c>
      <x:c r="F295" s="13" t="str">
        <x:v>Тренировка C — fun / опционально</x:v>
      </x:c>
      <x:c r="G295" s="44" t="n">
        <x:v>0.005555555555555556</x:v>
      </x:c>
      <x:c r="H295" s="44" t="n">
        <x:v>0.009027777777777777</x:v>
      </x:c>
      <x:c r="I295" s="32" t="n">
        <x:f>ROUND((H295-G295)*1440,0)</x:f>
        <x:v>5</x:v>
      </x:c>
      <x:c r="J295" s="13" t="str">
        <x:v>Разминка A</x:v>
      </x:c>
      <x:c r="K295" s="13" t="str">
        <x:v>Динамическая суставная разминка в безболезненном диапазоне; без отжиманий/press.</x:v>
      </x:c>
      <x:c r="L295" s="13" t="str">
        <x:v>☐ Не начато</x:v>
      </x:c>
      <x:c r="M295" s="13" t="str">
        <x:v>Опционально</x:v>
      </x:c>
      <x:c r="N295" s="13" t="str">
        <x:v>Очень легко</x:v>
      </x:c>
      <x:c r="O295" s="13" t="str">
        <x:v>Объём снижён примерно на 35%. Никаких «компенсаций» и максимальных висов.</x:v>
      </x:c>
      <x:c r="P295" s="13" t="str">
        <x:v>milestone_01_foundation/week_04_2026-09-28/07_SUNDAY.md</x:v>
      </x:c>
      <x:c r="Q295" s="138" t="str">
        <x:v>Markdown</x:v>
      </x:c>
      <x:c r="R295" s="20" t="str"/>
    </x:row>
    <x:row r="296" ht="36" customHeight="1">
      <x:c r="A296" s="19" t="str">
        <x:v>W04-20261004-0295</x:v>
      </x:c>
      <x:c r="B296" s="13" t="n">
        <x:v>4</x:v>
      </x:c>
      <x:c r="C296" s="13" t="str">
        <x:v>Этап 1 — База, разминка и исходная точка</x:v>
      </x:c>
      <x:c r="D296" s="138" t="str">
        <x:v>2026-10-04</x:v>
      </x:c>
      <x:c r="E296" s="13" t="str">
        <x:v>Воскресенье</x:v>
      </x:c>
      <x:c r="F296" s="13" t="str">
        <x:v>Тренировка C — fun / опционально</x:v>
      </x:c>
      <x:c r="G296" s="44" t="n">
        <x:v>0.009027777777777777</x:v>
      </x:c>
      <x:c r="H296" s="44" t="n">
        <x:v>0.013888888888888888</x:v>
      </x:c>
      <x:c r="I296" s="32" t="n">
        <x:f>ROUND((H296-G296)*1440,0)</x:f>
        <x:v>7</x:v>
      </x:c>
      <x:c r="J296" s="13" t="str">
        <x:v>Лёгкое лазание A</x:v>
      </x:c>
      <x:c r="K296" s="13" t="str">
        <x:v>3 очень лёгкие трассы 1–3 с постепенным увеличением сложности.</x:v>
      </x:c>
      <x:c r="L296" s="13" t="str">
        <x:v>☐ Не начато</x:v>
      </x:c>
      <x:c r="M296" s="13" t="str">
        <x:v>Опционально</x:v>
      </x:c>
      <x:c r="N296" s="13" t="str">
        <x:v>RPE 2–4</x:v>
      </x:c>
      <x:c r="O296" s="13" t="str"/>
      <x:c r="P296" s="13" t="str">
        <x:v>milestone_01_foundation/week_04_2026-09-28/07_SUNDAY.md</x:v>
      </x:c>
      <x:c r="Q296" s="138" t="str">
        <x:v>Markdown</x:v>
      </x:c>
      <x:c r="R296" s="20" t="str"/>
    </x:row>
    <x:row r="297" ht="36" customHeight="1">
      <x:c r="A297" s="19" t="str">
        <x:v>W04-20261004-0296</x:v>
      </x:c>
      <x:c r="B297" s="13" t="n">
        <x:v>4</x:v>
      </x:c>
      <x:c r="C297" s="13" t="str">
        <x:v>Этап 1 — База, разминка и исходная точка</x:v>
      </x:c>
      <x:c r="D297" s="138" t="str">
        <x:v>2026-10-04</x:v>
      </x:c>
      <x:c r="E297" s="13" t="str">
        <x:v>Воскресенье</x:v>
      </x:c>
      <x:c r="F297" s="13" t="str">
        <x:v>Тренировка C — fun / опционально</x:v>
      </x:c>
      <x:c r="G297" s="44" t="n">
        <x:v>0.013888888888888888</x:v>
      </x:c>
      <x:c r="H297" s="44" t="n">
        <x:v>0.020833333333333332</x:v>
      </x:c>
      <x:c r="I297" s="32" t="n">
        <x:f>ROUND((H297-G297)*1440,0)</x:f>
        <x:v>10</x:v>
      </x:c>
      <x:c r="J297" s="13" t="str">
        <x:v>Технический праймер A</x:v>
      </x:c>
      <x:c r="K297" s="13" t="str">
        <x:v>На одной лёгкой трассе дважды повтори «Разгрузка и закрепление». Критерий: Меньше перестановок стоп и ранних сгибаний рук при меньшем объёме.</x:v>
      </x:c>
      <x:c r="L297" s="13" t="str">
        <x:v>☐ Не начато</x:v>
      </x:c>
      <x:c r="M297" s="13" t="str">
        <x:v>Опционально</x:v>
      </x:c>
      <x:c r="N297" s="13" t="str">
        <x:v>RPE 3–4</x:v>
      </x:c>
      <x:c r="O297" s="13" t="str">
        <x:v>Нагрузка недели уменьшена; ничего не компенсировать дома.</x:v>
      </x:c>
      <x:c r="P297" s="13" t="str">
        <x:v>milestone_01_foundation/week_04_2026-09-28/07_SUNDAY.md</x:v>
      </x:c>
      <x:c r="Q297" s="138" t="str">
        <x:v>Markdown</x:v>
      </x:c>
      <x:c r="R297" s="20" t="str"/>
    </x:row>
    <x:row r="298" ht="36" customHeight="1">
      <x:c r="A298" s="19" t="str">
        <x:v>W04-20261004-0297</x:v>
      </x:c>
      <x:c r="B298" s="13" t="n">
        <x:v>4</x:v>
      </x:c>
      <x:c r="C298" s="13" t="str">
        <x:v>Этап 1 — База, разминка и исходная точка</x:v>
      </x:c>
      <x:c r="D298" s="138" t="str">
        <x:v>2026-10-04</x:v>
      </x:c>
      <x:c r="E298" s="13" t="str">
        <x:v>Воскресенье</x:v>
      </x:c>
      <x:c r="F298" s="13" t="str">
        <x:v>Тренировка C — fun / опционально</x:v>
      </x:c>
      <x:c r="G298" s="44" t="n">
        <x:v>0.020833333333333332</x:v>
      </x:c>
      <x:c r="H298" s="44" t="n">
        <x:v>0.03819444444444445</x:v>
      </x:c>
      <x:c r="I298" s="32" t="n">
        <x:f>ROUND((H298-G298)*1440,0)</x:f>
        <x:v>25</x:v>
      </x:c>
      <x:c r="J298" s="13" t="str">
        <x:v>Свободное лазание A</x:v>
      </x:c>
      <x:c r="K298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298" s="13" t="str">
        <x:v>☐ Не начато</x:v>
      </x:c>
      <x:c r="M298" s="13" t="str">
        <x:v>Опционально</x:v>
      </x:c>
      <x:c r="N298" s="13" t="str">
        <x:v>RPE 4–7</x:v>
      </x:c>
      <x:c r="O298" s="13" t="str">
        <x:v>Не превращать блок в круг на выносливость.</x:v>
      </x:c>
      <x:c r="P298" s="13" t="str">
        <x:v>milestone_01_foundation/week_04_2026-09-28/07_SUNDAY.md</x:v>
      </x:c>
      <x:c r="Q298" s="138" t="str">
        <x:v>Markdown</x:v>
      </x:c>
      <x:c r="R298" s="20" t="str"/>
    </x:row>
    <x:row r="299" ht="36" customHeight="1">
      <x:c r="A299" s="19" t="str">
        <x:v>W04-20261004-0298</x:v>
      </x:c>
      <x:c r="B299" s="13" t="n">
        <x:v>4</x:v>
      </x:c>
      <x:c r="C299" s="13" t="str">
        <x:v>Этап 1 — База, разминка и исходная точка</x:v>
      </x:c>
      <x:c r="D299" s="138" t="str">
        <x:v>2026-10-04</x:v>
      </x:c>
      <x:c r="E299" s="13" t="str">
        <x:v>Воскресенье</x:v>
      </x:c>
      <x:c r="F299" s="13" t="str">
        <x:v>Тренировка C — fun / опционально</x:v>
      </x:c>
      <x:c r="G299" s="44" t="n">
        <x:v>0.03819444444444445</x:v>
      </x:c>
      <x:c r="H299" s="44" t="n">
        <x:v>0.04583333333333333</x:v>
      </x:c>
      <x:c r="I299" s="32" t="n">
        <x:f>ROUND((H299-G299)*1440,0)</x:f>
        <x:v>11</x:v>
      </x:c>
      <x:c r="J299" s="13" t="str">
        <x:v>Свежая сложная попытка A</x:v>
      </x:c>
      <x:c r="K299" s="13" t="str">
        <x:v>Только если всё зелёное: попробуй одну рабочую пятёрку или дружелюбную шестёрку по критериям недели — Только одна пятёрка, максимум 3 тяжёлые попытки. Остальное — лёгкая техника. Максимум 2 попытки, отдых 4 минуты.</x:v>
      </x:c>
      <x:c r="L299" s="13" t="str">
        <x:v>☐ Не начато</x:v>
      </x:c>
      <x:c r="M299" s="13" t="str">
        <x:v>Опционально</x:v>
      </x:c>
      <x:c r="N299" s="13" t="str">
        <x:v>RPE 7–8, без отказа</x:v>
      </x:c>
      <x:c r="O299" s="13" t="str">
        <x:v>Объём снижён примерно на 35%. Никаких «компенсаций» и максимальных висов.</x:v>
      </x:c>
      <x:c r="P299" s="13" t="str">
        <x:v>milestone_01_foundation/week_04_2026-09-28/07_SUNDAY.md</x:v>
      </x:c>
      <x:c r="Q299" s="138" t="str">
        <x:v>Markdown</x:v>
      </x:c>
      <x:c r="R299" s="20" t="str"/>
    </x:row>
    <x:row r="300" ht="36" customHeight="1">
      <x:c r="A300" s="19" t="str">
        <x:v>W04-20261004-0299</x:v>
      </x:c>
      <x:c r="B300" s="13" t="n">
        <x:v>4</x:v>
      </x:c>
      <x:c r="C300" s="13" t="str">
        <x:v>Этап 1 — База, разминка и исходная точка</x:v>
      </x:c>
      <x:c r="D300" s="138" t="str">
        <x:v>2026-10-04</x:v>
      </x:c>
      <x:c r="E300" s="13" t="str">
        <x:v>Воскресенье</x:v>
      </x:c>
      <x:c r="F300" s="13" t="str">
        <x:v>Тренировка C — fun / опционально</x:v>
      </x:c>
      <x:c r="G300" s="44" t="n">
        <x:v>0.04583333333333333</x:v>
      </x:c>
      <x:c r="H300" s="44" t="n">
        <x:v>0.05</x:v>
      </x:c>
      <x:c r="I300" s="32" t="n">
        <x:f>ROUND((H300-G300)*1440,0)</x:f>
        <x:v>6</x:v>
      </x:c>
      <x:c r="J300" s="13" t="str">
        <x:v>Лёгкий финал A</x:v>
      </x:c>
      <x:c r="K300" s="13" t="str">
        <x:v>Одна любимая лёгкая трасса или спокойный спуск. Фингерборда и capacity-круга нет.</x:v>
      </x:c>
      <x:c r="L300" s="13" t="str">
        <x:v>☐ Не начато</x:v>
      </x:c>
      <x:c r="M300" s="13" t="str">
        <x:v>Опционально</x:v>
      </x:c>
      <x:c r="N300" s="13" t="str">
        <x:v>RPE 2–3</x:v>
      </x:c>
      <x:c r="O300" s="13" t="str"/>
      <x:c r="P300" s="13" t="str">
        <x:v>milestone_01_foundation/week_04_2026-09-28/07_SUNDAY.md</x:v>
      </x:c>
      <x:c r="Q300" s="138" t="str">
        <x:v>Markdown</x:v>
      </x:c>
      <x:c r="R300" s="20" t="str"/>
    </x:row>
    <x:row r="301" ht="36" customHeight="1">
      <x:c r="A301" s="19" t="str">
        <x:v>W04-20261004-0300</x:v>
      </x:c>
      <x:c r="B301" s="13" t="n">
        <x:v>4</x:v>
      </x:c>
      <x:c r="C301" s="13" t="str">
        <x:v>Этап 1 — База, разминка и исходная точка</x:v>
      </x:c>
      <x:c r="D301" s="138" t="str">
        <x:v>2026-10-04</x:v>
      </x:c>
      <x:c r="E301" s="13" t="str">
        <x:v>Воскресенье</x:v>
      </x:c>
      <x:c r="F301" s="13" t="str">
        <x:v>Тренировка C — fun / опционально</x:v>
      </x:c>
      <x:c r="G301" s="44" t="n">
        <x:v>0.05</x:v>
      </x:c>
      <x:c r="H301" s="44" t="n">
        <x:v>0.052083333333333336</x:v>
      </x:c>
      <x:c r="I301" s="32" t="n">
        <x:f>ROUND((H301-G301)*1440,0)</x:f>
        <x:v>3</x:v>
      </x:c>
      <x:c r="J301" s="13" t="str">
        <x:v>Журнал A</x:v>
      </x:c>
      <x:c r="K301" s="13" t="str">
        <x:v>Запиши только 3 вещи: что было весело, один удачный технический момент, состояние пальцев после сессии.</x:v>
      </x:c>
      <x:c r="L301" s="13" t="str">
        <x:v>☐ Не начато</x:v>
      </x:c>
      <x:c r="M301" s="13" t="str">
        <x:v>Опционально</x:v>
      </x:c>
      <x:c r="N301" s="13" t="str">
        <x:v>Без нагрузки</x:v>
      </x:c>
      <x:c r="O301" s="13" t="str"/>
      <x:c r="P301" s="13" t="str">
        <x:v>milestone_01_foundation/week_04_2026-09-28/07_SUNDAY.md</x:v>
      </x:c>
      <x:c r="Q301" s="138" t="str">
        <x:v>Markdown</x:v>
      </x:c>
      <x:c r="R301" s="20" t="str"/>
    </x:row>
    <x:row r="302" ht="36" customHeight="1">
      <x:c r="A302" s="19" t="str">
        <x:v>W04-20261004-0301</x:v>
      </x:c>
      <x:c r="B302" s="13" t="n">
        <x:v>4</x:v>
      </x:c>
      <x:c r="C302" s="13" t="str">
        <x:v>Этап 1 — База, разминка и исходная точка</x:v>
      </x:c>
      <x:c r="D302" s="138" t="str">
        <x:v>2026-10-04</x:v>
      </x:c>
      <x:c r="E302" s="13" t="str">
        <x:v>Воскресенье</x:v>
      </x:c>
      <x:c r="F302" s="13" t="str">
        <x:v>Восстановление B — дома</x:v>
      </x:c>
      <x:c r="G302" s="44" t="n">
        <x:v>0</x:v>
      </x:c>
      <x:c r="H302" s="44" t="n">
        <x:v>0.010416666666666666</x:v>
      </x:c>
      <x:c r="I302" s="32" t="n">
        <x:f>ROUND((H302-G302)*1440,0)</x:f>
        <x:v>15</x:v>
      </x:c>
      <x:c r="J302" s="13" t="str">
        <x:v>Прогулка B</x:v>
      </x:c>
      <x:c r="K302" s="13" t="str">
        <x:v>Если не идёшь в зал: 15 минут спокойной прогулки.</x:v>
      </x:c>
      <x:c r="L302" s="13" t="str">
        <x:v>☐ Не начато</x:v>
      </x:c>
      <x:c r="M302" s="13" t="str">
        <x:v>Опционально</x:v>
      </x:c>
      <x:c r="N302" s="13" t="str">
        <x:v>RPE 1–2</x:v>
      </x:c>
      <x:c r="O302" s="13" t="str"/>
      <x:c r="P302" s="13" t="str">
        <x:v>milestone_01_foundation/week_04_2026-09-28/07_SUNDAY.md</x:v>
      </x:c>
      <x:c r="Q302" s="138" t="str">
        <x:v>Markdown</x:v>
      </x:c>
      <x:c r="R302" s="20" t="str"/>
    </x:row>
    <x:row r="303" ht="36" customHeight="1">
      <x:c r="A303" s="19" t="str">
        <x:v>W04-20261004-0302</x:v>
      </x:c>
      <x:c r="B303" s="13" t="n">
        <x:v>4</x:v>
      </x:c>
      <x:c r="C303" s="13" t="str">
        <x:v>Этап 1 — База, разминка и исходная точка</x:v>
      </x:c>
      <x:c r="D303" s="138" t="str">
        <x:v>2026-10-04</x:v>
      </x:c>
      <x:c r="E303" s="13" t="str">
        <x:v>Воскресенье</x:v>
      </x:c>
      <x:c r="F303" s="13" t="str">
        <x:v>Восстановление B — дома</x:v>
      </x:c>
      <x:c r="G303" s="44" t="n">
        <x:v>0.010416666666666666</x:v>
      </x:c>
      <x:c r="H303" s="44" t="n">
        <x:v>0.015277777777777777</x:v>
      </x:c>
      <x:c r="I303" s="32" t="n">
        <x:f>ROUND((H303-G303)*1440,0)</x:f>
        <x:v>7</x:v>
      </x:c>
      <x:c r="J303" s="13" t="str">
        <x:v>Визуализация B</x:v>
      </x:c>
      <x:c r="K303" s="13" t="str">
        <x:v>7 минут: мысленно повтори тему недели «Разгрузка и закрепление» и одну трассу четверга.</x:v>
      </x:c>
      <x:c r="L303" s="13" t="str">
        <x:v>☐ Не начато</x:v>
      </x:c>
      <x:c r="M303" s="13" t="str">
        <x:v>Опционально</x:v>
      </x:c>
      <x:c r="N303" s="13" t="str">
        <x:v>Без нагрузки</x:v>
      </x:c>
      <x:c r="O303" s="13" t="str"/>
      <x:c r="P303" s="13" t="str">
        <x:v>milestone_01_foundation/week_04_2026-09-28/07_SUNDAY.md</x:v>
      </x:c>
      <x:c r="Q303" s="138" t="str">
        <x:v>Markdown</x:v>
      </x:c>
      <x:c r="R303" s="20" t="str"/>
    </x:row>
    <x:row r="304" ht="36" customHeight="1">
      <x:c r="A304" s="19" t="str">
        <x:v>W04-20261004-0303</x:v>
      </x:c>
      <x:c r="B304" s="13" t="n">
        <x:v>4</x:v>
      </x:c>
      <x:c r="C304" s="13" t="str">
        <x:v>Этап 1 — База, разминка и исходная точка</x:v>
      </x:c>
      <x:c r="D304" s="138" t="str">
        <x:v>2026-10-04</x:v>
      </x:c>
      <x:c r="E304" s="13" t="str">
        <x:v>Воскресенье</x:v>
      </x:c>
      <x:c r="F304" s="13" t="str">
        <x:v>Восстановление B — дома</x:v>
      </x:c>
      <x:c r="G304" s="44" t="n">
        <x:v>0.015277777777777777</x:v>
      </x:c>
      <x:c r="H304" s="44" t="n">
        <x:v>0.017361111111111112</x:v>
      </x:c>
      <x:c r="I304" s="32" t="n">
        <x:f>ROUND((H304-G304)*1440,0)</x:f>
        <x:v>3</x:v>
      </x:c>
      <x:c r="J304" s="13" t="str">
        <x:v>Итог недели B</x:v>
      </x:c>
      <x:c r="K304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304" s="13" t="str">
        <x:v>☐ Не начато</x:v>
      </x:c>
      <x:c r="M304" s="13" t="str">
        <x:v>Опционально</x:v>
      </x:c>
      <x:c r="N304" s="13" t="str">
        <x:v>Без нагрузки</x:v>
      </x:c>
      <x:c r="O304" s="13" t="str"/>
      <x:c r="P304" s="13" t="str">
        <x:v>milestone_01_foundation/week_04_2026-09-28/07_SUNDAY.md</x:v>
      </x:c>
      <x:c r="Q304" s="138" t="str">
        <x:v>Markdown</x:v>
      </x:c>
      <x:c r="R304" s="20" t="str"/>
    </x:row>
    <x:row r="305" ht="36" customHeight="1">
      <x:c r="A305" s="19" t="str">
        <x:v>W05-20261005-0304</x:v>
      </x:c>
      <x:c r="B305" s="13" t="n">
        <x:v>5</x:v>
      </x:c>
      <x:c r="C305" s="13" t="str">
        <x:v>Этап 2 — Ноги и положение корпуса</x:v>
      </x:c>
      <x:c r="D305" s="138" t="str">
        <x:v>2026-10-05</x:v>
      </x:c>
      <x:c r="E305" s="13" t="str">
        <x:v>Понедельник</x:v>
      </x:c>
      <x:c r="F305" s="13" t="str">
        <x:v>Дом / теория</x:v>
      </x:c>
      <x:c r="G305" s="44" t="n">
        <x:v>0</x:v>
      </x:c>
      <x:c r="H305" s="44" t="n">
        <x:v>0.0020833333333333333</x:v>
      </x:c>
      <x:c r="I305" s="32" t="n">
        <x:f>ROUND((H305-G305)*1440,0)</x:f>
        <x:v>3</x:v>
      </x:c>
      <x:c r="J305" s="13" t="str">
        <x:v>Самопроверка</x:v>
      </x:c>
      <x:c r="K305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305" s="13" t="str">
        <x:v>☐ Не начато</x:v>
      </x:c>
      <x:c r="M305" s="13" t="str">
        <x:v>Обязательно</x:v>
      </x:c>
      <x:c r="N305" s="13" t="str">
        <x:v>Очень легко</x:v>
      </x:c>
      <x:c r="O305" s="13" t="str">
        <x:v>Не диагностируй травму самостоятельно; используй правила из документа безопасности.</x:v>
      </x:c>
      <x:c r="P305" s="13" t="str">
        <x:v>milestone_02_footwork_body_position/week_05_2026-10-05/01_MONDAY.md</x:v>
      </x:c>
      <x:c r="Q305" s="138" t="str">
        <x:v>Markdown</x:v>
      </x:c>
      <x:c r="R305" s="20" t="str"/>
    </x:row>
    <x:row r="306" ht="36" customHeight="1">
      <x:c r="A306" s="19" t="str">
        <x:v>W05-20261005-0305</x:v>
      </x:c>
      <x:c r="B306" s="13" t="n">
        <x:v>5</x:v>
      </x:c>
      <x:c r="C306" s="13" t="str">
        <x:v>Этап 2 — Ноги и положение корпуса</x:v>
      </x:c>
      <x:c r="D306" s="138" t="str">
        <x:v>2026-10-05</x:v>
      </x:c>
      <x:c r="E306" s="13" t="str">
        <x:v>Понедельник</x:v>
      </x:c>
      <x:c r="F306" s="13" t="str">
        <x:v>Дом / теория</x:v>
      </x:c>
      <x:c r="G306" s="44" t="n">
        <x:v>0.0020833333333333333</x:v>
      </x:c>
      <x:c r="H306" s="44" t="n">
        <x:v>0.005555555555555556</x:v>
      </x:c>
      <x:c r="I306" s="32" t="n">
        <x:f>ROUND((H306-G306)*1440,0)</x:f>
        <x:v>5</x:v>
      </x:c>
      <x:c r="J306" s="13" t="str">
        <x:v>Планирование</x:v>
      </x:c>
      <x:c r="K306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«Разверни бедро к стене и загрузи внешнее ребро стопы, чтобы дотянуться без лишней тяги.»</x:v>
      </x:c>
      <x:c r="L306" s="13" t="str">
        <x:v>☐ Не начато</x:v>
      </x:c>
      <x:c r="M306" s="13" t="str">
        <x:v>Обязательно</x:v>
      </x:c>
      <x:c r="N306" s="13" t="str">
        <x:v>Без нагрузки</x:v>
      </x:c>
      <x:c r="O306" s="13" t="str"/>
      <x:c r="P306" s="13" t="str">
        <x:v>milestone_02_footwork_body_position/week_05_2026-10-05/01_MONDAY.md</x:v>
      </x:c>
      <x:c r="Q306" s="138" t="str">
        <x:v>Markdown</x:v>
      </x:c>
      <x:c r="R306" s="20" t="str"/>
    </x:row>
    <x:row r="307" ht="36" customHeight="1">
      <x:c r="A307" s="19" t="str">
        <x:v>W05-20261005-0306</x:v>
      </x:c>
      <x:c r="B307" s="13" t="n">
        <x:v>5</x:v>
      </x:c>
      <x:c r="C307" s="13" t="str">
        <x:v>Этап 2 — Ноги и положение корпуса</x:v>
      </x:c>
      <x:c r="D307" s="138" t="str">
        <x:v>2026-10-05</x:v>
      </x:c>
      <x:c r="E307" s="13" t="str">
        <x:v>Понедельник</x:v>
      </x:c>
      <x:c r="F307" s="13" t="str">
        <x:v>Дом / теория</x:v>
      </x:c>
      <x:c r="G307" s="44" t="n">
        <x:v>0.005555555555555556</x:v>
      </x:c>
      <x:c r="H307" s="44" t="n">
        <x:v>0.011111111111111112</x:v>
      </x:c>
      <x:c r="I307" s="32" t="n">
        <x:f>ROUND((H307-G307)*1440,0)</x:f>
        <x:v>8</x:v>
      </x:c>
      <x:c r="J307" s="13" t="str">
        <x:v>Теория</x:v>
      </x:c>
      <x:c r="K307" s="13" t="str">
        <x:v>Посмотри/прочитай [R06: BMC — Twisting: one- and two-footed](https://thebmc.co.uk/en/twisting-one-and-two-footed-video). Задача: Разворот бедра, внешнее ребро стопы, экономия тяги руками.</x:v>
      </x:c>
      <x:c r="L307" s="13" t="str">
        <x:v>☐ Не начато</x:v>
      </x:c>
      <x:c r="M307" s="13" t="str">
        <x:v>Обязательно</x:v>
      </x:c>
      <x:c r="N307" s="13" t="str">
        <x:v>Без нагрузки</x:v>
      </x:c>
      <x:c r="O307" s="13" t="str"/>
      <x:c r="P307" s="13" t="str">
        <x:v>milestone_02_footwork_body_position/week_05_2026-10-05/01_MONDAY.md</x:v>
      </x:c>
      <x:c r="Q307" s="138" t="str">
        <x:v>Markdown</x:v>
      </x:c>
      <x:c r="R307" s="20" t="str"/>
    </x:row>
    <x:row r="308" ht="36" customHeight="1">
      <x:c r="A308" s="19" t="str">
        <x:v>W05-20261005-0307</x:v>
      </x:c>
      <x:c r="B308" s="13" t="n">
        <x:v>5</x:v>
      </x:c>
      <x:c r="C308" s="13" t="str">
        <x:v>Этап 2 — Ноги и положение корпуса</x:v>
      </x:c>
      <x:c r="D308" s="138" t="str">
        <x:v>2026-10-05</x:v>
      </x:c>
      <x:c r="E308" s="13" t="str">
        <x:v>Понедельник</x:v>
      </x:c>
      <x:c r="F308" s="13" t="str">
        <x:v>Дом / теория</x:v>
      </x:c>
      <x:c r="G308" s="44" t="n">
        <x:v>0.011111111111111112</x:v>
      </x:c>
      <x:c r="H308" s="44" t="n">
        <x:v>0.014583333333333334</x:v>
      </x:c>
      <x:c r="I308" s="32" t="n">
        <x:f>ROUND((H308-G308)*1440,0)</x:f>
        <x:v>5</x:v>
      </x:c>
      <x:c r="J308" s="13" t="str">
        <x:v>Конспект</x:v>
      </x:c>
      <x:c r="K308" s="13" t="str">
        <x:v>Запиши ровно 3 пункта: (1) что делать ногами/тазом; (2) что не делать руками; (3) какой признак успеха проверишь на стене для темы «Разворот бедра и backstep».</x:v>
      </x:c>
      <x:c r="L308" s="13" t="str">
        <x:v>☐ Не начато</x:v>
      </x:c>
      <x:c r="M308" s="13" t="str">
        <x:v>Обязательно</x:v>
      </x:c>
      <x:c r="N308" s="13" t="str">
        <x:v>Без нагрузки</x:v>
      </x:c>
      <x:c r="O308" s="13" t="str"/>
      <x:c r="P308" s="13" t="str">
        <x:v>milestone_02_footwork_body_position/week_05_2026-10-05/01_MONDAY.md</x:v>
      </x:c>
      <x:c r="Q308" s="138" t="str">
        <x:v>Markdown</x:v>
      </x:c>
      <x:c r="R308" s="20" t="str"/>
    </x:row>
    <x:row r="309" ht="36" customHeight="1">
      <x:c r="A309" s="19" t="str">
        <x:v>W05-20261005-0308</x:v>
      </x:c>
      <x:c r="B309" s="13" t="n">
        <x:v>5</x:v>
      </x:c>
      <x:c r="C309" s="13" t="str">
        <x:v>Этап 2 — Ноги и положение корпуса</x:v>
      </x:c>
      <x:c r="D309" s="138" t="str">
        <x:v>2026-10-05</x:v>
      </x:c>
      <x:c r="E309" s="13" t="str">
        <x:v>Понедельник</x:v>
      </x:c>
      <x:c r="F309" s="13" t="str">
        <x:v>Дом / теория</x:v>
      </x:c>
      <x:c r="G309" s="44" t="n">
        <x:v>0.014583333333333334</x:v>
      </x:c>
      <x:c r="H309" s="44" t="n">
        <x:v>0.022916666666666665</x:v>
      </x:c>
      <x:c r="I309" s="32" t="n">
        <x:f>ROUND((H309-G309)*1440,0)</x:f>
        <x:v>12</x:v>
      </x:c>
      <x:c r="J309" s="13" t="str">
        <x:v>Домашняя мобильность</x:v>
      </x:c>
      <x:c r="K309" s="13" t="str">
        <x:v>Выполни комплекс H2 «Баланс и опора ног» по библиотеке упражнений: 12 минут, без дополнительной нагрузки на пальцы.</x:v>
      </x:c>
      <x:c r="L309" s="13" t="str">
        <x:v>☐ Не начато</x:v>
      </x:c>
      <x:c r="M309" s="13" t="str">
        <x:v>Обязательно</x:v>
      </x:c>
      <x:c r="N309" s="13" t="str">
        <x:v>RPE 2–3</x:v>
      </x:c>
      <x:c r="O309" s="13" t="str">
        <x:v>Не уходи в глубокий присед. Стена используется как страховка; упражнение не должно провоцировать правое колено.</x:v>
      </x:c>
      <x:c r="P309" s="13" t="str">
        <x:v>milestone_02_footwork_body_position/week_05_2026-10-05/01_MONDAY.md</x:v>
      </x:c>
      <x:c r="Q309" s="138" t="str">
        <x:v>Markdown</x:v>
      </x:c>
      <x:c r="R309" s="20" t="str"/>
    </x:row>
    <x:row r="310" ht="36" customHeight="1">
      <x:c r="A310" s="19" t="str">
        <x:v>W05-20261005-0309</x:v>
      </x:c>
      <x:c r="B310" s="13" t="n">
        <x:v>5</x:v>
      </x:c>
      <x:c r="C310" s="13" t="str">
        <x:v>Этап 2 — Ноги и положение корпуса</x:v>
      </x:c>
      <x:c r="D310" s="138" t="str">
        <x:v>2026-10-05</x:v>
      </x:c>
      <x:c r="E310" s="13" t="str">
        <x:v>Понедельник</x:v>
      </x:c>
      <x:c r="F310" s="13" t="str">
        <x:v>Дом / теория</x:v>
      </x:c>
      <x:c r="G310" s="44" t="n">
        <x:v>0.022916666666666665</x:v>
      </x:c>
      <x:c r="H310" s="44" t="n">
        <x:v>0.03680555555555556</x:v>
      </x:c>
      <x:c r="I310" s="32" t="n">
        <x:f>ROUND((H310-G310)*1440,0)</x:f>
        <x:v>20</x:v>
      </x:c>
      <x:c r="J310" s="13" t="str">
        <x:v>Физиотерапия</x:v>
      </x:c>
      <x:c r="K310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310" s="13" t="str">
        <x:v>☐ Не начато</x:v>
      </x:c>
      <x:c r="M310" s="13" t="str">
        <x:v>По назначению</x:v>
      </x:c>
      <x:c r="N310" s="13" t="str">
        <x:v>По назначению физиотерапевта</x:v>
      </x:c>
      <x:c r="O310" s="13" t="str">
        <x:v>Любые указания физиотерапевта имеют приоритет над этим планом.</x:v>
      </x:c>
      <x:c r="P310" s="13" t="str">
        <x:v>milestone_02_footwork_body_position/week_05_2026-10-05/01_MONDAY.md</x:v>
      </x:c>
      <x:c r="Q310" s="138" t="str">
        <x:v>Markdown</x:v>
      </x:c>
      <x:c r="R310" s="20" t="str"/>
    </x:row>
    <x:row r="311" ht="36" customHeight="1">
      <x:c r="A311" s="19" t="str">
        <x:v>W05-20261005-0310</x:v>
      </x:c>
      <x:c r="B311" s="13" t="n">
        <x:v>5</x:v>
      </x:c>
      <x:c r="C311" s="13" t="str">
        <x:v>Этап 2 — Ноги и положение корпуса</x:v>
      </x:c>
      <x:c r="D311" s="138" t="str">
        <x:v>2026-10-05</x:v>
      </x:c>
      <x:c r="E311" s="13" t="str">
        <x:v>Понедельник</x:v>
      </x:c>
      <x:c r="F311" s="13" t="str">
        <x:v>Дом / теория</x:v>
      </x:c>
      <x:c r="G311" s="44" t="n">
        <x:v>0.03680555555555556</x:v>
      </x:c>
      <x:c r="H311" s="44" t="n">
        <x:v>0.03888888888888889</x:v>
      </x:c>
      <x:c r="I311" s="32" t="n">
        <x:f>ROUND((H311-G311)*1440,0)</x:f>
        <x:v>3</x:v>
      </x:c>
      <x:c r="J311" s="13" t="str">
        <x:v>Подготовка</x:v>
      </x:c>
      <x:c r="K311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311" s="13" t="str">
        <x:v>☐ Не начато</x:v>
      </x:c>
      <x:c r="M311" s="13" t="str">
        <x:v>Обязательно</x:v>
      </x:c>
      <x:c r="N311" s="13" t="str">
        <x:v>Без нагрузки</x:v>
      </x:c>
      <x:c r="O311" s="13" t="str">
        <x:v>Кольца и турник — только в рамках программы физиотерапевта.</x:v>
      </x:c>
      <x:c r="P311" s="13" t="str">
        <x:v>milestone_02_footwork_body_position/week_05_2026-10-05/01_MONDAY.md</x:v>
      </x:c>
      <x:c r="Q311" s="138" t="str">
        <x:v>Markdown</x:v>
      </x:c>
      <x:c r="R311" s="20" t="str"/>
    </x:row>
    <x:row r="312" ht="36" customHeight="1">
      <x:c r="A312" s="19" t="str">
        <x:v>W05-20261006-0311</x:v>
      </x:c>
      <x:c r="B312" s="13" t="n">
        <x:v>5</x:v>
      </x:c>
      <x:c r="C312" s="13" t="str">
        <x:v>Этап 2 — Ноги и положение корпуса</x:v>
      </x:c>
      <x:c r="D312" s="138" t="str">
        <x:v>2026-10-06</x:v>
      </x:c>
      <x:c r="E312" s="13" t="str">
        <x:v>Вторник</x:v>
      </x:c>
      <x:c r="F312" s="13" t="str">
        <x:v>Тренировка A — техника/объём</x:v>
      </x:c>
      <x:c r="G312" s="44" t="n">
        <x:v>0</x:v>
      </x:c>
      <x:c r="H312" s="44" t="n">
        <x:v>0.0020833333333333333</x:v>
      </x:c>
      <x:c r="I312" s="32" t="n">
        <x:f>ROUND((H312-G312)*1440,0)</x:f>
        <x:v>3</x:v>
      </x:c>
      <x:c r="J312" s="13" t="str">
        <x:v>Самопроверка</x:v>
      </x:c>
      <x:c r="K31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312" s="13" t="str">
        <x:v>☐ Не начато</x:v>
      </x:c>
      <x:c r="M312" s="13" t="str">
        <x:v>Обязательно</x:v>
      </x:c>
      <x:c r="N312" s="13" t="str">
        <x:v>Без нагрузки</x:v>
      </x:c>
      <x:c r="O312" s="13" t="str">
        <x:v>Красный флаг = не начинать пальцевую нагрузку.</x:v>
      </x:c>
      <x:c r="P312" s="13" t="str">
        <x:v>milestone_02_footwork_body_position/week_05_2026-10-05/02_TUESDAY.md</x:v>
      </x:c>
      <x:c r="Q312" s="138" t="str">
        <x:v>Markdown</x:v>
      </x:c>
      <x:c r="R312" s="20" t="str"/>
    </x:row>
    <x:row r="313" ht="36" customHeight="1">
      <x:c r="A313" s="19" t="str">
        <x:v>W05-20261006-0312</x:v>
      </x:c>
      <x:c r="B313" s="13" t="n">
        <x:v>5</x:v>
      </x:c>
      <x:c r="C313" s="13" t="str">
        <x:v>Этап 2 — Ноги и положение корпуса</x:v>
      </x:c>
      <x:c r="D313" s="138" t="str">
        <x:v>2026-10-06</x:v>
      </x:c>
      <x:c r="E313" s="13" t="str">
        <x:v>Вторник</x:v>
      </x:c>
      <x:c r="F313" s="13" t="str">
        <x:v>Тренировка A — техника/объём</x:v>
      </x:c>
      <x:c r="G313" s="44" t="n">
        <x:v>0.0020833333333333333</x:v>
      </x:c>
      <x:c r="H313" s="44" t="n">
        <x:v>0.005555555555555556</x:v>
      </x:c>
      <x:c r="I313" s="32" t="n">
        <x:f>ROUND((H313-G313)*1440,0)</x:f>
        <x:v>5</x:v>
      </x:c>
      <x:c r="J313" s="13" t="str">
        <x:v>Разминка</x:v>
      </x:c>
      <x:c r="K313" s="13" t="str">
        <x:v>Подними температуру: быстрая ходьба, лестница или лёгкий велотренажёр 5 минут.</x:v>
      </x:c>
      <x:c r="L313" s="13" t="str">
        <x:v>☐ Не начато</x:v>
      </x:c>
      <x:c r="M313" s="13" t="str">
        <x:v>Обязательно</x:v>
      </x:c>
      <x:c r="N313" s="13" t="str">
        <x:v>RPE 2–3</x:v>
      </x:c>
      <x:c r="O313" s="13" t="str"/>
      <x:c r="P313" s="13" t="str">
        <x:v>milestone_02_footwork_body_position/week_05_2026-10-05/02_TUESDAY.md</x:v>
      </x:c>
      <x:c r="Q313" s="138" t="str">
        <x:v>Markdown</x:v>
      </x:c>
      <x:c r="R313" s="20" t="str"/>
    </x:row>
    <x:row r="314" ht="36" customHeight="1">
      <x:c r="A314" s="19" t="str">
        <x:v>W05-20261006-0313</x:v>
      </x:c>
      <x:c r="B314" s="13" t="n">
        <x:v>5</x:v>
      </x:c>
      <x:c r="C314" s="13" t="str">
        <x:v>Этап 2 — Ноги и положение корпуса</x:v>
      </x:c>
      <x:c r="D314" s="138" t="str">
        <x:v>2026-10-06</x:v>
      </x:c>
      <x:c r="E314" s="13" t="str">
        <x:v>Вторник</x:v>
      </x:c>
      <x:c r="F314" s="13" t="str">
        <x:v>Тренировка A — техника/объём</x:v>
      </x:c>
      <x:c r="G314" s="44" t="n">
        <x:v>0.005555555555555556</x:v>
      </x:c>
      <x:c r="H314" s="44" t="n">
        <x:v>0.009027777777777777</x:v>
      </x:c>
      <x:c r="I314" s="32" t="n">
        <x:f>ROUND((H314-G314)*1440,0)</x:f>
        <x:v>5</x:v>
      </x:c>
      <x:c r="J314" s="13" t="str">
        <x:v>Разминка</x:v>
      </x:c>
      <x:c r="K31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314" s="13" t="str">
        <x:v>☐ Не начато</x:v>
      </x:c>
      <x:c r="M314" s="13" t="str">
        <x:v>Обязательно</x:v>
      </x:c>
      <x:c r="N314" s="13" t="str">
        <x:v>Очень легко</x:v>
      </x:c>
      <x:c r="O314" s="13" t="str">
        <x:v>Не делай press/отжимания и движения, которые раздражают плечо.</x:v>
      </x:c>
      <x:c r="P314" s="13" t="str">
        <x:v>milestone_02_footwork_body_position/week_05_2026-10-05/02_TUESDAY.md</x:v>
      </x:c>
      <x:c r="Q314" s="138" t="str">
        <x:v>Markdown</x:v>
      </x:c>
      <x:c r="R314" s="20" t="str"/>
    </x:row>
    <x:row r="315" ht="36" customHeight="1">
      <x:c r="A315" s="19" t="str">
        <x:v>W05-20261006-0314</x:v>
      </x:c>
      <x:c r="B315" s="13" t="n">
        <x:v>5</x:v>
      </x:c>
      <x:c r="C315" s="13" t="str">
        <x:v>Этап 2 — Ноги и положение корпуса</x:v>
      </x:c>
      <x:c r="D315" s="138" t="str">
        <x:v>2026-10-06</x:v>
      </x:c>
      <x:c r="E315" s="13" t="str">
        <x:v>Вторник</x:v>
      </x:c>
      <x:c r="F315" s="13" t="str">
        <x:v>Тренировка A — техника/объём</x:v>
      </x:c>
      <x:c r="G315" s="44" t="n">
        <x:v>0.009027777777777777</x:v>
      </x:c>
      <x:c r="H315" s="44" t="n">
        <x:v>0.011805555555555555</x:v>
      </x:c>
      <x:c r="I315" s="32" t="n">
        <x:f>ROUND((H315-G315)*1440,0)</x:f>
        <x:v>4</x:v>
      </x:c>
      <x:c r="J315" s="13" t="str">
        <x:v>Разминка пальцев</x:v>
      </x:c>
      <x:c r="K31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315" s="13" t="str">
        <x:v>☐ Не начато</x:v>
      </x:c>
      <x:c r="M315" s="13" t="str">
        <x:v>Обязательно</x:v>
      </x:c>
      <x:c r="N315" s="13" t="str">
        <x:v>Очень легко</x:v>
      </x:c>
      <x:c r="O315" s="13" t="str"/>
      <x:c r="P315" s="13" t="str">
        <x:v>milestone_02_footwork_body_position/week_05_2026-10-05/02_TUESDAY.md</x:v>
      </x:c>
      <x:c r="Q315" s="138" t="str">
        <x:v>Markdown</x:v>
      </x:c>
      <x:c r="R315" s="20" t="str"/>
    </x:row>
    <x:row r="316" ht="36" customHeight="1">
      <x:c r="A316" s="19" t="str">
        <x:v>W05-20261006-0315</x:v>
      </x:c>
      <x:c r="B316" s="13" t="n">
        <x:v>5</x:v>
      </x:c>
      <x:c r="C316" s="13" t="str">
        <x:v>Этап 2 — Ноги и положение корпуса</x:v>
      </x:c>
      <x:c r="D316" s="138" t="str">
        <x:v>2026-10-06</x:v>
      </x:c>
      <x:c r="E316" s="13" t="str">
        <x:v>Вторник</x:v>
      </x:c>
      <x:c r="F316" s="13" t="str">
        <x:v>Тренировка A — техника/объём</x:v>
      </x:c>
      <x:c r="G316" s="44" t="n">
        <x:v>0.011805555555555555</x:v>
      </x:c>
      <x:c r="H316" s="44" t="n">
        <x:v>0.014583333333333334</x:v>
      </x:c>
      <x:c r="I316" s="32" t="n">
        <x:f>ROUND((H316-G316)*1440,0)</x:f>
        <x:v>4</x:v>
      </x:c>
      <x:c r="J316" s="13" t="str">
        <x:v>Разминочное лазание</x:v>
      </x:c>
      <x:c r="K316" s="13" t="str">
        <x:v>Пройди 2 очень лёгкие трассы уровня 1–2; двигайся медленно, спускайся по зацепам.</x:v>
      </x:c>
      <x:c r="L316" s="13" t="str">
        <x:v>☐ Не начато</x:v>
      </x:c>
      <x:c r="M316" s="13" t="str">
        <x:v>Обязательно</x:v>
      </x:c>
      <x:c r="N316" s="13" t="str">
        <x:v>RPE 2–3</x:v>
      </x:c>
      <x:c r="O316" s="13" t="str">
        <x:v>Финиш с обязательным болезненным mantle/press пропусти.</x:v>
      </x:c>
      <x:c r="P316" s="13" t="str">
        <x:v>milestone_02_footwork_body_position/week_05_2026-10-05/02_TUESDAY.md</x:v>
      </x:c>
      <x:c r="Q316" s="138" t="str">
        <x:v>Markdown</x:v>
      </x:c>
      <x:c r="R316" s="20" t="str"/>
    </x:row>
    <x:row r="317" ht="36" customHeight="1">
      <x:c r="A317" s="19" t="str">
        <x:v>W05-20261006-0316</x:v>
      </x:c>
      <x:c r="B317" s="13" t="n">
        <x:v>5</x:v>
      </x:c>
      <x:c r="C317" s="13" t="str">
        <x:v>Этап 2 — Ноги и положение корпуса</x:v>
      </x:c>
      <x:c r="D317" s="138" t="str">
        <x:v>2026-10-06</x:v>
      </x:c>
      <x:c r="E317" s="13" t="str">
        <x:v>Вторник</x:v>
      </x:c>
      <x:c r="F317" s="13" t="str">
        <x:v>Тренировка A — техника/объём</x:v>
      </x:c>
      <x:c r="G317" s="44" t="n">
        <x:v>0.014583333333333334</x:v>
      </x:c>
      <x:c r="H317" s="44" t="n">
        <x:v>0.017361111111111112</x:v>
      </x:c>
      <x:c r="I317" s="32" t="n">
        <x:f>ROUND((H317-G317)*1440,0)</x:f>
        <x:v>4</x:v>
      </x:c>
      <x:c r="J317" s="13" t="str">
        <x:v>Разминочное лазание</x:v>
      </x:c>
      <x:c r="K317" s="13" t="str">
        <x:v>Пройди 2 трассы уровня 2–3, затем сделай 2–3 движения на комфортной четвёрке. Между ними 45–60 секунд.</x:v>
      </x:c>
      <x:c r="L317" s="13" t="str">
        <x:v>☐ Не начато</x:v>
      </x:c>
      <x:c r="M317" s="13" t="str">
        <x:v>Обязательно</x:v>
      </x:c>
      <x:c r="N317" s="13" t="str">
        <x:v>RPE 3–4</x:v>
      </x:c>
      <x:c r="O317" s="13" t="str">
        <x:v>Разминка не должна утомить пальцы.</x:v>
      </x:c>
      <x:c r="P317" s="13" t="str">
        <x:v>milestone_02_footwork_body_position/week_05_2026-10-05/02_TUESDAY.md</x:v>
      </x:c>
      <x:c r="Q317" s="138" t="str">
        <x:v>Markdown</x:v>
      </x:c>
      <x:c r="R317" s="20" t="str"/>
    </x:row>
    <x:row r="318" ht="36" customHeight="1">
      <x:c r="A318" s="19" t="str">
        <x:v>W05-20261006-0317</x:v>
      </x:c>
      <x:c r="B318" s="13" t="n">
        <x:v>5</x:v>
      </x:c>
      <x:c r="C318" s="13" t="str">
        <x:v>Этап 2 — Ноги и положение корпуса</x:v>
      </x:c>
      <x:c r="D318" s="138" t="str">
        <x:v>2026-10-06</x:v>
      </x:c>
      <x:c r="E318" s="13" t="str">
        <x:v>Вторник</x:v>
      </x:c>
      <x:c r="F318" s="13" t="str">
        <x:v>Тренировка A — техника/объём</x:v>
      </x:c>
      <x:c r="G318" s="44" t="n">
        <x:v>0.017361111111111112</x:v>
      </x:c>
      <x:c r="H318" s="44" t="n">
        <x:v>0.02013888888888889</x:v>
      </x:c>
      <x:c r="I318" s="32" t="n">
        <x:f>ROUND((H318-G318)*1440,0)</x:f>
        <x:v>4</x:v>
      </x:c>
      <x:c r="J318" s="13" t="str">
        <x:v>Выбор трасс</x:v>
      </x:c>
      <x:c r="K318" s="13" t="str">
        <x:v>Найди трассы для упражнения: 3 трассы 2–3 на вертикали/лёгком нависании, где можно пройти и лицом к стене, и с разворотом бедра.</x:v>
      </x:c>
      <x:c r="L318" s="13" t="str">
        <x:v>☐ Не начато</x:v>
      </x:c>
      <x:c r="M318" s="13" t="str">
        <x:v>Обязательно</x:v>
      </x:c>
      <x:c r="N318" s="13" t="str">
        <x:v>Без нагрузки</x:v>
      </x:c>
      <x:c r="O318" s="13" t="str">
        <x:v>Плечо: разворот должен уменьшать тягу рукой, а не создавать болезненный широкий gaston.</x:v>
      </x:c>
      <x:c r="P318" s="13" t="str">
        <x:v>milestone_02_footwork_body_position/week_05_2026-10-05/02_TUESDAY.md</x:v>
      </x:c>
      <x:c r="Q318" s="138" t="str">
        <x:v>Markdown</x:v>
      </x:c>
      <x:c r="R318" s="20" t="str"/>
    </x:row>
    <x:row r="319" ht="36" customHeight="1">
      <x:c r="A319" s="19" t="str">
        <x:v>W05-20261006-0318</x:v>
      </x:c>
      <x:c r="B319" s="13" t="n">
        <x:v>5</x:v>
      </x:c>
      <x:c r="C319" s="13" t="str">
        <x:v>Этап 2 — Ноги и положение корпуса</x:v>
      </x:c>
      <x:c r="D319" s="138" t="str">
        <x:v>2026-10-06</x:v>
      </x:c>
      <x:c r="E319" s="13" t="str">
        <x:v>Вторник</x:v>
      </x:c>
      <x:c r="F319" s="13" t="str">
        <x:v>Тренировка A — техника/объём</x:v>
      </x:c>
      <x:c r="G319" s="44" t="n">
        <x:v>0.02013888888888889</x:v>
      </x:c>
      <x:c r="H319" s="44" t="n">
        <x:v>0.03194444444444444</x:v>
      </x:c>
      <x:c r="I319" s="32" t="n">
        <x:f>ROUND((H319-G319)*1440,0)</x:f>
        <x:v>17</x:v>
      </x:c>
      <x:c r="J319" s="13" t="str">
        <x:v>Технический блок</x:v>
      </x:c>
      <x:c r="K319" s="13" t="str">
        <x:v>Отработай «Разворот бедра и backstep». Шаги: Поставь одну стопу наружным ребром. Разверни соответствующее бедро к стене. Позволь тазу приблизиться к стене, сохраняя опорную руку спокойной.</x:v>
      </x:c>
      <x:c r="L319" s="13" t="str">
        <x:v>☐ Не начато</x:v>
      </x:c>
      <x:c r="M319" s="13" t="str">
        <x:v>Обязательно</x:v>
      </x:c>
      <x:c r="N319" s="13" t="str">
        <x:v>RPE 3–5</x:v>
      </x:c>
      <x:c r="O319" s="13" t="str">
        <x:v>Разворот должен снижать нагрузку на плечо. Правое колено не докручивать через сопротивление.</x:v>
      </x:c>
      <x:c r="P319" s="13" t="str">
        <x:v>milestone_02_footwork_body_position/week_05_2026-10-05/02_TUESDAY.md</x:v>
      </x:c>
      <x:c r="Q319" s="138" t="str">
        <x:v>Markdown</x:v>
      </x:c>
      <x:c r="R319" s="20" t="str"/>
    </x:row>
    <x:row r="320" ht="36" customHeight="1">
      <x:c r="A320" s="19" t="str">
        <x:v>W05-20261006-0319</x:v>
      </x:c>
      <x:c r="B320" s="13" t="n">
        <x:v>5</x:v>
      </x:c>
      <x:c r="C320" s="13" t="str">
        <x:v>Этап 2 — Ноги и положение корпуса</x:v>
      </x:c>
      <x:c r="D320" s="138" t="str">
        <x:v>2026-10-06</x:v>
      </x:c>
      <x:c r="E320" s="13" t="str">
        <x:v>Вторник</x:v>
      </x:c>
      <x:c r="F320" s="13" t="str">
        <x:v>Тренировка A — техника/объём</x:v>
      </x:c>
      <x:c r="G320" s="44" t="n">
        <x:v>0.03194444444444444</x:v>
      </x:c>
      <x:c r="H320" s="44" t="n">
        <x:v>0.035416666666666666</x:v>
      </x:c>
      <x:c r="I320" s="32" t="n">
        <x:f>ROUND((H320-G320)*1440,0)</x:f>
        <x:v>5</x:v>
      </x:c>
      <x:c r="J320" s="13" t="str">
        <x:v>Обратная связь</x:v>
      </x:c>
      <x:c r="K320" s="13" t="str">
        <x:v>Повтори лучшую лёгкую трассу и проверь критерий успеха: До зацепа легче дотянуться, а опорная рука становится прямее.</x:v>
      </x:c>
      <x:c r="L320" s="13" t="str">
        <x:v>☐ Не начато</x:v>
      </x:c>
      <x:c r="M320" s="13" t="str">
        <x:v>Обязательно</x:v>
      </x:c>
      <x:c r="N320" s="13" t="str">
        <x:v>RPE 4–5</x:v>
      </x:c>
      <x:c r="O320" s="13" t="str"/>
      <x:c r="P320" s="13" t="str">
        <x:v>milestone_02_footwork_body_position/week_05_2026-10-05/02_TUESDAY.md</x:v>
      </x:c>
      <x:c r="Q320" s="138" t="str">
        <x:v>Markdown</x:v>
      </x:c>
      <x:c r="R320" s="20" t="str"/>
    </x:row>
    <x:row r="321" ht="36" customHeight="1">
      <x:c r="A321" s="19" t="str">
        <x:v>W05-20261006-0320</x:v>
      </x:c>
      <x:c r="B321" s="13" t="n">
        <x:v>5</x:v>
      </x:c>
      <x:c r="C321" s="13" t="str">
        <x:v>Этап 2 — Ноги и положение корпуса</x:v>
      </x:c>
      <x:c r="D321" s="138" t="str">
        <x:v>2026-10-06</x:v>
      </x:c>
      <x:c r="E321" s="13" t="str">
        <x:v>Вторник</x:v>
      </x:c>
      <x:c r="F321" s="13" t="str">
        <x:v>Тренировка A — техника/объём</x:v>
      </x:c>
      <x:c r="G321" s="44" t="n">
        <x:v>0.035416666666666666</x:v>
      </x:c>
      <x:c r="H321" s="44" t="n">
        <x:v>0.04583333333333333</x:v>
      </x:c>
      <x:c r="I321" s="32" t="n">
        <x:f>ROUND((H321-G321)*1440,0)</x:f>
        <x:v>15</x:v>
      </x:c>
      <x:c r="J321" s="13" t="str">
        <x:v>Качественный объём</x:v>
      </x:c>
      <x:c r="K321" s="13" t="str">
        <x:v>Попробуй 2–3 четвёрки, максимум 2 попытки на каждую, отдых 2:00. На неудаче назови техническую причину.</x:v>
      </x:c>
      <x:c r="L321" s="13" t="str">
        <x:v>☐ Не начато</x:v>
      </x:c>
      <x:c r="M321" s="13" t="str">
        <x:v>Обязательно</x:v>
      </x:c>
      <x:c r="N321" s="13" t="str">
        <x:v>RPE 6–7</x:v>
      </x:c>
      <x:c r="O321" s="13" t="str">
        <x:v>Не выбирать подряд три трассы на одинаково маленьких кромках.</x:v>
      </x:c>
      <x:c r="P321" s="13" t="str">
        <x:v>milestone_02_footwork_body_position/week_05_2026-10-05/02_TUESDAY.md</x:v>
      </x:c>
      <x:c r="Q321" s="138" t="str">
        <x:v>Markdown</x:v>
      </x:c>
      <x:c r="R321" s="20" t="str"/>
    </x:row>
    <x:row r="322" ht="36" customHeight="1">
      <x:c r="A322" s="19" t="str">
        <x:v>W05-20261006-0321</x:v>
      </x:c>
      <x:c r="B322" s="13" t="n">
        <x:v>5</x:v>
      </x:c>
      <x:c r="C322" s="13" t="str">
        <x:v>Этап 2 — Ноги и положение корпуса</x:v>
      </x:c>
      <x:c r="D322" s="138" t="str">
        <x:v>2026-10-06</x:v>
      </x:c>
      <x:c r="E322" s="13" t="str">
        <x:v>Вторник</x:v>
      </x:c>
      <x:c r="F322" s="13" t="str">
        <x:v>Тренировка A — техника/объём</x:v>
      </x:c>
      <x:c r="G322" s="44" t="n">
        <x:v>0.04583333333333333</x:v>
      </x:c>
      <x:c r="H322" s="44" t="n">
        <x:v>0.052083333333333336</x:v>
      </x:c>
      <x:c r="I322" s="32" t="n">
        <x:f>ROUND((H322-G322)*1440,0)</x:f>
        <x:v>9</x:v>
      </x:c>
      <x:c r="J322" s="13" t="str">
        <x:v>Рабочая пятёрка</x:v>
      </x:c>
      <x:c r="K322" s="13" t="str">
        <x:v>Одна пятёрка, максимум 2 попытки, отдых 3:00. Цель — применить тему недели, а не обязательно закрыть.</x:v>
      </x:c>
      <x:c r="L322" s="13" t="str">
        <x:v>☐ Не начато</x:v>
      </x:c>
      <x:c r="M322" s="13" t="str">
        <x:v>Обязательно</x:v>
      </x:c>
      <x:c r="N322" s="13" t="str">
        <x:v>RPE 7–8</x:v>
      </x:c>
      <x:c r="O322" s="13" t="str">
        <x:v>Плечо: разворот должен уменьшать тягу рукой, а не создавать болезненный широкий gaston.</x:v>
      </x:c>
      <x:c r="P322" s="13" t="str">
        <x:v>milestone_02_footwork_body_position/week_05_2026-10-05/02_TUESDAY.md</x:v>
      </x:c>
      <x:c r="Q322" s="138" t="str">
        <x:v>Markdown</x:v>
      </x:c>
      <x:c r="R322" s="20" t="str"/>
    </x:row>
    <x:row r="323" ht="36" customHeight="1">
      <x:c r="A323" s="19" t="str">
        <x:v>W05-20261006-0322</x:v>
      </x:c>
      <x:c r="B323" s="13" t="n">
        <x:v>5</x:v>
      </x:c>
      <x:c r="C323" s="13" t="str">
        <x:v>Этап 2 — Ноги и положение корпуса</x:v>
      </x:c>
      <x:c r="D323" s="138" t="str">
        <x:v>2026-10-06</x:v>
      </x:c>
      <x:c r="E323" s="13" t="str">
        <x:v>Вторник</x:v>
      </x:c>
      <x:c r="F323" s="13" t="str">
        <x:v>Тренировка A — техника/объём</x:v>
      </x:c>
      <x:c r="G323" s="44" t="n">
        <x:v>0.052083333333333336</x:v>
      </x:c>
      <x:c r="H323" s="44" t="n">
        <x:v>0.058333333333333334</x:v>
      </x:c>
      <x:c r="I323" s="32" t="n">
        <x:f>ROUND((H323-G323)*1440,0)</x:f>
        <x:v>9</x:v>
      </x:c>
      <x:c r="J323" s="13" t="str">
        <x:v>Лёгкая выносливость</x:v>
      </x:c>
      <x:c r="K323" s="13" t="str">
        <x:v>Начни 2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323" s="13" t="str">
        <x:v>☐ Не начато</x:v>
      </x:c>
      <x:c r="M323" s="13" t="str">
        <x:v>Обязательно</x:v>
      </x:c>
      <x:c r="N323" s="13" t="str">
        <x:v>Памп максимум 4/10</x:v>
      </x:c>
      <x:c r="O323" s="13" t="str">
        <x:v>Остановиться при неточной постановке ног или разжимании пальцев.</x:v>
      </x:c>
      <x:c r="P323" s="13" t="str">
        <x:v>milestone_02_footwork_body_position/week_05_2026-10-05/02_TUESDAY.md</x:v>
      </x:c>
      <x:c r="Q323" s="138" t="str">
        <x:v>Markdown</x:v>
      </x:c>
      <x:c r="R323" s="20" t="str"/>
    </x:row>
    <x:row r="324" ht="36" customHeight="1">
      <x:c r="A324" s="19" t="str">
        <x:v>W05-20261006-0323</x:v>
      </x:c>
      <x:c r="B324" s="13" t="n">
        <x:v>5</x:v>
      </x:c>
      <x:c r="C324" s="13" t="str">
        <x:v>Этап 2 — Ноги и положение корпуса</x:v>
      </x:c>
      <x:c r="D324" s="138" t="str">
        <x:v>2026-10-06</x:v>
      </x:c>
      <x:c r="E324" s="13" t="str">
        <x:v>Вторник</x:v>
      </x:c>
      <x:c r="F324" s="13" t="str">
        <x:v>Тренировка A — техника/объём</x:v>
      </x:c>
      <x:c r="G324" s="44" t="n">
        <x:v>0.058333333333333334</x:v>
      </x:c>
      <x:c r="H324" s="44" t="n">
        <x:v>0.06041666666666667</x:v>
      </x:c>
      <x:c r="I324" s="32" t="n">
        <x:f>ROUND((H324-G324)*1440,0)</x:f>
        <x:v>3</x:v>
      </x:c>
      <x:c r="J324" s="13" t="str">
        <x:v>Завершение</x:v>
      </x:c>
      <x:c r="K324" s="13" t="str">
        <x:v>Очень лёгкий спуск/ходьба и спокойное встряхивание кистей.</x:v>
      </x:c>
      <x:c r="L324" s="13" t="str">
        <x:v>☐ Не начато</x:v>
      </x:c>
      <x:c r="M324" s="13" t="str">
        <x:v>Обязательно</x:v>
      </x:c>
      <x:c r="N324" s="13" t="str">
        <x:v>RPE 1–2</x:v>
      </x:c>
      <x:c r="O324" s="13" t="str"/>
      <x:c r="P324" s="13" t="str">
        <x:v>milestone_02_footwork_body_position/week_05_2026-10-05/02_TUESDAY.md</x:v>
      </x:c>
      <x:c r="Q324" s="138" t="str">
        <x:v>Markdown</x:v>
      </x:c>
      <x:c r="R324" s="20" t="str"/>
    </x:row>
    <x:row r="325" ht="36" customHeight="1">
      <x:c r="A325" s="19" t="str">
        <x:v>W05-20261006-0324</x:v>
      </x:c>
      <x:c r="B325" s="13" t="n">
        <x:v>5</x:v>
      </x:c>
      <x:c r="C325" s="13" t="str">
        <x:v>Этап 2 — Ноги и положение корпуса</x:v>
      </x:c>
      <x:c r="D325" s="138" t="str">
        <x:v>2026-10-06</x:v>
      </x:c>
      <x:c r="E325" s="13" t="str">
        <x:v>Вторник</x:v>
      </x:c>
      <x:c r="F325" s="13" t="str">
        <x:v>Тренировка A — техника/объём</x:v>
      </x:c>
      <x:c r="G325" s="44" t="n">
        <x:v>0.06041666666666667</x:v>
      </x:c>
      <x:c r="H325" s="44" t="n">
        <x:v>0.0625</x:v>
      </x:c>
      <x:c r="I325" s="32" t="n">
        <x:f>ROUND((H325-G325)*1440,0)</x:f>
        <x:v>3</x:v>
      </x:c>
      <x:c r="J325" s="13" t="str">
        <x:v>Журнал</x:v>
      </x:c>
      <x:c r="K325" s="13" t="str">
        <x:v>Запиши: На видео увидеть хотя бы 3 движения, где разворот бедра делает руку прямее. Также отметь минуту первой просадки хвата.</x:v>
      </x:c>
      <x:c r="L325" s="13" t="str">
        <x:v>☐ Не начато</x:v>
      </x:c>
      <x:c r="M325" s="13" t="str">
        <x:v>Обязательно</x:v>
      </x:c>
      <x:c r="N325" s="13" t="str">
        <x:v>Без нагрузки</x:v>
      </x:c>
      <x:c r="O325" s="13" t="str"/>
      <x:c r="P325" s="13" t="str">
        <x:v>milestone_02_footwork_body_position/week_05_2026-10-05/02_TUESDAY.md</x:v>
      </x:c>
      <x:c r="Q325" s="138" t="str">
        <x:v>Markdown</x:v>
      </x:c>
      <x:c r="R325" s="20" t="str"/>
    </x:row>
    <x:row r="326" ht="36" customHeight="1">
      <x:c r="A326" s="19" t="str">
        <x:v>W05-20261007-0325</x:v>
      </x:c>
      <x:c r="B326" s="13" t="n">
        <x:v>5</x:v>
      </x:c>
      <x:c r="C326" s="13" t="str">
        <x:v>Этап 2 — Ноги и положение корпуса</x:v>
      </x:c>
      <x:c r="D326" s="138" t="str">
        <x:v>2026-10-07</x:v>
      </x:c>
      <x:c r="E326" s="13" t="str">
        <x:v>Среда</x:v>
      </x:c>
      <x:c r="F326" s="13" t="str">
        <x:v>Восстановление / видео</x:v>
      </x:c>
      <x:c r="G326" s="44" t="n">
        <x:v>0</x:v>
      </x:c>
      <x:c r="H326" s="44" t="n">
        <x:v>0.006944444444444444</x:v>
      </x:c>
      <x:c r="I326" s="32" t="n">
        <x:f>ROUND((H326-G326)*1440,0)</x:f>
        <x:v>10</x:v>
      </x:c>
      <x:c r="J326" s="13" t="str">
        <x:v>Восстановление</x:v>
      </x:c>
      <x:c r="K326" s="13" t="str">
        <x:v>10 минут спокойной ходьбы. Руки расслаблены; это не тренировка выносливости.</x:v>
      </x:c>
      <x:c r="L326" s="13" t="str">
        <x:v>☐ Не начато</x:v>
      </x:c>
      <x:c r="M326" s="13" t="str">
        <x:v>Обязательно</x:v>
      </x:c>
      <x:c r="N326" s="13" t="str">
        <x:v>RPE 1–2</x:v>
      </x:c>
      <x:c r="O326" s="13" t="str"/>
      <x:c r="P326" s="13" t="str">
        <x:v>milestone_02_footwork_body_position/week_05_2026-10-05/03_WEDNESDAY.md</x:v>
      </x:c>
      <x:c r="Q326" s="138" t="str">
        <x:v>Markdown</x:v>
      </x:c>
      <x:c r="R326" s="20" t="str"/>
    </x:row>
    <x:row r="327" ht="36" customHeight="1">
      <x:c r="A327" s="19" t="str">
        <x:v>W05-20261007-0326</x:v>
      </x:c>
      <x:c r="B327" s="13" t="n">
        <x:v>5</x:v>
      </x:c>
      <x:c r="C327" s="13" t="str">
        <x:v>Этап 2 — Ноги и положение корпуса</x:v>
      </x:c>
      <x:c r="D327" s="138" t="str">
        <x:v>2026-10-07</x:v>
      </x:c>
      <x:c r="E327" s="13" t="str">
        <x:v>Среда</x:v>
      </x:c>
      <x:c r="F327" s="13" t="str">
        <x:v>Восстановление / видео</x:v>
      </x:c>
      <x:c r="G327" s="44" t="n">
        <x:v>0.006944444444444444</x:v>
      </x:c>
      <x:c r="H327" s="44" t="n">
        <x:v>0.009027777777777777</x:v>
      </x:c>
      <x:c r="I327" s="32" t="n">
        <x:f>ROUND((H327-G327)*1440,0)</x:f>
        <x:v>3</x:v>
      </x:c>
      <x:c r="J327" s="13" t="str">
        <x:v>Самопроверка</x:v>
      </x:c>
      <x:c r="K327" s="13" t="str">
        <x:v>Оцени реакцию после вторника: плечо, пальцы, правое колено 0–10. Запиши, что изменилось относительно вчерашнего утра.</x:v>
      </x:c>
      <x:c r="L327" s="13" t="str">
        <x:v>☐ Не начато</x:v>
      </x:c>
      <x:c r="M327" s="13" t="str">
        <x:v>Обязательно</x:v>
      </x:c>
      <x:c r="N327" s="13" t="str">
        <x:v>Без нагрузки</x:v>
      </x:c>
      <x:c r="O327" s="13" t="str">
        <x:v>Острая локальная боль пальца или ухудшение плеча = не делать четверговую пальцевую нагрузку.</x:v>
      </x:c>
      <x:c r="P327" s="13" t="str">
        <x:v>milestone_02_footwork_body_position/week_05_2026-10-05/03_WEDNESDAY.md</x:v>
      </x:c>
      <x:c r="Q327" s="138" t="str">
        <x:v>Markdown</x:v>
      </x:c>
      <x:c r="R327" s="20" t="str"/>
    </x:row>
    <x:row r="328" ht="36" customHeight="1">
      <x:c r="A328" s="19" t="str">
        <x:v>W05-20261007-0327</x:v>
      </x:c>
      <x:c r="B328" s="13" t="n">
        <x:v>5</x:v>
      </x:c>
      <x:c r="C328" s="13" t="str">
        <x:v>Этап 2 — Ноги и положение корпуса</x:v>
      </x:c>
      <x:c r="D328" s="138" t="str">
        <x:v>2026-10-07</x:v>
      </x:c>
      <x:c r="E328" s="13" t="str">
        <x:v>Среда</x:v>
      </x:c>
      <x:c r="F328" s="13" t="str">
        <x:v>Восстановление / видео</x:v>
      </x:c>
      <x:c r="G328" s="44" t="n">
        <x:v>0.009027777777777777</x:v>
      </x:c>
      <x:c r="H328" s="44" t="n">
        <x:v>0.01597222222222222</x:v>
      </x:c>
      <x:c r="I328" s="32" t="n">
        <x:f>ROUND((H328-G328)*1440,0)</x:f>
        <x:v>10</x:v>
      </x:c>
      <x:c r="J328" s="13" t="str">
        <x:v>Видеоразбор</x:v>
      </x:c>
      <x:c r="K32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328" s="13" t="str">
        <x:v>☐ Не начато</x:v>
      </x:c>
      <x:c r="M328" s="13" t="str">
        <x:v>Обязательно</x:v>
      </x:c>
      <x:c r="N328" s="13" t="str">
        <x:v>Без нагрузки</x:v>
      </x:c>
      <x:c r="O328" s="13" t="str"/>
      <x:c r="P328" s="13" t="str">
        <x:v>milestone_02_footwork_body_position/week_05_2026-10-05/03_WEDNESDAY.md</x:v>
      </x:c>
      <x:c r="Q328" s="138" t="str">
        <x:v>Markdown</x:v>
      </x:c>
      <x:c r="R328" s="20" t="str"/>
    </x:row>
    <x:row r="329" ht="36" customHeight="1">
      <x:c r="A329" s="19" t="str">
        <x:v>W05-20261007-0328</x:v>
      </x:c>
      <x:c r="B329" s="13" t="n">
        <x:v>5</x:v>
      </x:c>
      <x:c r="C329" s="13" t="str">
        <x:v>Этап 2 — Ноги и положение корпуса</x:v>
      </x:c>
      <x:c r="D329" s="138" t="str">
        <x:v>2026-10-07</x:v>
      </x:c>
      <x:c r="E329" s="13" t="str">
        <x:v>Среда</x:v>
      </x:c>
      <x:c r="F329" s="13" t="str">
        <x:v>Восстановление / видео</x:v>
      </x:c>
      <x:c r="G329" s="44" t="n">
        <x:v>0.01597222222222222</x:v>
      </x:c>
      <x:c r="H329" s="44" t="n">
        <x:v>0.01875</x:v>
      </x:c>
      <x:c r="I329" s="32" t="n">
        <x:f>ROUND((H329-G329)*1440,0)</x:f>
        <x:v>4</x:v>
      </x:c>
      <x:c r="J329" s="13" t="str">
        <x:v>Конспект</x:v>
      </x:c>
      <x:c r="K329" s="13" t="str">
        <x:v>Запиши одну правку на четверг в формате «В следующей попытке я…». Используй cue: «Разверни бедро к стене и загрузи внешнее ребро стопы, чтобы дотянуться без лишней тяги.».</x:v>
      </x:c>
      <x:c r="L329" s="13" t="str">
        <x:v>☐ Не начато</x:v>
      </x:c>
      <x:c r="M329" s="13" t="str">
        <x:v>Обязательно</x:v>
      </x:c>
      <x:c r="N329" s="13" t="str">
        <x:v>Без нагрузки</x:v>
      </x:c>
      <x:c r="O329" s="13" t="str"/>
      <x:c r="P329" s="13" t="str">
        <x:v>milestone_02_footwork_body_position/week_05_2026-10-05/03_WEDNESDAY.md</x:v>
      </x:c>
      <x:c r="Q329" s="138" t="str">
        <x:v>Markdown</x:v>
      </x:c>
      <x:c r="R329" s="20" t="str"/>
    </x:row>
    <x:row r="330" ht="36" customHeight="1">
      <x:c r="A330" s="19" t="str">
        <x:v>W05-20261007-0329</x:v>
      </x:c>
      <x:c r="B330" s="13" t="n">
        <x:v>5</x:v>
      </x:c>
      <x:c r="C330" s="13" t="str">
        <x:v>Этап 2 — Ноги и положение корпуса</x:v>
      </x:c>
      <x:c r="D330" s="138" t="str">
        <x:v>2026-10-07</x:v>
      </x:c>
      <x:c r="E330" s="13" t="str">
        <x:v>Среда</x:v>
      </x:c>
      <x:c r="F330" s="13" t="str">
        <x:v>Восстановление / видео</x:v>
      </x:c>
      <x:c r="G330" s="44" t="n">
        <x:v>0.01875</x:v>
      </x:c>
      <x:c r="H330" s="44" t="n">
        <x:v>0.027083333333333334</x:v>
      </x:c>
      <x:c r="I330" s="32" t="n">
        <x:f>ROUND((H330-G330)*1440,0)</x:f>
        <x:v>12</x:v>
      </x:c>
      <x:c r="J330" s="13" t="str">
        <x:v>Домашняя мобильность</x:v>
      </x:c>
      <x:c r="K330" s="13" t="str">
        <x:v>Выполни комплекс H3 «Мобильность таза и контроль корпуса», 12 минут. Ни турника, ни колец для дополнительного хвата.</x:v>
      </x:c>
      <x:c r="L330" s="13" t="str">
        <x:v>☐ Не начато</x:v>
      </x:c>
      <x:c r="M330" s="13" t="str">
        <x:v>Обязательно</x:v>
      </x:c>
      <x:c r="N330" s="13" t="str">
        <x:v>RPE 2–3</x:v>
      </x:c>
      <x:c r="O330" s="13" t="str">
        <x:v>Никаких скручиваний через боль. Плечом не отталкивайся от стены; касание только для равновесия.</x:v>
      </x:c>
      <x:c r="P330" s="13" t="str">
        <x:v>milestone_02_footwork_body_position/week_05_2026-10-05/03_WEDNESDAY.md</x:v>
      </x:c>
      <x:c r="Q330" s="138" t="str">
        <x:v>Markdown</x:v>
      </x:c>
      <x:c r="R330" s="20" t="str"/>
    </x:row>
    <x:row r="331" ht="36" customHeight="1">
      <x:c r="A331" s="19" t="str">
        <x:v>W05-20261007-0330</x:v>
      </x:c>
      <x:c r="B331" s="13" t="n">
        <x:v>5</x:v>
      </x:c>
      <x:c r="C331" s="13" t="str">
        <x:v>Этап 2 — Ноги и положение корпуса</x:v>
      </x:c>
      <x:c r="D331" s="138" t="str">
        <x:v>2026-10-07</x:v>
      </x:c>
      <x:c r="E331" s="13" t="str">
        <x:v>Среда</x:v>
      </x:c>
      <x:c r="F331" s="13" t="str">
        <x:v>Восстановление / видео</x:v>
      </x:c>
      <x:c r="G331" s="44" t="n">
        <x:v>0.027083333333333334</x:v>
      </x:c>
      <x:c r="H331" s="44" t="n">
        <x:v>0.04097222222222222</x:v>
      </x:c>
      <x:c r="I331" s="32" t="n">
        <x:f>ROUND((H331-G331)*1440,0)</x:f>
        <x:v>20</x:v>
      </x:c>
      <x:c r="J331" s="13" t="str">
        <x:v>Физиотерапия</x:v>
      </x:c>
      <x:c r="K331" s="13" t="str">
        <x:v>Выполни свой назначенный физиотерапевтом комплекс, если среда входит в его расписание.</x:v>
      </x:c>
      <x:c r="L331" s="13" t="str">
        <x:v>☐ Не начато</x:v>
      </x:c>
      <x:c r="M331" s="13" t="str">
        <x:v>По назначению</x:v>
      </x:c>
      <x:c r="N331" s="13" t="str">
        <x:v>По назначению</x:v>
      </x:c>
      <x:c r="O331" s="13" t="str">
        <x:v>Назначения физиотерапевта имеют приоритет.</x:v>
      </x:c>
      <x:c r="P331" s="13" t="str">
        <x:v>milestone_02_footwork_body_position/week_05_2026-10-05/03_WEDNESDAY.md</x:v>
      </x:c>
      <x:c r="Q331" s="138" t="str">
        <x:v>Markdown</x:v>
      </x:c>
      <x:c r="R331" s="20" t="str"/>
    </x:row>
    <x:row r="332" ht="36" customHeight="1">
      <x:c r="A332" s="19" t="str">
        <x:v>W05-20261007-0331</x:v>
      </x:c>
      <x:c r="B332" s="13" t="n">
        <x:v>5</x:v>
      </x:c>
      <x:c r="C332" s="13" t="str">
        <x:v>Этап 2 — Ноги и положение корпуса</x:v>
      </x:c>
      <x:c r="D332" s="138" t="str">
        <x:v>2026-10-07</x:v>
      </x:c>
      <x:c r="E332" s="13" t="str">
        <x:v>Среда</x:v>
      </x:c>
      <x:c r="F332" s="13" t="str">
        <x:v>Восстановление / видео</x:v>
      </x:c>
      <x:c r="G332" s="44" t="n">
        <x:v>0.04097222222222222</x:v>
      </x:c>
      <x:c r="H332" s="44" t="n">
        <x:v>0.043055555555555555</x:v>
      </x:c>
      <x:c r="I332" s="32" t="n">
        <x:f>ROUND((H332-G332)*1440,0)</x:f>
        <x:v>3</x:v>
      </x:c>
      <x:c r="J332" s="13" t="str">
        <x:v>Запрет лишней нагрузки</x:v>
      </x:c>
      <x:c r="K332" s="13" t="str">
        <x:v>Поставь отметку: сегодня не было висов, подтягиваний «на проверку», эспандера-сжимателя или тяжёлого ношения.</x:v>
      </x:c>
      <x:c r="L332" s="13" t="str">
        <x:v>☐ Не начато</x:v>
      </x:c>
      <x:c r="M332" s="13" t="str">
        <x:v>Обязательно</x:v>
      </x:c>
      <x:c r="N332" s="13" t="str">
        <x:v>Восстановление</x:v>
      </x:c>
      <x:c r="O332" s="13" t="str"/>
      <x:c r="P332" s="13" t="str">
        <x:v>milestone_02_footwork_body_position/week_05_2026-10-05/03_WEDNESDAY.md</x:v>
      </x:c>
      <x:c r="Q332" s="138" t="str">
        <x:v>Markdown</x:v>
      </x:c>
      <x:c r="R332" s="20" t="str"/>
    </x:row>
    <x:row r="333" ht="36" customHeight="1">
      <x:c r="A333" s="19" t="str">
        <x:v>W05-20261008-0332</x:v>
      </x:c>
      <x:c r="B333" s="13" t="n">
        <x:v>5</x:v>
      </x:c>
      <x:c r="C333" s="13" t="str">
        <x:v>Этап 2 — Ноги и положение корпуса</x:v>
      </x:c>
      <x:c r="D333" s="138" t="str">
        <x:v>2026-10-08</x:v>
      </x:c>
      <x:c r="E333" s="13" t="str">
        <x:v>Четверг</x:v>
      </x:c>
      <x:c r="F333" s="13" t="str">
        <x:v>Тренировка B — пальцы/проект</x:v>
      </x:c>
      <x:c r="G333" s="44" t="n">
        <x:v>0</x:v>
      </x:c>
      <x:c r="H333" s="44" t="n">
        <x:v>0.0020833333333333333</x:v>
      </x:c>
      <x:c r="I333" s="32" t="n">
        <x:f>ROUND((H333-G333)*1440,0)</x:f>
        <x:v>3</x:v>
      </x:c>
      <x:c r="J333" s="13" t="str">
        <x:v>Самопроверка</x:v>
      </x:c>
      <x:c r="K33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333" s="13" t="str">
        <x:v>☐ Не начато</x:v>
      </x:c>
      <x:c r="M333" s="13" t="str">
        <x:v>Обязательно</x:v>
      </x:c>
      <x:c r="N333" s="13" t="str">
        <x:v>Без нагрузки</x:v>
      </x:c>
      <x:c r="O333" s="13" t="str">
        <x:v>Красный флаг = не начинать пальцевую нагрузку.</x:v>
      </x:c>
      <x:c r="P333" s="13" t="str">
        <x:v>milestone_02_footwork_body_position/week_05_2026-10-05/04_THURSDAY.md</x:v>
      </x:c>
      <x:c r="Q333" s="138" t="str">
        <x:v>Markdown</x:v>
      </x:c>
      <x:c r="R333" s="20" t="str"/>
    </x:row>
    <x:row r="334" ht="36" customHeight="1">
      <x:c r="A334" s="19" t="str">
        <x:v>W05-20261008-0333</x:v>
      </x:c>
      <x:c r="B334" s="13" t="n">
        <x:v>5</x:v>
      </x:c>
      <x:c r="C334" s="13" t="str">
        <x:v>Этап 2 — Ноги и положение корпуса</x:v>
      </x:c>
      <x:c r="D334" s="138" t="str">
        <x:v>2026-10-08</x:v>
      </x:c>
      <x:c r="E334" s="13" t="str">
        <x:v>Четверг</x:v>
      </x:c>
      <x:c r="F334" s="13" t="str">
        <x:v>Тренировка B — пальцы/проект</x:v>
      </x:c>
      <x:c r="G334" s="44" t="n">
        <x:v>0.0020833333333333333</x:v>
      </x:c>
      <x:c r="H334" s="44" t="n">
        <x:v>0.005555555555555556</x:v>
      </x:c>
      <x:c r="I334" s="32" t="n">
        <x:f>ROUND((H334-G334)*1440,0)</x:f>
        <x:v>5</x:v>
      </x:c>
      <x:c r="J334" s="13" t="str">
        <x:v>Разминка</x:v>
      </x:c>
      <x:c r="K334" s="13" t="str">
        <x:v>Подними температуру: быстрая ходьба, лестница или лёгкий велотренажёр 5 минут.</x:v>
      </x:c>
      <x:c r="L334" s="13" t="str">
        <x:v>☐ Не начато</x:v>
      </x:c>
      <x:c r="M334" s="13" t="str">
        <x:v>Обязательно</x:v>
      </x:c>
      <x:c r="N334" s="13" t="str">
        <x:v>RPE 2–3</x:v>
      </x:c>
      <x:c r="O334" s="13" t="str"/>
      <x:c r="P334" s="13" t="str">
        <x:v>milestone_02_footwork_body_position/week_05_2026-10-05/04_THURSDAY.md</x:v>
      </x:c>
      <x:c r="Q334" s="138" t="str">
        <x:v>Markdown</x:v>
      </x:c>
      <x:c r="R334" s="20" t="str"/>
    </x:row>
    <x:row r="335" ht="36" customHeight="1">
      <x:c r="A335" s="19" t="str">
        <x:v>W05-20261008-0334</x:v>
      </x:c>
      <x:c r="B335" s="13" t="n">
        <x:v>5</x:v>
      </x:c>
      <x:c r="C335" s="13" t="str">
        <x:v>Этап 2 — Ноги и положение корпуса</x:v>
      </x:c>
      <x:c r="D335" s="138" t="str">
        <x:v>2026-10-08</x:v>
      </x:c>
      <x:c r="E335" s="13" t="str">
        <x:v>Четверг</x:v>
      </x:c>
      <x:c r="F335" s="13" t="str">
        <x:v>Тренировка B — пальцы/проект</x:v>
      </x:c>
      <x:c r="G335" s="44" t="n">
        <x:v>0.005555555555555556</x:v>
      </x:c>
      <x:c r="H335" s="44" t="n">
        <x:v>0.009027777777777777</x:v>
      </x:c>
      <x:c r="I335" s="32" t="n">
        <x:f>ROUND((H335-G335)*1440,0)</x:f>
        <x:v>5</x:v>
      </x:c>
      <x:c r="J335" s="13" t="str">
        <x:v>Разминка</x:v>
      </x:c>
      <x:c r="K33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335" s="13" t="str">
        <x:v>☐ Не начато</x:v>
      </x:c>
      <x:c r="M335" s="13" t="str">
        <x:v>Обязательно</x:v>
      </x:c>
      <x:c r="N335" s="13" t="str">
        <x:v>Очень легко</x:v>
      </x:c>
      <x:c r="O335" s="13" t="str">
        <x:v>Не делай press/отжимания и движения, которые раздражают плечо.</x:v>
      </x:c>
      <x:c r="P335" s="13" t="str">
        <x:v>milestone_02_footwork_body_position/week_05_2026-10-05/04_THURSDAY.md</x:v>
      </x:c>
      <x:c r="Q335" s="138" t="str">
        <x:v>Markdown</x:v>
      </x:c>
      <x:c r="R335" s="20" t="str"/>
    </x:row>
    <x:row r="336" ht="36" customHeight="1">
      <x:c r="A336" s="19" t="str">
        <x:v>W05-20261008-0335</x:v>
      </x:c>
      <x:c r="B336" s="13" t="n">
        <x:v>5</x:v>
      </x:c>
      <x:c r="C336" s="13" t="str">
        <x:v>Этап 2 — Ноги и положение корпуса</x:v>
      </x:c>
      <x:c r="D336" s="138" t="str">
        <x:v>2026-10-08</x:v>
      </x:c>
      <x:c r="E336" s="13" t="str">
        <x:v>Четверг</x:v>
      </x:c>
      <x:c r="F336" s="13" t="str">
        <x:v>Тренировка B — пальцы/проект</x:v>
      </x:c>
      <x:c r="G336" s="44" t="n">
        <x:v>0.009027777777777777</x:v>
      </x:c>
      <x:c r="H336" s="44" t="n">
        <x:v>0.011805555555555555</x:v>
      </x:c>
      <x:c r="I336" s="32" t="n">
        <x:f>ROUND((H336-G336)*1440,0)</x:f>
        <x:v>4</x:v>
      </x:c>
      <x:c r="J336" s="13" t="str">
        <x:v>Разминка пальцев</x:v>
      </x:c>
      <x:c r="K33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336" s="13" t="str">
        <x:v>☐ Не начато</x:v>
      </x:c>
      <x:c r="M336" s="13" t="str">
        <x:v>Обязательно</x:v>
      </x:c>
      <x:c r="N336" s="13" t="str">
        <x:v>Очень легко</x:v>
      </x:c>
      <x:c r="O336" s="13" t="str"/>
      <x:c r="P336" s="13" t="str">
        <x:v>milestone_02_footwork_body_position/week_05_2026-10-05/04_THURSDAY.md</x:v>
      </x:c>
      <x:c r="Q336" s="138" t="str">
        <x:v>Markdown</x:v>
      </x:c>
      <x:c r="R336" s="20" t="str"/>
    </x:row>
    <x:row r="337" ht="36" customHeight="1">
      <x:c r="A337" s="19" t="str">
        <x:v>W05-20261008-0336</x:v>
      </x:c>
      <x:c r="B337" s="13" t="n">
        <x:v>5</x:v>
      </x:c>
      <x:c r="C337" s="13" t="str">
        <x:v>Этап 2 — Ноги и положение корпуса</x:v>
      </x:c>
      <x:c r="D337" s="138" t="str">
        <x:v>2026-10-08</x:v>
      </x:c>
      <x:c r="E337" s="13" t="str">
        <x:v>Четверг</x:v>
      </x:c>
      <x:c r="F337" s="13" t="str">
        <x:v>Тренировка B — пальцы/проект</x:v>
      </x:c>
      <x:c r="G337" s="44" t="n">
        <x:v>0.011805555555555555</x:v>
      </x:c>
      <x:c r="H337" s="44" t="n">
        <x:v>0.014583333333333334</x:v>
      </x:c>
      <x:c r="I337" s="32" t="n">
        <x:f>ROUND((H337-G337)*1440,0)</x:f>
        <x:v>4</x:v>
      </x:c>
      <x:c r="J337" s="13" t="str">
        <x:v>Разминочное лазание</x:v>
      </x:c>
      <x:c r="K337" s="13" t="str">
        <x:v>Пройди 2 очень лёгкие трассы уровня 1–2; двигайся медленно, спускайся по зацепам.</x:v>
      </x:c>
      <x:c r="L337" s="13" t="str">
        <x:v>☐ Не начато</x:v>
      </x:c>
      <x:c r="M337" s="13" t="str">
        <x:v>Обязательно</x:v>
      </x:c>
      <x:c r="N337" s="13" t="str">
        <x:v>RPE 2–3</x:v>
      </x:c>
      <x:c r="O337" s="13" t="str">
        <x:v>Финиш с обязательным болезненным mantle/press пропусти.</x:v>
      </x:c>
      <x:c r="P337" s="13" t="str">
        <x:v>milestone_02_footwork_body_position/week_05_2026-10-05/04_THURSDAY.md</x:v>
      </x:c>
      <x:c r="Q337" s="138" t="str">
        <x:v>Markdown</x:v>
      </x:c>
      <x:c r="R337" s="20" t="str"/>
    </x:row>
    <x:row r="338" ht="36" customHeight="1">
      <x:c r="A338" s="19" t="str">
        <x:v>W05-20261008-0337</x:v>
      </x:c>
      <x:c r="B338" s="13" t="n">
        <x:v>5</x:v>
      </x:c>
      <x:c r="C338" s="13" t="str">
        <x:v>Этап 2 — Ноги и положение корпуса</x:v>
      </x:c>
      <x:c r="D338" s="138" t="str">
        <x:v>2026-10-08</x:v>
      </x:c>
      <x:c r="E338" s="13" t="str">
        <x:v>Четверг</x:v>
      </x:c>
      <x:c r="F338" s="13" t="str">
        <x:v>Тренировка B — пальцы/проект</x:v>
      </x:c>
      <x:c r="G338" s="44" t="n">
        <x:v>0.014583333333333334</x:v>
      </x:c>
      <x:c r="H338" s="44" t="n">
        <x:v>0.017361111111111112</x:v>
      </x:c>
      <x:c r="I338" s="32" t="n">
        <x:f>ROUND((H338-G338)*1440,0)</x:f>
        <x:v>4</x:v>
      </x:c>
      <x:c r="J338" s="13" t="str">
        <x:v>Разминочное лазание</x:v>
      </x:c>
      <x:c r="K338" s="13" t="str">
        <x:v>Пройди 2 трассы уровня 2–3, затем сделай 2–3 движения на комфортной четвёрке. Между ними 45–60 секунд.</x:v>
      </x:c>
      <x:c r="L338" s="13" t="str">
        <x:v>☐ Не начато</x:v>
      </x:c>
      <x:c r="M338" s="13" t="str">
        <x:v>Обязательно</x:v>
      </x:c>
      <x:c r="N338" s="13" t="str">
        <x:v>RPE 3–4</x:v>
      </x:c>
      <x:c r="O338" s="13" t="str">
        <x:v>Разминка не должна утомить пальцы.</x:v>
      </x:c>
      <x:c r="P338" s="13" t="str">
        <x:v>milestone_02_footwork_body_position/week_05_2026-10-05/04_THURSDAY.md</x:v>
      </x:c>
      <x:c r="Q338" s="138" t="str">
        <x:v>Markdown</x:v>
      </x:c>
      <x:c r="R338" s="20" t="str"/>
    </x:row>
    <x:row r="339" ht="36" customHeight="1">
      <x:c r="A339" s="19" t="str">
        <x:v>W05-20261008-0338</x:v>
      </x:c>
      <x:c r="B339" s="13" t="n">
        <x:v>5</x:v>
      </x:c>
      <x:c r="C339" s="13" t="str">
        <x:v>Этап 2 — Ноги и положение корпуса</x:v>
      </x:c>
      <x:c r="D339" s="138" t="str">
        <x:v>2026-10-08</x:v>
      </x:c>
      <x:c r="E339" s="13" t="str">
        <x:v>Четверг</x:v>
      </x:c>
      <x:c r="F339" s="13" t="str">
        <x:v>Тренировка B — пальцы/проект</x:v>
      </x:c>
      <x:c r="G339" s="44" t="n">
        <x:v>0.017361111111111112</x:v>
      </x:c>
      <x:c r="H339" s="44" t="n">
        <x:v>0.019444444444444445</x:v>
      </x:c>
      <x:c r="I339" s="32" t="n">
        <x:f>ROUND((H339-G339)*1440,0)</x:f>
        <x:v>3</x:v>
      </x:c>
      <x:c r="J339" s="13" t="str">
        <x:v>Фингерборд — готовность</x:v>
      </x:c>
      <x:c r="K339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339" s="13" t="str">
        <x:v>☐ Не начато</x:v>
      </x:c>
      <x:c r="M339" s="13" t="str">
        <x:v>Обязательно</x:v>
      </x:c>
      <x:c r="N339" s="13" t="str">
        <x:v>Подготовка</x:v>
      </x:c>
      <x:c r="O339" s="13" t="str">
        <x:v>Плечо полностью спокойно; full crimp, карманы, одна рука и допвес запрещены.</x:v>
      </x:c>
      <x:c r="P339" s="13" t="str">
        <x:v>milestone_02_footwork_body_position/week_05_2026-10-05/04_THURSDAY.md</x:v>
      </x:c>
      <x:c r="Q339" s="138" t="str">
        <x:v>Markdown</x:v>
      </x:c>
      <x:c r="R339" s="20" t="str"/>
    </x:row>
    <x:row r="340" ht="36" customHeight="1">
      <x:c r="A340" s="19" t="str">
        <x:v>W05-20261008-0339</x:v>
      </x:c>
      <x:c r="B340" s="13" t="n">
        <x:v>5</x:v>
      </x:c>
      <x:c r="C340" s="13" t="str">
        <x:v>Этап 2 — Ноги и положение корпуса</x:v>
      </x:c>
      <x:c r="D340" s="138" t="str">
        <x:v>2026-10-08</x:v>
      </x:c>
      <x:c r="E340" s="13" t="str">
        <x:v>Четверг</x:v>
      </x:c>
      <x:c r="F340" s="13" t="str">
        <x:v>Тренировка B — пальцы/проект</x:v>
      </x:c>
      <x:c r="G340" s="44" t="n">
        <x:v>0.019444444444444445</x:v>
      </x:c>
      <x:c r="H340" s="44" t="n">
        <x:v>0.029861111111111113</x:v>
      </x:c>
      <x:c r="I340" s="32" t="n">
        <x:f>ROUND((H340-G340)*1440,0)</x:f>
        <x:v>15</x:v>
      </x:c>
      <x:c r="J340" s="13" t="str">
        <x:v>Фингерборд</x:v>
      </x:c>
      <x:c r="K340" s="13" t="str">
        <x:v>Выполни протокол: 4 × 7 сек, большая кромка, ноги помогают, RPE 6, отдых 2:00. Запусти таймер. Каждый вис прекращай с указанным запасом; форма кисти не меняется.</x:v>
      </x:c>
      <x:c r="L340" s="13" t="str">
        <x:v>☐ Не начато</x:v>
      </x:c>
      <x:c r="M340" s="13" t="str">
        <x:v>Обязательно</x:v>
      </x:c>
      <x:c r="N340" s="13" t="str">
        <x:v>4 × 7 сек, большая кромка, ноги помогают, RPE 6, отдых 2:00</x:v>
      </x:c>
      <x:c r="O340" s="13" t="str">
        <x:v>Острая боль, дрожь формы, падение RPE-контроля или боль плеча = закончить блок.</x:v>
      </x:c>
      <x:c r="P340" s="13" t="str">
        <x:v>milestone_02_footwork_body_position/week_05_2026-10-05/04_THURSDAY.md</x:v>
      </x:c>
      <x:c r="Q340" s="138" t="str">
        <x:v>Markdown</x:v>
      </x:c>
      <x:c r="R340" s="20" t="str"/>
    </x:row>
    <x:row r="341" ht="36" customHeight="1">
      <x:c r="A341" s="19" t="str">
        <x:v>W05-20261008-0340</x:v>
      </x:c>
      <x:c r="B341" s="13" t="n">
        <x:v>5</x:v>
      </x:c>
      <x:c r="C341" s="13" t="str">
        <x:v>Этап 2 — Ноги и положение корпуса</x:v>
      </x:c>
      <x:c r="D341" s="138" t="str">
        <x:v>2026-10-08</x:v>
      </x:c>
      <x:c r="E341" s="13" t="str">
        <x:v>Четверг</x:v>
      </x:c>
      <x:c r="F341" s="13" t="str">
        <x:v>Тренировка B — пальцы/проект</x:v>
      </x:c>
      <x:c r="G341" s="44" t="n">
        <x:v>0.029861111111111113</x:v>
      </x:c>
      <x:c r="H341" s="44" t="n">
        <x:v>0.03194444444444444</x:v>
      </x:c>
      <x:c r="I341" s="32" t="n">
        <x:f>ROUND((H341-G341)*1440,0)</x:f>
        <x:v>3</x:v>
      </x:c>
      <x:c r="J341" s="13" t="str">
        <x:v>Фингерборд — запись</x:v>
      </x:c>
      <x:c r="K341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341" s="13" t="str">
        <x:v>☐ Не начато</x:v>
      </x:c>
      <x:c r="M341" s="13" t="str">
        <x:v>Обязательно</x:v>
      </x:c>
      <x:c r="N341" s="13" t="str">
        <x:v>Без нагрузки</x:v>
      </x:c>
      <x:c r="O341" s="13" t="str"/>
      <x:c r="P341" s="13" t="str">
        <x:v>milestone_02_footwork_body_position/week_05_2026-10-05/04_THURSDAY.md</x:v>
      </x:c>
      <x:c r="Q341" s="138" t="str">
        <x:v>Markdown</x:v>
      </x:c>
      <x:c r="R341" s="20" t="str"/>
    </x:row>
    <x:row r="342" ht="36" customHeight="1">
      <x:c r="A342" s="19" t="str">
        <x:v>W05-20261008-0341</x:v>
      </x:c>
      <x:c r="B342" s="13" t="n">
        <x:v>5</x:v>
      </x:c>
      <x:c r="C342" s="13" t="str">
        <x:v>Этап 2 — Ноги и положение корпуса</x:v>
      </x:c>
      <x:c r="D342" s="138" t="str">
        <x:v>2026-10-08</x:v>
      </x:c>
      <x:c r="E342" s="13" t="str">
        <x:v>Четверг</x:v>
      </x:c>
      <x:c r="F342" s="13" t="str">
        <x:v>Тренировка B — пальцы/проект</x:v>
      </x:c>
      <x:c r="G342" s="44" t="n">
        <x:v>0.03194444444444444</x:v>
      </x:c>
      <x:c r="H342" s="44" t="n">
        <x:v>0.035416666666666666</x:v>
      </x:c>
      <x:c r="I342" s="32" t="n">
        <x:f>ROUND((H342-G342)*1440,0)</x:f>
        <x:v>5</x:v>
      </x:c>
      <x:c r="J342" s="13" t="str">
        <x:v>Отдых</x:v>
      </x:c>
      <x:c r="K342" s="13" t="str">
        <x:v>5 минут полного отдыха: ходьба, вода, без лазания и без тестового виса.</x:v>
      </x:c>
      <x:c r="L342" s="13" t="str">
        <x:v>☐ Не начато</x:v>
      </x:c>
      <x:c r="M342" s="13" t="str">
        <x:v>Обязательно</x:v>
      </x:c>
      <x:c r="N342" s="13" t="str">
        <x:v>Восстановление</x:v>
      </x:c>
      <x:c r="O342" s="13" t="str"/>
      <x:c r="P342" s="13" t="str">
        <x:v>milestone_02_footwork_body_position/week_05_2026-10-05/04_THURSDAY.md</x:v>
      </x:c>
      <x:c r="Q342" s="138" t="str">
        <x:v>Markdown</x:v>
      </x:c>
      <x:c r="R342" s="20" t="str"/>
    </x:row>
    <x:row r="343" ht="36" customHeight="1">
      <x:c r="A343" s="19" t="str">
        <x:v>W05-20261008-0342</x:v>
      </x:c>
      <x:c r="B343" s="13" t="n">
        <x:v>5</x:v>
      </x:c>
      <x:c r="C343" s="13" t="str">
        <x:v>Этап 2 — Ноги и положение корпуса</x:v>
      </x:c>
      <x:c r="D343" s="138" t="str">
        <x:v>2026-10-08</x:v>
      </x:c>
      <x:c r="E343" s="13" t="str">
        <x:v>Четверг</x:v>
      </x:c>
      <x:c r="F343" s="13" t="str">
        <x:v>Тренировка B — пальцы/проект</x:v>
      </x:c>
      <x:c r="G343" s="44" t="n">
        <x:v>0.035416666666666666</x:v>
      </x:c>
      <x:c r="H343" s="44" t="n">
        <x:v>0.03819444444444445</x:v>
      </x:c>
      <x:c r="I343" s="32" t="n">
        <x:f>ROUND((H343-G343)*1440,0)</x:f>
        <x:v>4</x:v>
      </x:c>
      <x:c r="J343" s="13" t="str">
        <x:v>Выбор проекта</x:v>
      </x:c>
      <x:c r="K343" s="13" t="str">
        <x:v>Выбери трассу по критериям недели: Пятёрка, где зацеп следующей руки расположен сбоку; протестировать минимум две ориентации таза.</x:v>
      </x:c>
      <x:c r="L343" s="13" t="str">
        <x:v>☐ Не начато</x:v>
      </x:c>
      <x:c r="M343" s="13" t="str">
        <x:v>Обязательно</x:v>
      </x:c>
      <x:c r="N343" s="13" t="str">
        <x:v>Без нагрузки</x:v>
      </x:c>
      <x:c r="O343" s="13" t="str">
        <x:v>Плечо: разворот должен уменьшать тягу рукой, а не создавать болезненный широкий gaston.</x:v>
      </x:c>
      <x:c r="P343" s="13" t="str">
        <x:v>milestone_02_footwork_body_position/week_05_2026-10-05/04_THURSDAY.md</x:v>
      </x:c>
      <x:c r="Q343" s="138" t="str">
        <x:v>Markdown</x:v>
      </x:c>
      <x:c r="R343" s="20" t="str"/>
    </x:row>
    <x:row r="344" ht="36" customHeight="1">
      <x:c r="A344" s="19" t="str">
        <x:v>W05-20261008-0343</x:v>
      </x:c>
      <x:c r="B344" s="13" t="n">
        <x:v>5</x:v>
      </x:c>
      <x:c r="C344" s="13" t="str">
        <x:v>Этап 2 — Ноги и положение корпуса</x:v>
      </x:c>
      <x:c r="D344" s="138" t="str">
        <x:v>2026-10-08</x:v>
      </x:c>
      <x:c r="E344" s="13" t="str">
        <x:v>Четверг</x:v>
      </x:c>
      <x:c r="F344" s="13" t="str">
        <x:v>Тренировка B — пальцы/проект</x:v>
      </x:c>
      <x:c r="G344" s="44" t="n">
        <x:v>0.03819444444444445</x:v>
      </x:c>
      <x:c r="H344" s="44" t="n">
        <x:v>0.041666666666666664</x:v>
      </x:c>
      <x:c r="I344" s="32" t="n">
        <x:f>ROUND((H344-G344)*1440,0)</x:f>
        <x:v>5</x:v>
      </x:c>
      <x:c r="J344" s="13" t="str">
        <x:v>Проект — попытка 1</x:v>
      </x:c>
      <x:c r="K344" s="13" t="str">
        <x:v>Сделай первую полную диагностическую попытку. После падения не повторяй сразу: назови точную причину.</x:v>
      </x:c>
      <x:c r="L344" s="13" t="str">
        <x:v>☐ Не начато</x:v>
      </x:c>
      <x:c r="M344" s="13" t="str">
        <x:v>Обязательно</x:v>
      </x:c>
      <x:c r="N344" s="13" t="str">
        <x:v>RPE 7–8</x:v>
      </x:c>
      <x:c r="O344" s="13" t="str">
        <x:v>Прекратить движение при боли, а не после падения.</x:v>
      </x:c>
      <x:c r="P344" s="13" t="str">
        <x:v>milestone_02_footwork_body_position/week_05_2026-10-05/04_THURSDAY.md</x:v>
      </x:c>
      <x:c r="Q344" s="138" t="str">
        <x:v>Markdown</x:v>
      </x:c>
      <x:c r="R344" s="20" t="str"/>
    </x:row>
    <x:row r="345" ht="36" customHeight="1">
      <x:c r="A345" s="19" t="str">
        <x:v>W05-20261008-0344</x:v>
      </x:c>
      <x:c r="B345" s="13" t="n">
        <x:v>5</x:v>
      </x:c>
      <x:c r="C345" s="13" t="str">
        <x:v>Этап 2 — Ноги и положение корпуса</x:v>
      </x:c>
      <x:c r="D345" s="138" t="str">
        <x:v>2026-10-08</x:v>
      </x:c>
      <x:c r="E345" s="13" t="str">
        <x:v>Четверг</x:v>
      </x:c>
      <x:c r="F345" s="13" t="str">
        <x:v>Тренировка B — пальцы/проект</x:v>
      </x:c>
      <x:c r="G345" s="44" t="n">
        <x:v>0.041666666666666664</x:v>
      </x:c>
      <x:c r="H345" s="44" t="n">
        <x:v>0.04513888888888889</x:v>
      </x:c>
      <x:c r="I345" s="32" t="n">
        <x:f>ROUND((H345-G345)*1440,0)</x:f>
        <x:v>5</x:v>
      </x:c>
      <x:c r="J345" s="13" t="str">
        <x:v>Отдых / гипотеза</x:v>
      </x:c>
      <x:c r="K345" s="13" t="str">
        <x:v>Отдых 4–5 минут. Запиши одну гипотезу: стопа, положение таза, хват или темп.</x:v>
      </x:c>
      <x:c r="L345" s="13" t="str">
        <x:v>☐ Не начато</x:v>
      </x:c>
      <x:c r="M345" s="13" t="str">
        <x:v>Обязательно</x:v>
      </x:c>
      <x:c r="N345" s="13" t="str">
        <x:v>Восстановление</x:v>
      </x:c>
      <x:c r="O345" s="13" t="str"/>
      <x:c r="P345" s="13" t="str">
        <x:v>milestone_02_footwork_body_position/week_05_2026-10-05/04_THURSDAY.md</x:v>
      </x:c>
      <x:c r="Q345" s="138" t="str">
        <x:v>Markdown</x:v>
      </x:c>
      <x:c r="R345" s="20" t="str"/>
    </x:row>
    <x:row r="346" ht="36" customHeight="1">
      <x:c r="A346" s="19" t="str">
        <x:v>W05-20261008-0345</x:v>
      </x:c>
      <x:c r="B346" s="13" t="n">
        <x:v>5</x:v>
      </x:c>
      <x:c r="C346" s="13" t="str">
        <x:v>Этап 2 — Ноги и положение корпуса</x:v>
      </x:c>
      <x:c r="D346" s="138" t="str">
        <x:v>2026-10-08</x:v>
      </x:c>
      <x:c r="E346" s="13" t="str">
        <x:v>Четверг</x:v>
      </x:c>
      <x:c r="F346" s="13" t="str">
        <x:v>Тренировка B — пальцы/проект</x:v>
      </x:c>
      <x:c r="G346" s="44" t="n">
        <x:v>0.04513888888888889</x:v>
      </x:c>
      <x:c r="H346" s="44" t="n">
        <x:v>0.049305555555555554</x:v>
      </x:c>
      <x:c r="I346" s="32" t="n">
        <x:f>ROUND((H346-G346)*1440,0)</x:f>
        <x:v>6</x:v>
      </x:c>
      <x:c r="J346" s="13" t="str">
        <x:v>Проект — попытки 2–3</x:v>
      </x:c>
      <x:c r="K346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346" s="13" t="str">
        <x:v>☐ Не начато</x:v>
      </x:c>
      <x:c r="M346" s="13" t="str">
        <x:v>Обязательно</x:v>
      </x:c>
      <x:c r="N346" s="13" t="str">
        <x:v>RPE 7–8, без отказа</x:v>
      </x:c>
      <x:c r="O346" s="13" t="str">
        <x:v>Не смотреть beta заранее: сначала собственная гипотеза.</x:v>
      </x:c>
      <x:c r="P346" s="13" t="str">
        <x:v>milestone_02_footwork_body_position/week_05_2026-10-05/04_THURSDAY.md</x:v>
      </x:c>
      <x:c r="Q346" s="138" t="str">
        <x:v>Markdown</x:v>
      </x:c>
      <x:c r="R346" s="20" t="str"/>
    </x:row>
    <x:row r="347" ht="36" customHeight="1">
      <x:c r="A347" s="19" t="str">
        <x:v>W05-20261008-0346</x:v>
      </x:c>
      <x:c r="B347" s="13" t="n">
        <x:v>5</x:v>
      </x:c>
      <x:c r="C347" s="13" t="str">
        <x:v>Этап 2 — Ноги и положение корпуса</x:v>
      </x:c>
      <x:c r="D347" s="138" t="str">
        <x:v>2026-10-08</x:v>
      </x:c>
      <x:c r="E347" s="13" t="str">
        <x:v>Четверг</x:v>
      </x:c>
      <x:c r="F347" s="13" t="str">
        <x:v>Тренировка B — пальцы/проект</x:v>
      </x:c>
      <x:c r="G347" s="44" t="n">
        <x:v>0.049305555555555554</x:v>
      </x:c>
      <x:c r="H347" s="44" t="n">
        <x:v>0.05277777777777778</x:v>
      </x:c>
      <x:c r="I347" s="32" t="n">
        <x:f>ROUND((H347-G347)*1440,0)</x:f>
        <x:v>5</x:v>
      </x:c>
      <x:c r="J347" s="13" t="str">
        <x:v>Проект — заключительная попытка</x:v>
      </x:c>
      <x:c r="K347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347" s="13" t="str">
        <x:v>☐ Не начато</x:v>
      </x:c>
      <x:c r="M347" s="13" t="str">
        <x:v>Обязательно</x:v>
      </x:c>
      <x:c r="N347" s="13" t="str">
        <x:v>RPE 8, с запасом</x:v>
      </x:c>
      <x:c r="O347" s="13" t="str">
        <x:v>Плечо: разворот должен уменьшать тягу рукой, а не создавать болезненный широкий gaston.</x:v>
      </x:c>
      <x:c r="P347" s="13" t="str">
        <x:v>milestone_02_footwork_body_position/week_05_2026-10-05/04_THURSDAY.md</x:v>
      </x:c>
      <x:c r="Q347" s="138" t="str">
        <x:v>Markdown</x:v>
      </x:c>
      <x:c r="R347" s="20" t="str"/>
    </x:row>
    <x:row r="348" ht="36" customHeight="1">
      <x:c r="A348" s="19" t="str">
        <x:v>W05-20261008-0347</x:v>
      </x:c>
      <x:c r="B348" s="13" t="n">
        <x:v>5</x:v>
      </x:c>
      <x:c r="C348" s="13" t="str">
        <x:v>Этап 2 — Ноги и положение корпуса</x:v>
      </x:c>
      <x:c r="D348" s="138" t="str">
        <x:v>2026-10-08</x:v>
      </x:c>
      <x:c r="E348" s="13" t="str">
        <x:v>Четверг</x:v>
      </x:c>
      <x:c r="F348" s="13" t="str">
        <x:v>Тренировка B — пальцы/проект</x:v>
      </x:c>
      <x:c r="G348" s="44" t="n">
        <x:v>0.05277777777777778</x:v>
      </x:c>
      <x:c r="H348" s="44" t="n">
        <x:v>0.05763888888888889</x:v>
      </x:c>
      <x:c r="I348" s="32" t="n">
        <x:f>ROUND((H348-G348)*1440,0)</x:f>
        <x:v>7</x:v>
      </x:c>
      <x:c r="J348" s="13" t="str">
        <x:v>Вторичная трасса</x:v>
      </x:c>
      <x:c r="K348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348" s="13" t="str">
        <x:v>☐ Не начато</x:v>
      </x:c>
      <x:c r="M348" s="13" t="str">
        <x:v>Обязательно</x:v>
      </x:c>
      <x:c r="N348" s="13" t="str">
        <x:v>RPE 5–7</x:v>
      </x:c>
      <x:c r="O348" s="13" t="str">
        <x:v>Пропустить, если хват уже просел.</x:v>
      </x:c>
      <x:c r="P348" s="13" t="str">
        <x:v>milestone_02_footwork_body_position/week_05_2026-10-05/04_THURSDAY.md</x:v>
      </x:c>
      <x:c r="Q348" s="138" t="str">
        <x:v>Markdown</x:v>
      </x:c>
      <x:c r="R348" s="20" t="str"/>
    </x:row>
    <x:row r="349" ht="36" customHeight="1">
      <x:c r="A349" s="19" t="str">
        <x:v>W05-20261008-0348</x:v>
      </x:c>
      <x:c r="B349" s="13" t="n">
        <x:v>5</x:v>
      </x:c>
      <x:c r="C349" s="13" t="str">
        <x:v>Этап 2 — Ноги и положение корпуса</x:v>
      </x:c>
      <x:c r="D349" s="138" t="str">
        <x:v>2026-10-08</x:v>
      </x:c>
      <x:c r="E349" s="13" t="str">
        <x:v>Четверг</x:v>
      </x:c>
      <x:c r="F349" s="13" t="str">
        <x:v>Тренировка B — пальцы/проект</x:v>
      </x:c>
      <x:c r="G349" s="44" t="n">
        <x:v>0.05763888888888889</x:v>
      </x:c>
      <x:c r="H349" s="44" t="n">
        <x:v>0.06041666666666667</x:v>
      </x:c>
      <x:c r="I349" s="32" t="n">
        <x:f>ROUND((H349-G349)*1440,0)</x:f>
        <x:v>4</x:v>
      </x:c>
      <x:c r="J349" s="13" t="str">
        <x:v>Завершение</x:v>
      </x:c>
      <x:c r="K349" s="13" t="str">
        <x:v>Очень лёгкий спуск/ходьба, вода, никаких финишных висов.</x:v>
      </x:c>
      <x:c r="L349" s="13" t="str">
        <x:v>☐ Не начато</x:v>
      </x:c>
      <x:c r="M349" s="13" t="str">
        <x:v>Обязательно</x:v>
      </x:c>
      <x:c r="N349" s="13" t="str">
        <x:v>RPE 1–2</x:v>
      </x:c>
      <x:c r="O349" s="13" t="str"/>
      <x:c r="P349" s="13" t="str">
        <x:v>milestone_02_footwork_body_position/week_05_2026-10-05/04_THURSDAY.md</x:v>
      </x:c>
      <x:c r="Q349" s="138" t="str">
        <x:v>Markdown</x:v>
      </x:c>
      <x:c r="R349" s="20" t="str"/>
    </x:row>
    <x:row r="350" ht="36" customHeight="1">
      <x:c r="A350" s="19" t="str">
        <x:v>W05-20261008-0349</x:v>
      </x:c>
      <x:c r="B350" s="13" t="n">
        <x:v>5</x:v>
      </x:c>
      <x:c r="C350" s="13" t="str">
        <x:v>Этап 2 — Ноги и положение корпуса</x:v>
      </x:c>
      <x:c r="D350" s="138" t="str">
        <x:v>2026-10-08</x:v>
      </x:c>
      <x:c r="E350" s="13" t="str">
        <x:v>Четверг</x:v>
      </x:c>
      <x:c r="F350" s="13" t="str">
        <x:v>Тренировка B — пальцы/проект</x:v>
      </x:c>
      <x:c r="G350" s="44" t="n">
        <x:v>0.06041666666666667</x:v>
      </x:c>
      <x:c r="H350" s="44" t="n">
        <x:v>0.0625</x:v>
      </x:c>
      <x:c r="I350" s="32" t="n">
        <x:f>ROUND((H350-G350)*1440,0)</x:f>
        <x:v>3</x:v>
      </x:c>
      <x:c r="J350" s="13" t="str">
        <x:v>Журнал</x:v>
      </x:c>
      <x:c r="K350" s="13" t="str">
        <x:v>Запиши попытки, лучшую связку, одну правку и benchmark: На видео увидеть хотя бы 3 движения, где разворот бедра делает руку прямее.</x:v>
      </x:c>
      <x:c r="L350" s="13" t="str">
        <x:v>☐ Не начато</x:v>
      </x:c>
      <x:c r="M350" s="13" t="str">
        <x:v>Обязательно</x:v>
      </x:c>
      <x:c r="N350" s="13" t="str">
        <x:v>Без нагрузки</x:v>
      </x:c>
      <x:c r="O350" s="13" t="str"/>
      <x:c r="P350" s="13" t="str">
        <x:v>milestone_02_footwork_body_position/week_05_2026-10-05/04_THURSDAY.md</x:v>
      </x:c>
      <x:c r="Q350" s="138" t="str">
        <x:v>Markdown</x:v>
      </x:c>
      <x:c r="R350" s="20" t="str"/>
    </x:row>
    <x:row r="351" ht="36" customHeight="1">
      <x:c r="A351" s="19" t="str">
        <x:v>W05-20261009-0350</x:v>
      </x:c>
      <x:c r="B351" s="13" t="n">
        <x:v>5</x:v>
      </x:c>
      <x:c r="C351" s="13" t="str">
        <x:v>Этап 2 — Ноги и положение корпуса</x:v>
      </x:c>
      <x:c r="D351" s="138" t="str">
        <x:v>2026-10-09</x:v>
      </x:c>
      <x:c r="E351" s="13" t="str">
        <x:v>Пятница</x:v>
      </x:c>
      <x:c r="F351" s="13" t="str">
        <x:v>Дом / теория</x:v>
      </x:c>
      <x:c r="G351" s="44" t="n">
        <x:v>0</x:v>
      </x:c>
      <x:c r="H351" s="44" t="n">
        <x:v>0.0020833333333333333</x:v>
      </x:c>
      <x:c r="I351" s="32" t="n">
        <x:f>ROUND((H351-G351)*1440,0)</x:f>
        <x:v>3</x:v>
      </x:c>
      <x:c r="J351" s="13" t="str">
        <x:v>Самопроверка</x:v>
      </x:c>
      <x:c r="K351" s="13" t="str">
        <x:v>Оцени утреннюю реакцию после четверга: пальцы/плечо/колено 0–10. Запиши, восстановилась ли обычная сила кисти.</x:v>
      </x:c>
      <x:c r="L351" s="13" t="str">
        <x:v>☐ Не начато</x:v>
      </x:c>
      <x:c r="M351" s="13" t="str">
        <x:v>Обязательно</x:v>
      </x:c>
      <x:c r="N351" s="13" t="str">
        <x:v>Без нагрузки</x:v>
      </x:c>
      <x:c r="O351" s="13" t="str">
        <x:v>Острая локальная боль пальца или усилившаяся боль плеча = воскресенье только восстановительное.</x:v>
      </x:c>
      <x:c r="P351" s="13" t="str">
        <x:v>milestone_02_footwork_body_position/week_05_2026-10-05/05_FRIDAY.md</x:v>
      </x:c>
      <x:c r="Q351" s="138" t="str">
        <x:v>Markdown</x:v>
      </x:c>
      <x:c r="R351" s="20" t="str"/>
    </x:row>
    <x:row r="352" ht="36" customHeight="1">
      <x:c r="A352" s="19" t="str">
        <x:v>W05-20261009-0351</x:v>
      </x:c>
      <x:c r="B352" s="13" t="n">
        <x:v>5</x:v>
      </x:c>
      <x:c r="C352" s="13" t="str">
        <x:v>Этап 2 — Ноги и положение корпуса</x:v>
      </x:c>
      <x:c r="D352" s="138" t="str">
        <x:v>2026-10-09</x:v>
      </x:c>
      <x:c r="E352" s="13" t="str">
        <x:v>Пятница</x:v>
      </x:c>
      <x:c r="F352" s="13" t="str">
        <x:v>Дом / теория</x:v>
      </x:c>
      <x:c r="G352" s="44" t="n">
        <x:v>0.0020833333333333333</x:v>
      </x:c>
      <x:c r="H352" s="44" t="n">
        <x:v>0.007638888888888889</x:v>
      </x:c>
      <x:c r="I352" s="32" t="n">
        <x:f>ROUND((H352-G352)*1440,0)</x:f>
        <x:v>8</x:v>
      </x:c>
      <x:c r="J352" s="13" t="str">
        <x:v>Теория</x:v>
      </x:c>
      <x:c r="K352" s="13" t="str">
        <x:v>Пересмотри ключевой фрагмент ресурса недели: [R06: BMC — Twisting: one- and two-footed](https://thebmc.co.uk/en/twisting-one-and-two-footed-video). Задача: Разворот бедра, внешнее ребро стопы, экономия тяги руками.</x:v>
      </x:c>
      <x:c r="L352" s="13" t="str">
        <x:v>☐ Не начато</x:v>
      </x:c>
      <x:c r="M352" s="13" t="str">
        <x:v>Обязательно</x:v>
      </x:c>
      <x:c r="N352" s="13" t="str">
        <x:v>Без нагрузки</x:v>
      </x:c>
      <x:c r="O352" s="13" t="str"/>
      <x:c r="P352" s="13" t="str">
        <x:v>milestone_02_footwork_body_position/week_05_2026-10-05/05_FRIDAY.md</x:v>
      </x:c>
      <x:c r="Q352" s="138" t="str">
        <x:v>Markdown</x:v>
      </x:c>
      <x:c r="R352" s="20" t="str"/>
    </x:row>
    <x:row r="353" ht="36" customHeight="1">
      <x:c r="A353" s="19" t="str">
        <x:v>W05-20261009-0352</x:v>
      </x:c>
      <x:c r="B353" s="13" t="n">
        <x:v>5</x:v>
      </x:c>
      <x:c r="C353" s="13" t="str">
        <x:v>Этап 2 — Ноги и положение корпуса</x:v>
      </x:c>
      <x:c r="D353" s="138" t="str">
        <x:v>2026-10-09</x:v>
      </x:c>
      <x:c r="E353" s="13" t="str">
        <x:v>Пятница</x:v>
      </x:c>
      <x:c r="F353" s="13" t="str">
        <x:v>Дом / теория</x:v>
      </x:c>
      <x:c r="G353" s="44" t="n">
        <x:v>0.007638888888888889</x:v>
      </x:c>
      <x:c r="H353" s="44" t="n">
        <x:v>0.011805555555555555</x:v>
      </x:c>
      <x:c r="I353" s="32" t="n">
        <x:f>ROUND((H353-G353)*1440,0)</x:f>
        <x:v>6</x:v>
      </x:c>
      <x:c r="J353" s="13" t="str">
        <x:v>Ментальная репетиция</x:v>
      </x:c>
      <x:c r="K353" s="13" t="str">
        <x:v>Закрой глаза и 3 раза мысленно пройди одну рабочую трассу: руки → ноги → положение таза → дыхание. Визуализируй cue «Разверни бедро к стене и загрузи внешнее ребро стопы, чтобы дотянуться без лишней тяги.».</x:v>
      </x:c>
      <x:c r="L353" s="13" t="str">
        <x:v>☐ Не начато</x:v>
      </x:c>
      <x:c r="M353" s="13" t="str">
        <x:v>Обязательно</x:v>
      </x:c>
      <x:c r="N353" s="13" t="str">
        <x:v>Без нагрузки</x:v>
      </x:c>
      <x:c r="O353" s="13" t="str"/>
      <x:c r="P353" s="13" t="str">
        <x:v>milestone_02_footwork_body_position/week_05_2026-10-05/05_FRIDAY.md</x:v>
      </x:c>
      <x:c r="Q353" s="138" t="str">
        <x:v>Markdown</x:v>
      </x:c>
      <x:c r="R353" s="20" t="str"/>
    </x:row>
    <x:row r="354" ht="36" customHeight="1">
      <x:c r="A354" s="19" t="str">
        <x:v>W05-20261009-0353</x:v>
      </x:c>
      <x:c r="B354" s="13" t="n">
        <x:v>5</x:v>
      </x:c>
      <x:c r="C354" s="13" t="str">
        <x:v>Этап 2 — Ноги и положение корпуса</x:v>
      </x:c>
      <x:c r="D354" s="138" t="str">
        <x:v>2026-10-09</x:v>
      </x:c>
      <x:c r="E354" s="13" t="str">
        <x:v>Пятница</x:v>
      </x:c>
      <x:c r="F354" s="13" t="str">
        <x:v>Дом / теория</x:v>
      </x:c>
      <x:c r="G354" s="44" t="n">
        <x:v>0.011805555555555555</x:v>
      </x:c>
      <x:c r="H354" s="44" t="n">
        <x:v>0.02013888888888889</x:v>
      </x:c>
      <x:c r="I354" s="32" t="n">
        <x:f>ROUND((H354-G354)*1440,0)</x:f>
        <x:v>12</x:v>
      </x:c>
      <x:c r="J354" s="13" t="str">
        <x:v>Домашняя мобильность</x:v>
      </x:c>
      <x:c r="K354" s="13" t="str">
        <x:v>Выполни H3 «Мобильность таза и контроль корпуса» — 12 минут.</x:v>
      </x:c>
      <x:c r="L354" s="13" t="str">
        <x:v>☐ Не начато</x:v>
      </x:c>
      <x:c r="M354" s="13" t="str">
        <x:v>Обязательно</x:v>
      </x:c>
      <x:c r="N354" s="13" t="str">
        <x:v>RPE 2–3</x:v>
      </x:c>
      <x:c r="O354" s="13" t="str">
        <x:v>Никаких скручиваний через боль. Плечом не отталкивайся от стены; касание только для равновесия.</x:v>
      </x:c>
      <x:c r="P354" s="13" t="str">
        <x:v>milestone_02_footwork_body_position/week_05_2026-10-05/05_FRIDAY.md</x:v>
      </x:c>
      <x:c r="Q354" s="138" t="str">
        <x:v>Markdown</x:v>
      </x:c>
      <x:c r="R354" s="20" t="str"/>
    </x:row>
    <x:row r="355" ht="36" customHeight="1">
      <x:c r="A355" s="19" t="str">
        <x:v>W05-20261009-0354</x:v>
      </x:c>
      <x:c r="B355" s="13" t="n">
        <x:v>5</x:v>
      </x:c>
      <x:c r="C355" s="13" t="str">
        <x:v>Этап 2 — Ноги и положение корпуса</x:v>
      </x:c>
      <x:c r="D355" s="138" t="str">
        <x:v>2026-10-09</x:v>
      </x:c>
      <x:c r="E355" s="13" t="str">
        <x:v>Пятница</x:v>
      </x:c>
      <x:c r="F355" s="13" t="str">
        <x:v>Дом / теория</x:v>
      </x:c>
      <x:c r="G355" s="44" t="n">
        <x:v>0.02013888888888889</x:v>
      </x:c>
      <x:c r="H355" s="44" t="n">
        <x:v>0.034027777777777775</x:v>
      </x:c>
      <x:c r="I355" s="32" t="n">
        <x:f>ROUND((H355-G355)*1440,0)</x:f>
        <x:v>20</x:v>
      </x:c>
      <x:c r="J355" s="13" t="str">
        <x:v>Физиотерапия</x:v>
      </x:c>
      <x:c r="K355" s="13" t="str">
        <x:v>Выполни свой назначенный комплекс, если пятница входит в расписание физиотерапевта.</x:v>
      </x:c>
      <x:c r="L355" s="13" t="str">
        <x:v>☐ Не начато</x:v>
      </x:c>
      <x:c r="M355" s="13" t="str">
        <x:v>По назначению</x:v>
      </x:c>
      <x:c r="N355" s="13" t="str">
        <x:v>По назначению</x:v>
      </x:c>
      <x:c r="O355" s="13" t="str">
        <x:v>Не добавляй упражнения из интернета поверх назначений.</x:v>
      </x:c>
      <x:c r="P355" s="13" t="str">
        <x:v>milestone_02_footwork_body_position/week_05_2026-10-05/05_FRIDAY.md</x:v>
      </x:c>
      <x:c r="Q355" s="138" t="str">
        <x:v>Markdown</x:v>
      </x:c>
      <x:c r="R355" s="20" t="str"/>
    </x:row>
    <x:row r="356" ht="36" customHeight="1">
      <x:c r="A356" s="19" t="str">
        <x:v>W05-20261009-0355</x:v>
      </x:c>
      <x:c r="B356" s="13" t="n">
        <x:v>5</x:v>
      </x:c>
      <x:c r="C356" s="13" t="str">
        <x:v>Этап 2 — Ноги и положение корпуса</x:v>
      </x:c>
      <x:c r="D356" s="138" t="str">
        <x:v>2026-10-09</x:v>
      </x:c>
      <x:c r="E356" s="13" t="str">
        <x:v>Пятница</x:v>
      </x:c>
      <x:c r="F356" s="13" t="str">
        <x:v>Дом / теория</x:v>
      </x:c>
      <x:c r="G356" s="44" t="n">
        <x:v>0.034027777777777775</x:v>
      </x:c>
      <x:c r="H356" s="44" t="n">
        <x:v>0.03680555555555556</x:v>
      </x:c>
      <x:c r="I356" s="32" t="n">
        <x:f>ROUND((H356-G356)*1440,0)</x:f>
        <x:v>4</x:v>
      </x:c>
      <x:c r="J356" s="13" t="str">
        <x:v>Журнал</x:v>
      </x:c>
      <x:c r="K356" s="13" t="str">
        <x:v>Запиши одну вещь, которая сработала на этой неделе, и одну, которую повторишь в воскресенье на лёгкой трассе.</x:v>
      </x:c>
      <x:c r="L356" s="13" t="str">
        <x:v>☐ Не начато</x:v>
      </x:c>
      <x:c r="M356" s="13" t="str">
        <x:v>Обязательно</x:v>
      </x:c>
      <x:c r="N356" s="13" t="str">
        <x:v>Без нагрузки</x:v>
      </x:c>
      <x:c r="O356" s="13" t="str"/>
      <x:c r="P356" s="13" t="str">
        <x:v>milestone_02_footwork_body_position/week_05_2026-10-05/05_FRIDAY.md</x:v>
      </x:c>
      <x:c r="Q356" s="138" t="str">
        <x:v>Markdown</x:v>
      </x:c>
      <x:c r="R356" s="20" t="str"/>
    </x:row>
    <x:row r="357" ht="36" customHeight="1">
      <x:c r="A357" s="19" t="str">
        <x:v>W05-20261009-0356</x:v>
      </x:c>
      <x:c r="B357" s="13" t="n">
        <x:v>5</x:v>
      </x:c>
      <x:c r="C357" s="13" t="str">
        <x:v>Этап 2 — Ноги и положение корпуса</x:v>
      </x:c>
      <x:c r="D357" s="138" t="str">
        <x:v>2026-10-09</x:v>
      </x:c>
      <x:c r="E357" s="13" t="str">
        <x:v>Пятница</x:v>
      </x:c>
      <x:c r="F357" s="13" t="str">
        <x:v>Дом / теория</x:v>
      </x:c>
      <x:c r="G357" s="44" t="n">
        <x:v>0.03680555555555556</x:v>
      </x:c>
      <x:c r="H357" s="44" t="n">
        <x:v>0.03888888888888889</x:v>
      </x:c>
      <x:c r="I357" s="32" t="n">
        <x:f>ROUND((H357-G357)*1440,0)</x:f>
        <x:v>3</x:v>
      </x:c>
      <x:c r="J357" s="13" t="str">
        <x:v>Запрет лишней нагрузки</x:v>
      </x:c>
      <x:c r="K357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357" s="13" t="str">
        <x:v>☐ Не начато</x:v>
      </x:c>
      <x:c r="M357" s="13" t="str">
        <x:v>Обязательно</x:v>
      </x:c>
      <x:c r="N357" s="13" t="str">
        <x:v>Восстановление</x:v>
      </x:c>
      <x:c r="O357" s="13" t="str">
        <x:v>Общая пальцевая нагрузка уже получена в четверг.</x:v>
      </x:c>
      <x:c r="P357" s="13" t="str">
        <x:v>milestone_02_footwork_body_position/week_05_2026-10-05/05_FRIDAY.md</x:v>
      </x:c>
      <x:c r="Q357" s="138" t="str">
        <x:v>Markdown</x:v>
      </x:c>
      <x:c r="R357" s="20" t="str"/>
    </x:row>
    <x:row r="358" ht="36" customHeight="1">
      <x:c r="A358" s="19" t="str">
        <x:v>W05-20261010-0357</x:v>
      </x:c>
      <x:c r="B358" s="13" t="n">
        <x:v>5</x:v>
      </x:c>
      <x:c r="C358" s="13" t="str">
        <x:v>Этап 2 — Ноги и положение корпуса</x:v>
      </x:c>
      <x:c r="D358" s="138" t="str">
        <x:v>2026-10-10</x:v>
      </x:c>
      <x:c r="E358" s="13" t="str">
        <x:v>Суббота</x:v>
      </x:c>
      <x:c r="F358" s="13" t="str">
        <x:v>Отдых / подготовка</x:v>
      </x:c>
      <x:c r="G358" s="44" t="n">
        <x:v>0</x:v>
      </x:c>
      <x:c r="H358" s="44" t="n">
        <x:v>0.003472222222222222</x:v>
      </x:c>
      <x:c r="I358" s="32" t="n">
        <x:f>ROUND((H358-G358)*1440,0)</x:f>
        <x:v>5</x:v>
      </x:c>
      <x:c r="J358" s="13" t="str">
        <x:v>Самопроверка</x:v>
      </x:c>
      <x:c r="K358" s="13" t="str">
        <x:v>Проверь кожу пальцев, ногти, плечо и колено. Никаких тестовых висов.</x:v>
      </x:c>
      <x:c r="L358" s="13" t="str">
        <x:v>☐ Не начато</x:v>
      </x:c>
      <x:c r="M358" s="13" t="str">
        <x:v>Обязательно</x:v>
      </x:c>
      <x:c r="N358" s="13" t="str">
        <x:v>Восстановление</x:v>
      </x:c>
      <x:c r="O358" s="13" t="str"/>
      <x:c r="P358" s="13" t="str">
        <x:v>milestone_02_footwork_body_position/week_05_2026-10-05/06_SATURDAY.md</x:v>
      </x:c>
      <x:c r="Q358" s="138" t="str">
        <x:v>Markdown</x:v>
      </x:c>
      <x:c r="R358" s="20" t="str"/>
    </x:row>
    <x:row r="359" ht="36" customHeight="1">
      <x:c r="A359" s="19" t="str">
        <x:v>W05-20261010-0358</x:v>
      </x:c>
      <x:c r="B359" s="13" t="n">
        <x:v>5</x:v>
      </x:c>
      <x:c r="C359" s="13" t="str">
        <x:v>Этап 2 — Ноги и положение корпуса</x:v>
      </x:c>
      <x:c r="D359" s="138" t="str">
        <x:v>2026-10-10</x:v>
      </x:c>
      <x:c r="E359" s="13" t="str">
        <x:v>Суббота</x:v>
      </x:c>
      <x:c r="F359" s="13" t="str">
        <x:v>Отдых / подготовка</x:v>
      </x:c>
      <x:c r="G359" s="44" t="n">
        <x:v>0.003472222222222222</x:v>
      </x:c>
      <x:c r="H359" s="44" t="n">
        <x:v>0.010416666666666666</x:v>
      </x:c>
      <x:c r="I359" s="32" t="n">
        <x:f>ROUND((H359-G359)*1440,0)</x:f>
        <x:v>10</x:v>
      </x:c>
      <x:c r="J359" s="13" t="str">
        <x:v>Активное восстановление</x:v>
      </x:c>
      <x:c r="K359" s="13" t="str">
        <x:v>10 минут лёгкой прогулки или бытовой активности. Цель — восстановление, не тренировка.</x:v>
      </x:c>
      <x:c r="L359" s="13" t="str">
        <x:v>☐ Не начато</x:v>
      </x:c>
      <x:c r="M359" s="13" t="str">
        <x:v>Обязательно</x:v>
      </x:c>
      <x:c r="N359" s="13" t="str">
        <x:v>RPE 1–2</x:v>
      </x:c>
      <x:c r="O359" s="13" t="str"/>
      <x:c r="P359" s="13" t="str">
        <x:v>milestone_02_footwork_body_position/week_05_2026-10-05/06_SATURDAY.md</x:v>
      </x:c>
      <x:c r="Q359" s="138" t="str">
        <x:v>Markdown</x:v>
      </x:c>
      <x:c r="R359" s="20" t="str"/>
    </x:row>
    <x:row r="360" ht="36" customHeight="1">
      <x:c r="A360" s="19" t="str">
        <x:v>W05-20261010-0359</x:v>
      </x:c>
      <x:c r="B360" s="13" t="n">
        <x:v>5</x:v>
      </x:c>
      <x:c r="C360" s="13" t="str">
        <x:v>Этап 2 — Ноги и положение корпуса</x:v>
      </x:c>
      <x:c r="D360" s="138" t="str">
        <x:v>2026-10-10</x:v>
      </x:c>
      <x:c r="E360" s="13" t="str">
        <x:v>Суббота</x:v>
      </x:c>
      <x:c r="F360" s="13" t="str">
        <x:v>Отдых / подготовка</x:v>
      </x:c>
      <x:c r="G360" s="44" t="n">
        <x:v>0.010416666666666666</x:v>
      </x:c>
      <x:c r="H360" s="44" t="n">
        <x:v>0.013888888888888888</x:v>
      </x:c>
      <x:c r="I360" s="32" t="n">
        <x:f>ROUND((H360-G360)*1440,0)</x:f>
        <x:v>5</x:v>
      </x:c>
      <x:c r="J360" s="13" t="str">
        <x:v>Уход за кожей</x:v>
      </x:c>
      <x:c r="K360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360" s="13" t="str">
        <x:v>☐ Не начато</x:v>
      </x:c>
      <x:c r="M360" s="13" t="str">
        <x:v>Опционально</x:v>
      </x:c>
      <x:c r="N360" s="13" t="str">
        <x:v>Без нагрузки</x:v>
      </x:c>
      <x:c r="O360" s="13" t="str">
        <x:v>Повреждённую/болезненную кожу не шлифовать.</x:v>
      </x:c>
      <x:c r="P360" s="13" t="str">
        <x:v>milestone_02_footwork_body_position/week_05_2026-10-05/06_SATURDAY.md</x:v>
      </x:c>
      <x:c r="Q360" s="138" t="str">
        <x:v>Markdown</x:v>
      </x:c>
      <x:c r="R360" s="20" t="str"/>
    </x:row>
    <x:row r="361" ht="36" customHeight="1">
      <x:c r="A361" s="19" t="str">
        <x:v>W05-20261010-0360</x:v>
      </x:c>
      <x:c r="B361" s="13" t="n">
        <x:v>5</x:v>
      </x:c>
      <x:c r="C361" s="13" t="str">
        <x:v>Этап 2 — Ноги и положение корпуса</x:v>
      </x:c>
      <x:c r="D361" s="138" t="str">
        <x:v>2026-10-10</x:v>
      </x:c>
      <x:c r="E361" s="13" t="str">
        <x:v>Суббота</x:v>
      </x:c>
      <x:c r="F361" s="13" t="str">
        <x:v>Отдых / подготовка</x:v>
      </x:c>
      <x:c r="G361" s="44" t="n">
        <x:v>0.013888888888888888</x:v>
      </x:c>
      <x:c r="H361" s="44" t="n">
        <x:v>0.016666666666666666</x:v>
      </x:c>
      <x:c r="I361" s="32" t="n">
        <x:f>ROUND((H361-G361)*1440,0)</x:f>
        <x:v>4</x:v>
      </x:c>
      <x:c r="J361" s="13" t="str">
        <x:v>Подготовка</x:v>
      </x:c>
      <x:c r="K361" s="13" t="str">
        <x:v>Заряди телефон, освободи память для одного видео, положи щётку и магнезию.</x:v>
      </x:c>
      <x:c r="L361" s="13" t="str">
        <x:v>☐ Не начато</x:v>
      </x:c>
      <x:c r="M361" s="13" t="str">
        <x:v>Обязательно</x:v>
      </x:c>
      <x:c r="N361" s="13" t="str">
        <x:v>Без нагрузки</x:v>
      </x:c>
      <x:c r="O361" s="13" t="str"/>
      <x:c r="P361" s="13" t="str">
        <x:v>milestone_02_footwork_body_position/week_05_2026-10-05/06_SATURDAY.md</x:v>
      </x:c>
      <x:c r="Q361" s="138" t="str">
        <x:v>Markdown</x:v>
      </x:c>
      <x:c r="R361" s="20" t="str"/>
    </x:row>
    <x:row r="362" ht="36" customHeight="1">
      <x:c r="A362" s="19" t="str">
        <x:v>W05-20261010-0361</x:v>
      </x:c>
      <x:c r="B362" s="13" t="n">
        <x:v>5</x:v>
      </x:c>
      <x:c r="C362" s="13" t="str">
        <x:v>Этап 2 — Ноги и положение корпуса</x:v>
      </x:c>
      <x:c r="D362" s="138" t="str">
        <x:v>2026-10-10</x:v>
      </x:c>
      <x:c r="E362" s="13" t="str">
        <x:v>Суббота</x:v>
      </x:c>
      <x:c r="F362" s="13" t="str">
        <x:v>Отдых / подготовка</x:v>
      </x:c>
      <x:c r="G362" s="44" t="n">
        <x:v>0.016666666666666666</x:v>
      </x:c>
      <x:c r="H362" s="44" t="n">
        <x:v>0.01875</x:v>
      </x:c>
      <x:c r="I362" s="32" t="n">
        <x:f>ROUND((H362-G362)*1440,0)</x:f>
        <x:v>3</x:v>
      </x:c>
      <x:c r="J362" s="13" t="str">
        <x:v>План воскресенья</x:v>
      </x:c>
      <x:c r="K362" s="13" t="str">
        <x:v>Выбери заранее одну лёгкую трассу под тему «Разворот бедра и backstep». Воскресенье остаётся развлечением, не третьим тяжёлым днём.</x:v>
      </x:c>
      <x:c r="L362" s="13" t="str">
        <x:v>☐ Не начато</x:v>
      </x:c>
      <x:c r="M362" s="13" t="str">
        <x:v>Обязательно</x:v>
      </x:c>
      <x:c r="N362" s="13" t="str">
        <x:v>Без нагрузки</x:v>
      </x:c>
      <x:c r="O362" s="13" t="str"/>
      <x:c r="P362" s="13" t="str">
        <x:v>milestone_02_footwork_body_position/week_05_2026-10-05/06_SATURDAY.md</x:v>
      </x:c>
      <x:c r="Q362" s="138" t="str">
        <x:v>Markdown</x:v>
      </x:c>
      <x:c r="R362" s="20" t="str"/>
    </x:row>
    <x:row r="363" ht="36" customHeight="1">
      <x:c r="A363" s="19" t="str">
        <x:v>W05-20261010-0362</x:v>
      </x:c>
      <x:c r="B363" s="13" t="n">
        <x:v>5</x:v>
      </x:c>
      <x:c r="C363" s="13" t="str">
        <x:v>Этап 2 — Ноги и положение корпуса</x:v>
      </x:c>
      <x:c r="D363" s="138" t="str">
        <x:v>2026-10-10</x:v>
      </x:c>
      <x:c r="E363" s="13" t="str">
        <x:v>Суббота</x:v>
      </x:c>
      <x:c r="F363" s="13" t="str">
        <x:v>Отдых / подготовка</x:v>
      </x:c>
      <x:c r="G363" s="44" t="n">
        <x:v>0.01875</x:v>
      </x:c>
      <x:c r="H363" s="44" t="n">
        <x:v>0.020833333333333332</x:v>
      </x:c>
      <x:c r="I363" s="32" t="n">
        <x:f>ROUND((H363-G363)*1440,0)</x:f>
        <x:v>3</x:v>
      </x:c>
      <x:c r="J363" s="13" t="str">
        <x:v>Сон / восстановление</x:v>
      </x:c>
      <x:c r="K363" s="13" t="str">
        <x:v>Запланируй обычный сон и нормальный приём пищи; не пытайся «разбудить хват» вечером.</x:v>
      </x:c>
      <x:c r="L363" s="13" t="str">
        <x:v>☐ Не начато</x:v>
      </x:c>
      <x:c r="M363" s="13" t="str">
        <x:v>Обязательно</x:v>
      </x:c>
      <x:c r="N363" s="13" t="str">
        <x:v>Восстановление</x:v>
      </x:c>
      <x:c r="O363" s="13" t="str"/>
      <x:c r="P363" s="13" t="str">
        <x:v>milestone_02_footwork_body_position/week_05_2026-10-05/06_SATURDAY.md</x:v>
      </x:c>
      <x:c r="Q363" s="138" t="str">
        <x:v>Markdown</x:v>
      </x:c>
      <x:c r="R363" s="20" t="str"/>
    </x:row>
    <x:row r="364" ht="36" customHeight="1">
      <x:c r="A364" s="19" t="str">
        <x:v>W05-20261011-0363</x:v>
      </x:c>
      <x:c r="B364" s="13" t="n">
        <x:v>5</x:v>
      </x:c>
      <x:c r="C364" s="13" t="str">
        <x:v>Этап 2 — Ноги и положение корпуса</x:v>
      </x:c>
      <x:c r="D364" s="138" t="str">
        <x:v>2026-10-11</x:v>
      </x:c>
      <x:c r="E364" s="13" t="str">
        <x:v>Воскресенье</x:v>
      </x:c>
      <x:c r="F364" s="13" t="str">
        <x:v>Тренировка C — fun / опционально</x:v>
      </x:c>
      <x:c r="G364" s="44" t="n">
        <x:v>0</x:v>
      </x:c>
      <x:c r="H364" s="44" t="n">
        <x:v>0.0020833333333333333</x:v>
      </x:c>
      <x:c r="I364" s="32" t="n">
        <x:f>ROUND((H364-G364)*1440,0)</x:f>
        <x:v>3</x:v>
      </x:c>
      <x:c r="J364" s="13" t="str">
        <x:v>Выбор сценария</x:v>
      </x:c>
      <x:c r="K364" s="13" t="str">
        <x:v>Выбери один сценарий: (A) fun-сессия 75 минут в зале или (B) восстановительный день дома 25 минут. Не выполнять оба.</x:v>
      </x:c>
      <x:c r="L364" s="13" t="str">
        <x:v>☐ Не начато</x:v>
      </x:c>
      <x:c r="M364" s="13" t="str">
        <x:v>Выбрать один сценарий</x:v>
      </x:c>
      <x:c r="N364" s="13" t="str">
        <x:v>По состоянию</x:v>
      </x:c>
      <x:c r="O364" s="13" t="str"/>
      <x:c r="P364" s="13" t="str">
        <x:v>milestone_02_footwork_body_position/week_05_2026-10-05/07_SUNDAY.md</x:v>
      </x:c>
      <x:c r="Q364" s="138" t="str">
        <x:v>Markdown</x:v>
      </x:c>
      <x:c r="R364" s="20" t="str"/>
    </x:row>
    <x:row r="365" ht="36" customHeight="1">
      <x:c r="A365" s="19" t="str">
        <x:v>W05-20261011-0364</x:v>
      </x:c>
      <x:c r="B365" s="13" t="n">
        <x:v>5</x:v>
      </x:c>
      <x:c r="C365" s="13" t="str">
        <x:v>Этап 2 — Ноги и положение корпуса</x:v>
      </x:c>
      <x:c r="D365" s="138" t="str">
        <x:v>2026-10-11</x:v>
      </x:c>
      <x:c r="E365" s="13" t="str">
        <x:v>Воскресенье</x:v>
      </x:c>
      <x:c r="F365" s="13" t="str">
        <x:v>Тренировка C — fun / опционально</x:v>
      </x:c>
      <x:c r="G365" s="44" t="n">
        <x:v>0.0020833333333333333</x:v>
      </x:c>
      <x:c r="H365" s="44" t="n">
        <x:v>0.005555555555555556</x:v>
      </x:c>
      <x:c r="I365" s="32" t="n">
        <x:f>ROUND((H365-G365)*1440,0)</x:f>
        <x:v>5</x:v>
      </x:c>
      <x:c r="J365" s="13" t="str">
        <x:v>Разминка A</x:v>
      </x:c>
      <x:c r="K365" s="13" t="str">
        <x:v>Если идёшь в зал: 5 минут поднятия температуры.</x:v>
      </x:c>
      <x:c r="L365" s="13" t="str">
        <x:v>☐ Не начато</x:v>
      </x:c>
      <x:c r="M365" s="13" t="str">
        <x:v>Опционально</x:v>
      </x:c>
      <x:c r="N365" s="13" t="str">
        <x:v>RPE 2–3</x:v>
      </x:c>
      <x:c r="O365" s="13" t="str"/>
      <x:c r="P365" s="13" t="str">
        <x:v>milestone_02_footwork_body_position/week_05_2026-10-05/07_SUNDAY.md</x:v>
      </x:c>
      <x:c r="Q365" s="138" t="str">
        <x:v>Markdown</x:v>
      </x:c>
      <x:c r="R365" s="20" t="str"/>
    </x:row>
    <x:row r="366" ht="36" customHeight="1">
      <x:c r="A366" s="19" t="str">
        <x:v>W05-20261011-0365</x:v>
      </x:c>
      <x:c r="B366" s="13" t="n">
        <x:v>5</x:v>
      </x:c>
      <x:c r="C366" s="13" t="str">
        <x:v>Этап 2 — Ноги и положение корпуса</x:v>
      </x:c>
      <x:c r="D366" s="138" t="str">
        <x:v>2026-10-11</x:v>
      </x:c>
      <x:c r="E366" s="13" t="str">
        <x:v>Воскресенье</x:v>
      </x:c>
      <x:c r="F366" s="13" t="str">
        <x:v>Тренировка C — fun / опционально</x:v>
      </x:c>
      <x:c r="G366" s="44" t="n">
        <x:v>0.005555555555555556</x:v>
      </x:c>
      <x:c r="H366" s="44" t="n">
        <x:v>0.009027777777777777</x:v>
      </x:c>
      <x:c r="I366" s="32" t="n">
        <x:f>ROUND((H366-G366)*1440,0)</x:f>
        <x:v>5</x:v>
      </x:c>
      <x:c r="J366" s="13" t="str">
        <x:v>Разминка A</x:v>
      </x:c>
      <x:c r="K366" s="13" t="str">
        <x:v>Динамическая суставная разминка в безболезненном диапазоне; без отжиманий/press.</x:v>
      </x:c>
      <x:c r="L366" s="13" t="str">
        <x:v>☐ Не начато</x:v>
      </x:c>
      <x:c r="M366" s="13" t="str">
        <x:v>Опционально</x:v>
      </x:c>
      <x:c r="N366" s="13" t="str">
        <x:v>Очень легко</x:v>
      </x:c>
      <x:c r="O366" s="13" t="str">
        <x:v>Плечо: разворот должен уменьшать тягу рукой, а не создавать болезненный широкий gaston.</x:v>
      </x:c>
      <x:c r="P366" s="13" t="str">
        <x:v>milestone_02_footwork_body_position/week_05_2026-10-05/07_SUNDAY.md</x:v>
      </x:c>
      <x:c r="Q366" s="138" t="str">
        <x:v>Markdown</x:v>
      </x:c>
      <x:c r="R366" s="20" t="str"/>
    </x:row>
    <x:row r="367" ht="36" customHeight="1">
      <x:c r="A367" s="19" t="str">
        <x:v>W05-20261011-0366</x:v>
      </x:c>
      <x:c r="B367" s="13" t="n">
        <x:v>5</x:v>
      </x:c>
      <x:c r="C367" s="13" t="str">
        <x:v>Этап 2 — Ноги и положение корпуса</x:v>
      </x:c>
      <x:c r="D367" s="138" t="str">
        <x:v>2026-10-11</x:v>
      </x:c>
      <x:c r="E367" s="13" t="str">
        <x:v>Воскресенье</x:v>
      </x:c>
      <x:c r="F367" s="13" t="str">
        <x:v>Тренировка C — fun / опционально</x:v>
      </x:c>
      <x:c r="G367" s="44" t="n">
        <x:v>0.009027777777777777</x:v>
      </x:c>
      <x:c r="H367" s="44" t="n">
        <x:v>0.013888888888888888</x:v>
      </x:c>
      <x:c r="I367" s="32" t="n">
        <x:f>ROUND((H367-G367)*1440,0)</x:f>
        <x:v>7</x:v>
      </x:c>
      <x:c r="J367" s="13" t="str">
        <x:v>Лёгкое лазание A</x:v>
      </x:c>
      <x:c r="K367" s="13" t="str">
        <x:v>3 очень лёгкие трассы 1–3 с постепенным увеличением сложности.</x:v>
      </x:c>
      <x:c r="L367" s="13" t="str">
        <x:v>☐ Не начато</x:v>
      </x:c>
      <x:c r="M367" s="13" t="str">
        <x:v>Опционально</x:v>
      </x:c>
      <x:c r="N367" s="13" t="str">
        <x:v>RPE 2–4</x:v>
      </x:c>
      <x:c r="O367" s="13" t="str"/>
      <x:c r="P367" s="13" t="str">
        <x:v>milestone_02_footwork_body_position/week_05_2026-10-05/07_SUNDAY.md</x:v>
      </x:c>
      <x:c r="Q367" s="138" t="str">
        <x:v>Markdown</x:v>
      </x:c>
      <x:c r="R367" s="20" t="str"/>
    </x:row>
    <x:row r="368" ht="36" customHeight="1">
      <x:c r="A368" s="19" t="str">
        <x:v>W05-20261011-0367</x:v>
      </x:c>
      <x:c r="B368" s="13" t="n">
        <x:v>5</x:v>
      </x:c>
      <x:c r="C368" s="13" t="str">
        <x:v>Этап 2 — Ноги и положение корпуса</x:v>
      </x:c>
      <x:c r="D368" s="138" t="str">
        <x:v>2026-10-11</x:v>
      </x:c>
      <x:c r="E368" s="13" t="str">
        <x:v>Воскресенье</x:v>
      </x:c>
      <x:c r="F368" s="13" t="str">
        <x:v>Тренировка C — fun / опционально</x:v>
      </x:c>
      <x:c r="G368" s="44" t="n">
        <x:v>0.013888888888888888</x:v>
      </x:c>
      <x:c r="H368" s="44" t="n">
        <x:v>0.020833333333333332</x:v>
      </x:c>
      <x:c r="I368" s="32" t="n">
        <x:f>ROUND((H368-G368)*1440,0)</x:f>
        <x:v>10</x:v>
      </x:c>
      <x:c r="J368" s="13" t="str">
        <x:v>Технический праймер A</x:v>
      </x:c>
      <x:c r="K368" s="13" t="str">
        <x:v>На одной лёгкой трассе дважды повтори «Разворот бедра и backstep». Критерий: До зацепа легче дотянуться, а опорная рука становится прямее.</x:v>
      </x:c>
      <x:c r="L368" s="13" t="str">
        <x:v>☐ Не начато</x:v>
      </x:c>
      <x:c r="M368" s="13" t="str">
        <x:v>Опционально</x:v>
      </x:c>
      <x:c r="N368" s="13" t="str">
        <x:v>RPE 3–4</x:v>
      </x:c>
      <x:c r="O368" s="13" t="str">
        <x:v>Разворот должен снижать нагрузку на плечо. Правое колено не докручивать через сопротивление.</x:v>
      </x:c>
      <x:c r="P368" s="13" t="str">
        <x:v>milestone_02_footwork_body_position/week_05_2026-10-05/07_SUNDAY.md</x:v>
      </x:c>
      <x:c r="Q368" s="138" t="str">
        <x:v>Markdown</x:v>
      </x:c>
      <x:c r="R368" s="20" t="str"/>
    </x:row>
    <x:row r="369" ht="36" customHeight="1">
      <x:c r="A369" s="19" t="str">
        <x:v>W05-20261011-0368</x:v>
      </x:c>
      <x:c r="B369" s="13" t="n">
        <x:v>5</x:v>
      </x:c>
      <x:c r="C369" s="13" t="str">
        <x:v>Этап 2 — Ноги и положение корпуса</x:v>
      </x:c>
      <x:c r="D369" s="138" t="str">
        <x:v>2026-10-11</x:v>
      </x:c>
      <x:c r="E369" s="13" t="str">
        <x:v>Воскресенье</x:v>
      </x:c>
      <x:c r="F369" s="13" t="str">
        <x:v>Тренировка C — fun / опционально</x:v>
      </x:c>
      <x:c r="G369" s="44" t="n">
        <x:v>0.020833333333333332</x:v>
      </x:c>
      <x:c r="H369" s="44" t="n">
        <x:v>0.03819444444444445</x:v>
      </x:c>
      <x:c r="I369" s="32" t="n">
        <x:f>ROUND((H369-G369)*1440,0)</x:f>
        <x:v>25</x:v>
      </x:c>
      <x:c r="J369" s="13" t="str">
        <x:v>Свободное лазание A</x:v>
      </x:c>
      <x:c r="K369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369" s="13" t="str">
        <x:v>☐ Не начато</x:v>
      </x:c>
      <x:c r="M369" s="13" t="str">
        <x:v>Опционально</x:v>
      </x:c>
      <x:c r="N369" s="13" t="str">
        <x:v>RPE 4–7</x:v>
      </x:c>
      <x:c r="O369" s="13" t="str">
        <x:v>Не превращать блок в круг на выносливость.</x:v>
      </x:c>
      <x:c r="P369" s="13" t="str">
        <x:v>milestone_02_footwork_body_position/week_05_2026-10-05/07_SUNDAY.md</x:v>
      </x:c>
      <x:c r="Q369" s="138" t="str">
        <x:v>Markdown</x:v>
      </x:c>
      <x:c r="R369" s="20" t="str"/>
    </x:row>
    <x:row r="370" ht="36" customHeight="1">
      <x:c r="A370" s="19" t="str">
        <x:v>W05-20261011-0369</x:v>
      </x:c>
      <x:c r="B370" s="13" t="n">
        <x:v>5</x:v>
      </x:c>
      <x:c r="C370" s="13" t="str">
        <x:v>Этап 2 — Ноги и положение корпуса</x:v>
      </x:c>
      <x:c r="D370" s="138" t="str">
        <x:v>2026-10-11</x:v>
      </x:c>
      <x:c r="E370" s="13" t="str">
        <x:v>Воскресенье</x:v>
      </x:c>
      <x:c r="F370" s="13" t="str">
        <x:v>Тренировка C — fun / опционально</x:v>
      </x:c>
      <x:c r="G370" s="44" t="n">
        <x:v>0.03819444444444445</x:v>
      </x:c>
      <x:c r="H370" s="44" t="n">
        <x:v>0.04583333333333333</x:v>
      </x:c>
      <x:c r="I370" s="32" t="n">
        <x:f>ROUND((H370-G370)*1440,0)</x:f>
        <x:v>11</x:v>
      </x:c>
      <x:c r="J370" s="13" t="str">
        <x:v>Свежая сложная попытка A</x:v>
      </x:c>
      <x:c r="K370" s="13" t="str">
        <x:v>Только если всё зелёное: попробуй одну рабочую пятёрку или дружелюбную шестёрку по критериям недели — Пятёрка, где зацеп следующей руки расположен сбоку; протестировать минимум две ориентации таза. Максимум 2 попытки, отдых 4 минуты.</x:v>
      </x:c>
      <x:c r="L370" s="13" t="str">
        <x:v>☐ Не начато</x:v>
      </x:c>
      <x:c r="M370" s="13" t="str">
        <x:v>Опционально</x:v>
      </x:c>
      <x:c r="N370" s="13" t="str">
        <x:v>RPE 7–8, без отказа</x:v>
      </x:c>
      <x:c r="O370" s="13" t="str">
        <x:v>Плечо: разворот должен уменьшать тягу рукой, а не создавать болезненный широкий gaston.</x:v>
      </x:c>
      <x:c r="P370" s="13" t="str">
        <x:v>milestone_02_footwork_body_position/week_05_2026-10-05/07_SUNDAY.md</x:v>
      </x:c>
      <x:c r="Q370" s="138" t="str">
        <x:v>Markdown</x:v>
      </x:c>
      <x:c r="R370" s="20" t="str"/>
    </x:row>
    <x:row r="371" ht="36" customHeight="1">
      <x:c r="A371" s="19" t="str">
        <x:v>W05-20261011-0370</x:v>
      </x:c>
      <x:c r="B371" s="13" t="n">
        <x:v>5</x:v>
      </x:c>
      <x:c r="C371" s="13" t="str">
        <x:v>Этап 2 — Ноги и положение корпуса</x:v>
      </x:c>
      <x:c r="D371" s="138" t="str">
        <x:v>2026-10-11</x:v>
      </x:c>
      <x:c r="E371" s="13" t="str">
        <x:v>Воскресенье</x:v>
      </x:c>
      <x:c r="F371" s="13" t="str">
        <x:v>Тренировка C — fun / опционально</x:v>
      </x:c>
      <x:c r="G371" s="44" t="n">
        <x:v>0.04583333333333333</x:v>
      </x:c>
      <x:c r="H371" s="44" t="n">
        <x:v>0.05</x:v>
      </x:c>
      <x:c r="I371" s="32" t="n">
        <x:f>ROUND((H371-G371)*1440,0)</x:f>
        <x:v>6</x:v>
      </x:c>
      <x:c r="J371" s="13" t="str">
        <x:v>Лёгкий финал A</x:v>
      </x:c>
      <x:c r="K371" s="13" t="str">
        <x:v>Одна любимая лёгкая трасса или спокойный спуск. Фингерборда и capacity-круга нет.</x:v>
      </x:c>
      <x:c r="L371" s="13" t="str">
        <x:v>☐ Не начато</x:v>
      </x:c>
      <x:c r="M371" s="13" t="str">
        <x:v>Опционально</x:v>
      </x:c>
      <x:c r="N371" s="13" t="str">
        <x:v>RPE 2–3</x:v>
      </x:c>
      <x:c r="O371" s="13" t="str"/>
      <x:c r="P371" s="13" t="str">
        <x:v>milestone_02_footwork_body_position/week_05_2026-10-05/07_SUNDAY.md</x:v>
      </x:c>
      <x:c r="Q371" s="138" t="str">
        <x:v>Markdown</x:v>
      </x:c>
      <x:c r="R371" s="20" t="str"/>
    </x:row>
    <x:row r="372" ht="36" customHeight="1">
      <x:c r="A372" s="19" t="str">
        <x:v>W05-20261011-0371</x:v>
      </x:c>
      <x:c r="B372" s="13" t="n">
        <x:v>5</x:v>
      </x:c>
      <x:c r="C372" s="13" t="str">
        <x:v>Этап 2 — Ноги и положение корпуса</x:v>
      </x:c>
      <x:c r="D372" s="138" t="str">
        <x:v>2026-10-11</x:v>
      </x:c>
      <x:c r="E372" s="13" t="str">
        <x:v>Воскресенье</x:v>
      </x:c>
      <x:c r="F372" s="13" t="str">
        <x:v>Тренировка C — fun / опционально</x:v>
      </x:c>
      <x:c r="G372" s="44" t="n">
        <x:v>0.05</x:v>
      </x:c>
      <x:c r="H372" s="44" t="n">
        <x:v>0.052083333333333336</x:v>
      </x:c>
      <x:c r="I372" s="32" t="n">
        <x:f>ROUND((H372-G372)*1440,0)</x:f>
        <x:v>3</x:v>
      </x:c>
      <x:c r="J372" s="13" t="str">
        <x:v>Журнал A</x:v>
      </x:c>
      <x:c r="K372" s="13" t="str">
        <x:v>Запиши только 3 вещи: что было весело, один удачный технический момент, состояние пальцев после сессии.</x:v>
      </x:c>
      <x:c r="L372" s="13" t="str">
        <x:v>☐ Не начато</x:v>
      </x:c>
      <x:c r="M372" s="13" t="str">
        <x:v>Опционально</x:v>
      </x:c>
      <x:c r="N372" s="13" t="str">
        <x:v>Без нагрузки</x:v>
      </x:c>
      <x:c r="O372" s="13" t="str"/>
      <x:c r="P372" s="13" t="str">
        <x:v>milestone_02_footwork_body_position/week_05_2026-10-05/07_SUNDAY.md</x:v>
      </x:c>
      <x:c r="Q372" s="138" t="str">
        <x:v>Markdown</x:v>
      </x:c>
      <x:c r="R372" s="20" t="str"/>
    </x:row>
    <x:row r="373" ht="36" customHeight="1">
      <x:c r="A373" s="19" t="str">
        <x:v>W05-20261011-0372</x:v>
      </x:c>
      <x:c r="B373" s="13" t="n">
        <x:v>5</x:v>
      </x:c>
      <x:c r="C373" s="13" t="str">
        <x:v>Этап 2 — Ноги и положение корпуса</x:v>
      </x:c>
      <x:c r="D373" s="138" t="str">
        <x:v>2026-10-11</x:v>
      </x:c>
      <x:c r="E373" s="13" t="str">
        <x:v>Воскресенье</x:v>
      </x:c>
      <x:c r="F373" s="13" t="str">
        <x:v>Восстановление B — дома</x:v>
      </x:c>
      <x:c r="G373" s="44" t="n">
        <x:v>0</x:v>
      </x:c>
      <x:c r="H373" s="44" t="n">
        <x:v>0.010416666666666666</x:v>
      </x:c>
      <x:c r="I373" s="32" t="n">
        <x:f>ROUND((H373-G373)*1440,0)</x:f>
        <x:v>15</x:v>
      </x:c>
      <x:c r="J373" s="13" t="str">
        <x:v>Прогулка B</x:v>
      </x:c>
      <x:c r="K373" s="13" t="str">
        <x:v>Если не идёшь в зал: 15 минут спокойной прогулки.</x:v>
      </x:c>
      <x:c r="L373" s="13" t="str">
        <x:v>☐ Не начато</x:v>
      </x:c>
      <x:c r="M373" s="13" t="str">
        <x:v>Опционально</x:v>
      </x:c>
      <x:c r="N373" s="13" t="str">
        <x:v>RPE 1–2</x:v>
      </x:c>
      <x:c r="O373" s="13" t="str"/>
      <x:c r="P373" s="13" t="str">
        <x:v>milestone_02_footwork_body_position/week_05_2026-10-05/07_SUNDAY.md</x:v>
      </x:c>
      <x:c r="Q373" s="138" t="str">
        <x:v>Markdown</x:v>
      </x:c>
      <x:c r="R373" s="20" t="str"/>
    </x:row>
    <x:row r="374" ht="36" customHeight="1">
      <x:c r="A374" s="19" t="str">
        <x:v>W05-20261011-0373</x:v>
      </x:c>
      <x:c r="B374" s="13" t="n">
        <x:v>5</x:v>
      </x:c>
      <x:c r="C374" s="13" t="str">
        <x:v>Этап 2 — Ноги и положение корпуса</x:v>
      </x:c>
      <x:c r="D374" s="138" t="str">
        <x:v>2026-10-11</x:v>
      </x:c>
      <x:c r="E374" s="13" t="str">
        <x:v>Воскресенье</x:v>
      </x:c>
      <x:c r="F374" s="13" t="str">
        <x:v>Восстановление B — дома</x:v>
      </x:c>
      <x:c r="G374" s="44" t="n">
        <x:v>0.010416666666666666</x:v>
      </x:c>
      <x:c r="H374" s="44" t="n">
        <x:v>0.015277777777777777</x:v>
      </x:c>
      <x:c r="I374" s="32" t="n">
        <x:f>ROUND((H374-G374)*1440,0)</x:f>
        <x:v>7</x:v>
      </x:c>
      <x:c r="J374" s="13" t="str">
        <x:v>Визуализация B</x:v>
      </x:c>
      <x:c r="K374" s="13" t="str">
        <x:v>7 минут: мысленно повтори тему недели «Разворот бедра и backstep» и одну трассу четверга.</x:v>
      </x:c>
      <x:c r="L374" s="13" t="str">
        <x:v>☐ Не начато</x:v>
      </x:c>
      <x:c r="M374" s="13" t="str">
        <x:v>Опционально</x:v>
      </x:c>
      <x:c r="N374" s="13" t="str">
        <x:v>Без нагрузки</x:v>
      </x:c>
      <x:c r="O374" s="13" t="str"/>
      <x:c r="P374" s="13" t="str">
        <x:v>milestone_02_footwork_body_position/week_05_2026-10-05/07_SUNDAY.md</x:v>
      </x:c>
      <x:c r="Q374" s="138" t="str">
        <x:v>Markdown</x:v>
      </x:c>
      <x:c r="R374" s="20" t="str"/>
    </x:row>
    <x:row r="375" ht="36" customHeight="1">
      <x:c r="A375" s="19" t="str">
        <x:v>W05-20261011-0374</x:v>
      </x:c>
      <x:c r="B375" s="13" t="n">
        <x:v>5</x:v>
      </x:c>
      <x:c r="C375" s="13" t="str">
        <x:v>Этап 2 — Ноги и положение корпуса</x:v>
      </x:c>
      <x:c r="D375" s="138" t="str">
        <x:v>2026-10-11</x:v>
      </x:c>
      <x:c r="E375" s="13" t="str">
        <x:v>Воскресенье</x:v>
      </x:c>
      <x:c r="F375" s="13" t="str">
        <x:v>Восстановление B — дома</x:v>
      </x:c>
      <x:c r="G375" s="44" t="n">
        <x:v>0.015277777777777777</x:v>
      </x:c>
      <x:c r="H375" s="44" t="n">
        <x:v>0.017361111111111112</x:v>
      </x:c>
      <x:c r="I375" s="32" t="n">
        <x:f>ROUND((H375-G375)*1440,0)</x:f>
        <x:v>3</x:v>
      </x:c>
      <x:c r="J375" s="13" t="str">
        <x:v>Итог недели B</x:v>
      </x:c>
      <x:c r="K375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375" s="13" t="str">
        <x:v>☐ Не начато</x:v>
      </x:c>
      <x:c r="M375" s="13" t="str">
        <x:v>Опционально</x:v>
      </x:c>
      <x:c r="N375" s="13" t="str">
        <x:v>Без нагрузки</x:v>
      </x:c>
      <x:c r="O375" s="13" t="str"/>
      <x:c r="P375" s="13" t="str">
        <x:v>milestone_02_footwork_body_position/week_05_2026-10-05/07_SUNDAY.md</x:v>
      </x:c>
      <x:c r="Q375" s="138" t="str">
        <x:v>Markdown</x:v>
      </x:c>
      <x:c r="R375" s="20" t="str"/>
    </x:row>
    <x:row r="376" ht="36" customHeight="1">
      <x:c r="A376" s="19" t="str">
        <x:v>W06-20261012-0375</x:v>
      </x:c>
      <x:c r="B376" s="13" t="n">
        <x:v>6</x:v>
      </x:c>
      <x:c r="C376" s="13" t="str">
        <x:v>Этап 2 — Ноги и положение корпуса</x:v>
      </x:c>
      <x:c r="D376" s="138" t="str">
        <x:v>2026-10-12</x:v>
      </x:c>
      <x:c r="E376" s="13" t="str">
        <x:v>Понедельник</x:v>
      </x:c>
      <x:c r="F376" s="13" t="str">
        <x:v>Дом / теория</x:v>
      </x:c>
      <x:c r="G376" s="44" t="n">
        <x:v>0</x:v>
      </x:c>
      <x:c r="H376" s="44" t="n">
        <x:v>0.0020833333333333333</x:v>
      </x:c>
      <x:c r="I376" s="32" t="n">
        <x:f>ROUND((H376-G376)*1440,0)</x:f>
        <x:v>3</x:v>
      </x:c>
      <x:c r="J376" s="13" t="str">
        <x:v>Самопроверка</x:v>
      </x:c>
      <x:c r="K376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376" s="13" t="str">
        <x:v>☐ Не начато</x:v>
      </x:c>
      <x:c r="M376" s="13" t="str">
        <x:v>Обязательно</x:v>
      </x:c>
      <x:c r="N376" s="13" t="str">
        <x:v>Очень легко</x:v>
      </x:c>
      <x:c r="O376" s="13" t="str">
        <x:v>Не диагностируй травму самостоятельно; используй правила из документа безопасности.</x:v>
      </x:c>
      <x:c r="P376" s="13" t="str">
        <x:v>milestone_02_footwork_body_position/week_06_2026-10-12/01_MONDAY.md</x:v>
      </x:c>
      <x:c r="Q376" s="138" t="str">
        <x:v>Markdown</x:v>
      </x:c>
      <x:c r="R376" s="20" t="str"/>
    </x:row>
    <x:row r="377" ht="36" customHeight="1">
      <x:c r="A377" s="19" t="str">
        <x:v>W06-20261012-0376</x:v>
      </x:c>
      <x:c r="B377" s="13" t="n">
        <x:v>6</x:v>
      </x:c>
      <x:c r="C377" s="13" t="str">
        <x:v>Этап 2 — Ноги и положение корпуса</x:v>
      </x:c>
      <x:c r="D377" s="138" t="str">
        <x:v>2026-10-12</x:v>
      </x:c>
      <x:c r="E377" s="13" t="str">
        <x:v>Понедельник</x:v>
      </x:c>
      <x:c r="F377" s="13" t="str">
        <x:v>Дом / теория</x:v>
      </x:c>
      <x:c r="G377" s="44" t="n">
        <x:v>0.0020833333333333333</x:v>
      </x:c>
      <x:c r="H377" s="44" t="n">
        <x:v>0.005555555555555556</x:v>
      </x:c>
      <x:c r="I377" s="32" t="n">
        <x:f>ROUND((H377-G377)*1440,0)</x:f>
        <x:v>5</x:v>
      </x:c>
      <x:c r="J377" s="13" t="str">
        <x:v>Планирование</x:v>
      </x:c>
      <x:c r="K377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«Свободная нога — противовес; двигай её, пока таз не перестанет разворачиваться от стены.»</x:v>
      </x:c>
      <x:c r="L377" s="13" t="str">
        <x:v>☐ Не начато</x:v>
      </x:c>
      <x:c r="M377" s="13" t="str">
        <x:v>Обязательно</x:v>
      </x:c>
      <x:c r="N377" s="13" t="str">
        <x:v>Без нагрузки</x:v>
      </x:c>
      <x:c r="O377" s="13" t="str"/>
      <x:c r="P377" s="13" t="str">
        <x:v>milestone_02_footwork_body_position/week_06_2026-10-12/01_MONDAY.md</x:v>
      </x:c>
      <x:c r="Q377" s="138" t="str">
        <x:v>Markdown</x:v>
      </x:c>
      <x:c r="R377" s="20" t="str"/>
    </x:row>
    <x:row r="378" ht="36" customHeight="1">
      <x:c r="A378" s="19" t="str">
        <x:v>W06-20261012-0377</x:v>
      </x:c>
      <x:c r="B378" s="13" t="n">
        <x:v>6</x:v>
      </x:c>
      <x:c r="C378" s="13" t="str">
        <x:v>Этап 2 — Ноги и положение корпуса</x:v>
      </x:c>
      <x:c r="D378" s="138" t="str">
        <x:v>2026-10-12</x:v>
      </x:c>
      <x:c r="E378" s="13" t="str">
        <x:v>Понедельник</x:v>
      </x:c>
      <x:c r="F378" s="13" t="str">
        <x:v>Дом / теория</x:v>
      </x:c>
      <x:c r="G378" s="44" t="n">
        <x:v>0.005555555555555556</x:v>
      </x:c>
      <x:c r="H378" s="44" t="n">
        <x:v>0.0125</x:v>
      </x:c>
      <x:c r="I378" s="32" t="n">
        <x:f>ROUND((H378-G378)*1440,0)</x:f>
        <x:v>10</x:v>
      </x:c>
      <x:c r="J378" s="13" t="str">
        <x:v>Теория</x:v>
      </x:c>
      <x:c r="K378" s="13" t="str">
        <x:v>Посмотри/прочитай [R07: Rise Climbing — What's Flagging and Smearing?](https://www.youtube.com/watch?v=Gv-vUNUecus). Задача: Понять наружный/внутренний флаг и базовый smearing.</x:v>
      </x:c>
      <x:c r="L378" s="13" t="str">
        <x:v>☐ Не начато</x:v>
      </x:c>
      <x:c r="M378" s="13" t="str">
        <x:v>Обязательно</x:v>
      </x:c>
      <x:c r="N378" s="13" t="str">
        <x:v>Без нагрузки</x:v>
      </x:c>
      <x:c r="O378" s="13" t="str"/>
      <x:c r="P378" s="13" t="str">
        <x:v>milestone_02_footwork_body_position/week_06_2026-10-12/01_MONDAY.md</x:v>
      </x:c>
      <x:c r="Q378" s="138" t="str">
        <x:v>Markdown</x:v>
      </x:c>
      <x:c r="R378" s="20" t="str"/>
    </x:row>
    <x:row r="379" ht="36" customHeight="1">
      <x:c r="A379" s="19" t="str">
        <x:v>W06-20261012-0378</x:v>
      </x:c>
      <x:c r="B379" s="13" t="n">
        <x:v>6</x:v>
      </x:c>
      <x:c r="C379" s="13" t="str">
        <x:v>Этап 2 — Ноги и положение корпуса</x:v>
      </x:c>
      <x:c r="D379" s="138" t="str">
        <x:v>2026-10-12</x:v>
      </x:c>
      <x:c r="E379" s="13" t="str">
        <x:v>Понедельник</x:v>
      </x:c>
      <x:c r="F379" s="13" t="str">
        <x:v>Дом / теория</x:v>
      </x:c>
      <x:c r="G379" s="44" t="n">
        <x:v>0.0125</x:v>
      </x:c>
      <x:c r="H379" s="44" t="n">
        <x:v>0.01597222222222222</x:v>
      </x:c>
      <x:c r="I379" s="32" t="n">
        <x:f>ROUND((H379-G379)*1440,0)</x:f>
        <x:v>5</x:v>
      </x:c>
      <x:c r="J379" s="13" t="str">
        <x:v>Конспект</x:v>
      </x:c>
      <x:c r="K379" s="13" t="str">
        <x:v>Запиши ровно 3 пункта: (1) что делать ногами/тазом; (2) что не делать руками; (3) какой признак успеха проверишь на стене для темы «Flagging».</x:v>
      </x:c>
      <x:c r="L379" s="13" t="str">
        <x:v>☐ Не начато</x:v>
      </x:c>
      <x:c r="M379" s="13" t="str">
        <x:v>Обязательно</x:v>
      </x:c>
      <x:c r="N379" s="13" t="str">
        <x:v>Без нагрузки</x:v>
      </x:c>
      <x:c r="O379" s="13" t="str"/>
      <x:c r="P379" s="13" t="str">
        <x:v>milestone_02_footwork_body_position/week_06_2026-10-12/01_MONDAY.md</x:v>
      </x:c>
      <x:c r="Q379" s="138" t="str">
        <x:v>Markdown</x:v>
      </x:c>
      <x:c r="R379" s="20" t="str"/>
    </x:row>
    <x:row r="380" ht="36" customHeight="1">
      <x:c r="A380" s="19" t="str">
        <x:v>W06-20261012-0379</x:v>
      </x:c>
      <x:c r="B380" s="13" t="n">
        <x:v>6</x:v>
      </x:c>
      <x:c r="C380" s="13" t="str">
        <x:v>Этап 2 — Ноги и положение корпуса</x:v>
      </x:c>
      <x:c r="D380" s="138" t="str">
        <x:v>2026-10-12</x:v>
      </x:c>
      <x:c r="E380" s="13" t="str">
        <x:v>Понедельник</x:v>
      </x:c>
      <x:c r="F380" s="13" t="str">
        <x:v>Дом / теория</x:v>
      </x:c>
      <x:c r="G380" s="44" t="n">
        <x:v>0.01597222222222222</x:v>
      </x:c>
      <x:c r="H380" s="44" t="n">
        <x:v>0.024305555555555556</x:v>
      </x:c>
      <x:c r="I380" s="32" t="n">
        <x:f>ROUND((H380-G380)*1440,0)</x:f>
        <x:v>12</x:v>
      </x:c>
      <x:c r="J380" s="13" t="str">
        <x:v>Домашняя мобильность</x:v>
      </x:c>
      <x:c r="K380" s="13" t="str">
        <x:v>Выполни комплекс H2 «Баланс и опора ног» по библиотеке упражнений: 12 минут, без дополнительной нагрузки на пальцы.</x:v>
      </x:c>
      <x:c r="L380" s="13" t="str">
        <x:v>☐ Не начато</x:v>
      </x:c>
      <x:c r="M380" s="13" t="str">
        <x:v>Обязательно</x:v>
      </x:c>
      <x:c r="N380" s="13" t="str">
        <x:v>RPE 2–3</x:v>
      </x:c>
      <x:c r="O380" s="13" t="str">
        <x:v>Не уходи в глубокий присед. Стена используется как страховка; упражнение не должно провоцировать правое колено.</x:v>
      </x:c>
      <x:c r="P380" s="13" t="str">
        <x:v>milestone_02_footwork_body_position/week_06_2026-10-12/01_MONDAY.md</x:v>
      </x:c>
      <x:c r="Q380" s="138" t="str">
        <x:v>Markdown</x:v>
      </x:c>
      <x:c r="R380" s="20" t="str"/>
    </x:row>
    <x:row r="381" ht="36" customHeight="1">
      <x:c r="A381" s="19" t="str">
        <x:v>W06-20261012-0380</x:v>
      </x:c>
      <x:c r="B381" s="13" t="n">
        <x:v>6</x:v>
      </x:c>
      <x:c r="C381" s="13" t="str">
        <x:v>Этап 2 — Ноги и положение корпуса</x:v>
      </x:c>
      <x:c r="D381" s="138" t="str">
        <x:v>2026-10-12</x:v>
      </x:c>
      <x:c r="E381" s="13" t="str">
        <x:v>Понедельник</x:v>
      </x:c>
      <x:c r="F381" s="13" t="str">
        <x:v>Дом / теория</x:v>
      </x:c>
      <x:c r="G381" s="44" t="n">
        <x:v>0.024305555555555556</x:v>
      </x:c>
      <x:c r="H381" s="44" t="n">
        <x:v>0.03819444444444445</x:v>
      </x:c>
      <x:c r="I381" s="32" t="n">
        <x:f>ROUND((H381-G381)*1440,0)</x:f>
        <x:v>20</x:v>
      </x:c>
      <x:c r="J381" s="13" t="str">
        <x:v>Физиотерапия</x:v>
      </x:c>
      <x:c r="K381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381" s="13" t="str">
        <x:v>☐ Не начато</x:v>
      </x:c>
      <x:c r="M381" s="13" t="str">
        <x:v>По назначению</x:v>
      </x:c>
      <x:c r="N381" s="13" t="str">
        <x:v>По назначению физиотерапевта</x:v>
      </x:c>
      <x:c r="O381" s="13" t="str">
        <x:v>Любые указания физиотерапевта имеют приоритет над этим планом.</x:v>
      </x:c>
      <x:c r="P381" s="13" t="str">
        <x:v>milestone_02_footwork_body_position/week_06_2026-10-12/01_MONDAY.md</x:v>
      </x:c>
      <x:c r="Q381" s="138" t="str">
        <x:v>Markdown</x:v>
      </x:c>
      <x:c r="R381" s="20" t="str"/>
    </x:row>
    <x:row r="382" ht="36" customHeight="1">
      <x:c r="A382" s="19" t="str">
        <x:v>W06-20261012-0381</x:v>
      </x:c>
      <x:c r="B382" s="13" t="n">
        <x:v>6</x:v>
      </x:c>
      <x:c r="C382" s="13" t="str">
        <x:v>Этап 2 — Ноги и положение корпуса</x:v>
      </x:c>
      <x:c r="D382" s="138" t="str">
        <x:v>2026-10-12</x:v>
      </x:c>
      <x:c r="E382" s="13" t="str">
        <x:v>Понедельник</x:v>
      </x:c>
      <x:c r="F382" s="13" t="str">
        <x:v>Дом / теория</x:v>
      </x:c>
      <x:c r="G382" s="44" t="n">
        <x:v>0.03819444444444445</x:v>
      </x:c>
      <x:c r="H382" s="44" t="n">
        <x:v>0.041666666666666664</x:v>
      </x:c>
      <x:c r="I382" s="32" t="n">
        <x:f>ROUND((H382-G382)*1440,0)</x:f>
        <x:v>5</x:v>
      </x:c>
      <x:c r="J382" s="13" t="str">
        <x:v>Покупка / организация</x:v>
      </x:c>
      <x:c r="K382" s="13" t="str">
        <x:v>Опционально купить маленькую салфетку для протирания подошвы скальников.</x:v>
      </x:c>
      <x:c r="L382" s="13" t="str">
        <x:v>☐ Не начато</x:v>
      </x:c>
      <x:c r="M382" s="13" t="str">
        <x:v>Опционально</x:v>
      </x:c>
      <x:c r="N382" s="13" t="str">
        <x:v>Без нагрузки</x:v>
      </x:c>
      <x:c r="O382" s="13" t="str"/>
      <x:c r="P382" s="13" t="str">
        <x:v>milestone_02_footwork_body_position/week_06_2026-10-12/01_MONDAY.md</x:v>
      </x:c>
      <x:c r="Q382" s="138" t="str">
        <x:v>Markdown</x:v>
      </x:c>
      <x:c r="R382" s="20" t="str"/>
    </x:row>
    <x:row r="383" ht="36" customHeight="1">
      <x:c r="A383" s="19" t="str">
        <x:v>W06-20261012-0382</x:v>
      </x:c>
      <x:c r="B383" s="13" t="n">
        <x:v>6</x:v>
      </x:c>
      <x:c r="C383" s="13" t="str">
        <x:v>Этап 2 — Ноги и положение корпуса</x:v>
      </x:c>
      <x:c r="D383" s="138" t="str">
        <x:v>2026-10-12</x:v>
      </x:c>
      <x:c r="E383" s="13" t="str">
        <x:v>Понедельник</x:v>
      </x:c>
      <x:c r="F383" s="13" t="str">
        <x:v>Дом / теория</x:v>
      </x:c>
      <x:c r="G383" s="44" t="n">
        <x:v>0.041666666666666664</x:v>
      </x:c>
      <x:c r="H383" s="44" t="n">
        <x:v>0.04375</x:v>
      </x:c>
      <x:c r="I383" s="32" t="n">
        <x:f>ROUND((H383-G383)*1440,0)</x:f>
        <x:v>3</x:v>
      </x:c>
      <x:c r="J383" s="13" t="str">
        <x:v>Подготовка</x:v>
      </x:c>
      <x:c r="K383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383" s="13" t="str">
        <x:v>☐ Не начато</x:v>
      </x:c>
      <x:c r="M383" s="13" t="str">
        <x:v>Обязательно</x:v>
      </x:c>
      <x:c r="N383" s="13" t="str">
        <x:v>Без нагрузки</x:v>
      </x:c>
      <x:c r="O383" s="13" t="str">
        <x:v>Кольца и турник — только в рамках программы физиотерапевта.</x:v>
      </x:c>
      <x:c r="P383" s="13" t="str">
        <x:v>milestone_02_footwork_body_position/week_06_2026-10-12/01_MONDAY.md</x:v>
      </x:c>
      <x:c r="Q383" s="138" t="str">
        <x:v>Markdown</x:v>
      </x:c>
      <x:c r="R383" s="20" t="str"/>
    </x:row>
    <x:row r="384" ht="36" customHeight="1">
      <x:c r="A384" s="19" t="str">
        <x:v>W06-20261013-0383</x:v>
      </x:c>
      <x:c r="B384" s="13" t="n">
        <x:v>6</x:v>
      </x:c>
      <x:c r="C384" s="13" t="str">
        <x:v>Этап 2 — Ноги и положение корпуса</x:v>
      </x:c>
      <x:c r="D384" s="138" t="str">
        <x:v>2026-10-13</x:v>
      </x:c>
      <x:c r="E384" s="13" t="str">
        <x:v>Вторник</x:v>
      </x:c>
      <x:c r="F384" s="13" t="str">
        <x:v>Тренировка A — техника/объём</x:v>
      </x:c>
      <x:c r="G384" s="44" t="n">
        <x:v>0</x:v>
      </x:c>
      <x:c r="H384" s="44" t="n">
        <x:v>0.0020833333333333333</x:v>
      </x:c>
      <x:c r="I384" s="32" t="n">
        <x:f>ROUND((H384-G384)*1440,0)</x:f>
        <x:v>3</x:v>
      </x:c>
      <x:c r="J384" s="13" t="str">
        <x:v>Самопроверка</x:v>
      </x:c>
      <x:c r="K38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384" s="13" t="str">
        <x:v>☐ Не начато</x:v>
      </x:c>
      <x:c r="M384" s="13" t="str">
        <x:v>Обязательно</x:v>
      </x:c>
      <x:c r="N384" s="13" t="str">
        <x:v>Без нагрузки</x:v>
      </x:c>
      <x:c r="O384" s="13" t="str">
        <x:v>Красный флаг = не начинать пальцевую нагрузку.</x:v>
      </x:c>
      <x:c r="P384" s="13" t="str">
        <x:v>milestone_02_footwork_body_position/week_06_2026-10-12/02_TUESDAY.md</x:v>
      </x:c>
      <x:c r="Q384" s="138" t="str">
        <x:v>Markdown</x:v>
      </x:c>
      <x:c r="R384" s="20" t="str"/>
    </x:row>
    <x:row r="385" ht="36" customHeight="1">
      <x:c r="A385" s="19" t="str">
        <x:v>W06-20261013-0384</x:v>
      </x:c>
      <x:c r="B385" s="13" t="n">
        <x:v>6</x:v>
      </x:c>
      <x:c r="C385" s="13" t="str">
        <x:v>Этап 2 — Ноги и положение корпуса</x:v>
      </x:c>
      <x:c r="D385" s="138" t="str">
        <x:v>2026-10-13</x:v>
      </x:c>
      <x:c r="E385" s="13" t="str">
        <x:v>Вторник</x:v>
      </x:c>
      <x:c r="F385" s="13" t="str">
        <x:v>Тренировка A — техника/объём</x:v>
      </x:c>
      <x:c r="G385" s="44" t="n">
        <x:v>0.0020833333333333333</x:v>
      </x:c>
      <x:c r="H385" s="44" t="n">
        <x:v>0.005555555555555556</x:v>
      </x:c>
      <x:c r="I385" s="32" t="n">
        <x:f>ROUND((H385-G385)*1440,0)</x:f>
        <x:v>5</x:v>
      </x:c>
      <x:c r="J385" s="13" t="str">
        <x:v>Разминка</x:v>
      </x:c>
      <x:c r="K385" s="13" t="str">
        <x:v>Подними температуру: быстрая ходьба, лестница или лёгкий велотренажёр 5 минут.</x:v>
      </x:c>
      <x:c r="L385" s="13" t="str">
        <x:v>☐ Не начато</x:v>
      </x:c>
      <x:c r="M385" s="13" t="str">
        <x:v>Обязательно</x:v>
      </x:c>
      <x:c r="N385" s="13" t="str">
        <x:v>RPE 2–3</x:v>
      </x:c>
      <x:c r="O385" s="13" t="str"/>
      <x:c r="P385" s="13" t="str">
        <x:v>milestone_02_footwork_body_position/week_06_2026-10-12/02_TUESDAY.md</x:v>
      </x:c>
      <x:c r="Q385" s="138" t="str">
        <x:v>Markdown</x:v>
      </x:c>
      <x:c r="R385" s="20" t="str"/>
    </x:row>
    <x:row r="386" ht="36" customHeight="1">
      <x:c r="A386" s="19" t="str">
        <x:v>W06-20261013-0385</x:v>
      </x:c>
      <x:c r="B386" s="13" t="n">
        <x:v>6</x:v>
      </x:c>
      <x:c r="C386" s="13" t="str">
        <x:v>Этап 2 — Ноги и положение корпуса</x:v>
      </x:c>
      <x:c r="D386" s="138" t="str">
        <x:v>2026-10-13</x:v>
      </x:c>
      <x:c r="E386" s="13" t="str">
        <x:v>Вторник</x:v>
      </x:c>
      <x:c r="F386" s="13" t="str">
        <x:v>Тренировка A — техника/объём</x:v>
      </x:c>
      <x:c r="G386" s="44" t="n">
        <x:v>0.005555555555555556</x:v>
      </x:c>
      <x:c r="H386" s="44" t="n">
        <x:v>0.009027777777777777</x:v>
      </x:c>
      <x:c r="I386" s="32" t="n">
        <x:f>ROUND((H386-G386)*1440,0)</x:f>
        <x:v>5</x:v>
      </x:c>
      <x:c r="J386" s="13" t="str">
        <x:v>Разминка</x:v>
      </x:c>
      <x:c r="K38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386" s="13" t="str">
        <x:v>☐ Не начато</x:v>
      </x:c>
      <x:c r="M386" s="13" t="str">
        <x:v>Обязательно</x:v>
      </x:c>
      <x:c r="N386" s="13" t="str">
        <x:v>Очень легко</x:v>
      </x:c>
      <x:c r="O386" s="13" t="str">
        <x:v>Не делай press/отжимания и движения, которые раздражают плечо.</x:v>
      </x:c>
      <x:c r="P386" s="13" t="str">
        <x:v>milestone_02_footwork_body_position/week_06_2026-10-12/02_TUESDAY.md</x:v>
      </x:c>
      <x:c r="Q386" s="138" t="str">
        <x:v>Markdown</x:v>
      </x:c>
      <x:c r="R386" s="20" t="str"/>
    </x:row>
    <x:row r="387" ht="36" customHeight="1">
      <x:c r="A387" s="19" t="str">
        <x:v>W06-20261013-0386</x:v>
      </x:c>
      <x:c r="B387" s="13" t="n">
        <x:v>6</x:v>
      </x:c>
      <x:c r="C387" s="13" t="str">
        <x:v>Этап 2 — Ноги и положение корпуса</x:v>
      </x:c>
      <x:c r="D387" s="138" t="str">
        <x:v>2026-10-13</x:v>
      </x:c>
      <x:c r="E387" s="13" t="str">
        <x:v>Вторник</x:v>
      </x:c>
      <x:c r="F387" s="13" t="str">
        <x:v>Тренировка A — техника/объём</x:v>
      </x:c>
      <x:c r="G387" s="44" t="n">
        <x:v>0.009027777777777777</x:v>
      </x:c>
      <x:c r="H387" s="44" t="n">
        <x:v>0.011805555555555555</x:v>
      </x:c>
      <x:c r="I387" s="32" t="n">
        <x:f>ROUND((H387-G387)*1440,0)</x:f>
        <x:v>4</x:v>
      </x:c>
      <x:c r="J387" s="13" t="str">
        <x:v>Разминка пальцев</x:v>
      </x:c>
      <x:c r="K38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387" s="13" t="str">
        <x:v>☐ Не начато</x:v>
      </x:c>
      <x:c r="M387" s="13" t="str">
        <x:v>Обязательно</x:v>
      </x:c>
      <x:c r="N387" s="13" t="str">
        <x:v>Очень легко</x:v>
      </x:c>
      <x:c r="O387" s="13" t="str"/>
      <x:c r="P387" s="13" t="str">
        <x:v>milestone_02_footwork_body_position/week_06_2026-10-12/02_TUESDAY.md</x:v>
      </x:c>
      <x:c r="Q387" s="138" t="str">
        <x:v>Markdown</x:v>
      </x:c>
      <x:c r="R387" s="20" t="str"/>
    </x:row>
    <x:row r="388" ht="36" customHeight="1">
      <x:c r="A388" s="19" t="str">
        <x:v>W06-20261013-0387</x:v>
      </x:c>
      <x:c r="B388" s="13" t="n">
        <x:v>6</x:v>
      </x:c>
      <x:c r="C388" s="13" t="str">
        <x:v>Этап 2 — Ноги и положение корпуса</x:v>
      </x:c>
      <x:c r="D388" s="138" t="str">
        <x:v>2026-10-13</x:v>
      </x:c>
      <x:c r="E388" s="13" t="str">
        <x:v>Вторник</x:v>
      </x:c>
      <x:c r="F388" s="13" t="str">
        <x:v>Тренировка A — техника/объём</x:v>
      </x:c>
      <x:c r="G388" s="44" t="n">
        <x:v>0.011805555555555555</x:v>
      </x:c>
      <x:c r="H388" s="44" t="n">
        <x:v>0.014583333333333334</x:v>
      </x:c>
      <x:c r="I388" s="32" t="n">
        <x:f>ROUND((H388-G388)*1440,0)</x:f>
        <x:v>4</x:v>
      </x:c>
      <x:c r="J388" s="13" t="str">
        <x:v>Разминочное лазание</x:v>
      </x:c>
      <x:c r="K388" s="13" t="str">
        <x:v>Пройди 2 очень лёгкие трассы уровня 1–2; двигайся медленно, спускайся по зацепам.</x:v>
      </x:c>
      <x:c r="L388" s="13" t="str">
        <x:v>☐ Не начато</x:v>
      </x:c>
      <x:c r="M388" s="13" t="str">
        <x:v>Обязательно</x:v>
      </x:c>
      <x:c r="N388" s="13" t="str">
        <x:v>RPE 2–3</x:v>
      </x:c>
      <x:c r="O388" s="13" t="str">
        <x:v>Финиш с обязательным болезненным mantle/press пропусти.</x:v>
      </x:c>
      <x:c r="P388" s="13" t="str">
        <x:v>milestone_02_footwork_body_position/week_06_2026-10-12/02_TUESDAY.md</x:v>
      </x:c>
      <x:c r="Q388" s="138" t="str">
        <x:v>Markdown</x:v>
      </x:c>
      <x:c r="R388" s="20" t="str"/>
    </x:row>
    <x:row r="389" ht="36" customHeight="1">
      <x:c r="A389" s="19" t="str">
        <x:v>W06-20261013-0388</x:v>
      </x:c>
      <x:c r="B389" s="13" t="n">
        <x:v>6</x:v>
      </x:c>
      <x:c r="C389" s="13" t="str">
        <x:v>Этап 2 — Ноги и положение корпуса</x:v>
      </x:c>
      <x:c r="D389" s="138" t="str">
        <x:v>2026-10-13</x:v>
      </x:c>
      <x:c r="E389" s="13" t="str">
        <x:v>Вторник</x:v>
      </x:c>
      <x:c r="F389" s="13" t="str">
        <x:v>Тренировка A — техника/объём</x:v>
      </x:c>
      <x:c r="G389" s="44" t="n">
        <x:v>0.014583333333333334</x:v>
      </x:c>
      <x:c r="H389" s="44" t="n">
        <x:v>0.017361111111111112</x:v>
      </x:c>
      <x:c r="I389" s="32" t="n">
        <x:f>ROUND((H389-G389)*1440,0)</x:f>
        <x:v>4</x:v>
      </x:c>
      <x:c r="J389" s="13" t="str">
        <x:v>Разминочное лазание</x:v>
      </x:c>
      <x:c r="K389" s="13" t="str">
        <x:v>Пройди 2 трассы уровня 2–3, затем сделай 2–3 движения на комфортной четвёрке. Между ними 45–60 секунд.</x:v>
      </x:c>
      <x:c r="L389" s="13" t="str">
        <x:v>☐ Не начато</x:v>
      </x:c>
      <x:c r="M389" s="13" t="str">
        <x:v>Обязательно</x:v>
      </x:c>
      <x:c r="N389" s="13" t="str">
        <x:v>RPE 3–4</x:v>
      </x:c>
      <x:c r="O389" s="13" t="str">
        <x:v>Разминка не должна утомить пальцы.</x:v>
      </x:c>
      <x:c r="P389" s="13" t="str">
        <x:v>milestone_02_footwork_body_position/week_06_2026-10-12/02_TUESDAY.md</x:v>
      </x:c>
      <x:c r="Q389" s="138" t="str">
        <x:v>Markdown</x:v>
      </x:c>
      <x:c r="R389" s="20" t="str"/>
    </x:row>
    <x:row r="390" ht="36" customHeight="1">
      <x:c r="A390" s="19" t="str">
        <x:v>W06-20261013-0389</x:v>
      </x:c>
      <x:c r="B390" s="13" t="n">
        <x:v>6</x:v>
      </x:c>
      <x:c r="C390" s="13" t="str">
        <x:v>Этап 2 — Ноги и положение корпуса</x:v>
      </x:c>
      <x:c r="D390" s="138" t="str">
        <x:v>2026-10-13</x:v>
      </x:c>
      <x:c r="E390" s="13" t="str">
        <x:v>Вторник</x:v>
      </x:c>
      <x:c r="F390" s="13" t="str">
        <x:v>Тренировка A — техника/объём</x:v>
      </x:c>
      <x:c r="G390" s="44" t="n">
        <x:v>0.017361111111111112</x:v>
      </x:c>
      <x:c r="H390" s="44" t="n">
        <x:v>0.02013888888888889</x:v>
      </x:c>
      <x:c r="I390" s="32" t="n">
        <x:f>ROUND((H390-G390)*1440,0)</x:f>
        <x:v>4</x:v>
      </x:c>
      <x:c r="J390" s="13" t="str">
        <x:v>Выбор трасс</x:v>
      </x:c>
      <x:c r="K390" s="13" t="str">
        <x:v>Найди трассы для упражнения: 3 лёгкие вертикальные трассы 2–3. На каждой намеренно найти 2 места для flagging, даже если можно пройти без него.</x:v>
      </x:c>
      <x:c r="L390" s="13" t="str">
        <x:v>☐ Не начато</x:v>
      </x:c>
      <x:c r="M390" s="13" t="str">
        <x:v>Обязательно</x:v>
      </x:c>
      <x:c r="N390" s="13" t="str">
        <x:v>Без нагрузки</x:v>
      </x:c>
      <x:c r="O390" s="13" t="str">
        <x:v>Не тянуться в крайнее положение плеча. Smearing делать только на чистой поверхности и без резкого скольжения.</x:v>
      </x:c>
      <x:c r="P390" s="13" t="str">
        <x:v>milestone_02_footwork_body_position/week_06_2026-10-12/02_TUESDAY.md</x:v>
      </x:c>
      <x:c r="Q390" s="138" t="str">
        <x:v>Markdown</x:v>
      </x:c>
      <x:c r="R390" s="20" t="str"/>
    </x:row>
    <x:row r="391" ht="36" customHeight="1">
      <x:c r="A391" s="19" t="str">
        <x:v>W06-20261013-0390</x:v>
      </x:c>
      <x:c r="B391" s="13" t="n">
        <x:v>6</x:v>
      </x:c>
      <x:c r="C391" s="13" t="str">
        <x:v>Этап 2 — Ноги и положение корпуса</x:v>
      </x:c>
      <x:c r="D391" s="138" t="str">
        <x:v>2026-10-13</x:v>
      </x:c>
      <x:c r="E391" s="13" t="str">
        <x:v>Вторник</x:v>
      </x:c>
      <x:c r="F391" s="13" t="str">
        <x:v>Тренировка A — техника/объём</x:v>
      </x:c>
      <x:c r="G391" s="44" t="n">
        <x:v>0.02013888888888889</x:v>
      </x:c>
      <x:c r="H391" s="44" t="n">
        <x:v>0.03194444444444444</x:v>
      </x:c>
      <x:c r="I391" s="32" t="n">
        <x:f>ROUND((H391-G391)*1440,0)</x:f>
        <x:v>17</x:v>
      </x:c>
      <x:c r="J391" s="13" t="str">
        <x:v>Технический блок</x:v>
      </x:c>
      <x:c r="K391" s="13" t="str">
        <x:v>Отработай «Flagging». Шаги: Оставь свободную ногу на стене или проведи её за опорной ногой. Вытяни её ровно настолько, чтобы таз перестал вращаться. Сохрани вес на опорной стопе и руку максимально спокойной.</x:v>
      </x:c>
      <x:c r="L391" s="13" t="str">
        <x:v>☐ Не начато</x:v>
      </x:c>
      <x:c r="M391" s="13" t="str">
        <x:v>Обязательно</x:v>
      </x:c>
      <x:c r="N391" s="13" t="str">
        <x:v>RPE 3–5</x:v>
      </x:c>
      <x:c r="O391" s="13" t="str">
        <x:v>Не уходить в крайнее положение плеча. Smearing только на чистой поверхности и без резкого скольжения.</x:v>
      </x:c>
      <x:c r="P391" s="13" t="str">
        <x:v>milestone_02_footwork_body_position/week_06_2026-10-12/02_TUESDAY.md</x:v>
      </x:c>
      <x:c r="Q391" s="138" t="str">
        <x:v>Markdown</x:v>
      </x:c>
      <x:c r="R391" s="20" t="str"/>
    </x:row>
    <x:row r="392" ht="36" customHeight="1">
      <x:c r="A392" s="19" t="str">
        <x:v>W06-20261013-0391</x:v>
      </x:c>
      <x:c r="B392" s="13" t="n">
        <x:v>6</x:v>
      </x:c>
      <x:c r="C392" s="13" t="str">
        <x:v>Этап 2 — Ноги и положение корпуса</x:v>
      </x:c>
      <x:c r="D392" s="138" t="str">
        <x:v>2026-10-13</x:v>
      </x:c>
      <x:c r="E392" s="13" t="str">
        <x:v>Вторник</x:v>
      </x:c>
      <x:c r="F392" s="13" t="str">
        <x:v>Тренировка A — техника/объём</x:v>
      </x:c>
      <x:c r="G392" s="44" t="n">
        <x:v>0.03194444444444444</x:v>
      </x:c>
      <x:c r="H392" s="44" t="n">
        <x:v>0.035416666666666666</x:v>
      </x:c>
      <x:c r="I392" s="32" t="n">
        <x:f>ROUND((H392-G392)*1440,0)</x:f>
        <x:v>5</x:v>
      </x:c>
      <x:c r="J392" s="13" t="str">
        <x:v>Обратная связь</x:v>
      </x:c>
      <x:c r="K392" s="13" t="str">
        <x:v>Повтори лучшую лёгкую трассу и проверь критерий успеха: Корпус меньше раскрывается, а усилие руки субъективно ниже минимум на 1 балл из 10.</x:v>
      </x:c>
      <x:c r="L392" s="13" t="str">
        <x:v>☐ Не начато</x:v>
      </x:c>
      <x:c r="M392" s="13" t="str">
        <x:v>Обязательно</x:v>
      </x:c>
      <x:c r="N392" s="13" t="str">
        <x:v>RPE 4–5</x:v>
      </x:c>
      <x:c r="O392" s="13" t="str"/>
      <x:c r="P392" s="13" t="str">
        <x:v>milestone_02_footwork_body_position/week_06_2026-10-12/02_TUESDAY.md</x:v>
      </x:c>
      <x:c r="Q392" s="138" t="str">
        <x:v>Markdown</x:v>
      </x:c>
      <x:c r="R392" s="20" t="str"/>
    </x:row>
    <x:row r="393" ht="36" customHeight="1">
      <x:c r="A393" s="19" t="str">
        <x:v>W06-20261013-0392</x:v>
      </x:c>
      <x:c r="B393" s="13" t="n">
        <x:v>6</x:v>
      </x:c>
      <x:c r="C393" s="13" t="str">
        <x:v>Этап 2 — Ноги и положение корпуса</x:v>
      </x:c>
      <x:c r="D393" s="138" t="str">
        <x:v>2026-10-13</x:v>
      </x:c>
      <x:c r="E393" s="13" t="str">
        <x:v>Вторник</x:v>
      </x:c>
      <x:c r="F393" s="13" t="str">
        <x:v>Тренировка A — техника/объём</x:v>
      </x:c>
      <x:c r="G393" s="44" t="n">
        <x:v>0.035416666666666666</x:v>
      </x:c>
      <x:c r="H393" s="44" t="n">
        <x:v>0.04583333333333333</x:v>
      </x:c>
      <x:c r="I393" s="32" t="n">
        <x:f>ROUND((H393-G393)*1440,0)</x:f>
        <x:v>15</x:v>
      </x:c>
      <x:c r="J393" s="13" t="str">
        <x:v>Качественный объём</x:v>
      </x:c>
      <x:c r="K393" s="13" t="str">
        <x:v>Попробуй 2–3 четвёрки, максимум 2 попытки на каждую, отдых 2:00. На неудаче назови техническую причину.</x:v>
      </x:c>
      <x:c r="L393" s="13" t="str">
        <x:v>☐ Не начато</x:v>
      </x:c>
      <x:c r="M393" s="13" t="str">
        <x:v>Обязательно</x:v>
      </x:c>
      <x:c r="N393" s="13" t="str">
        <x:v>RPE 6–7</x:v>
      </x:c>
      <x:c r="O393" s="13" t="str">
        <x:v>Не выбирать подряд три трассы на одинаково маленьких кромках.</x:v>
      </x:c>
      <x:c r="P393" s="13" t="str">
        <x:v>milestone_02_footwork_body_position/week_06_2026-10-12/02_TUESDAY.md</x:v>
      </x:c>
      <x:c r="Q393" s="138" t="str">
        <x:v>Markdown</x:v>
      </x:c>
      <x:c r="R393" s="20" t="str"/>
    </x:row>
    <x:row r="394" ht="36" customHeight="1">
      <x:c r="A394" s="19" t="str">
        <x:v>W06-20261013-0393</x:v>
      </x:c>
      <x:c r="B394" s="13" t="n">
        <x:v>6</x:v>
      </x:c>
      <x:c r="C394" s="13" t="str">
        <x:v>Этап 2 — Ноги и положение корпуса</x:v>
      </x:c>
      <x:c r="D394" s="138" t="str">
        <x:v>2026-10-13</x:v>
      </x:c>
      <x:c r="E394" s="13" t="str">
        <x:v>Вторник</x:v>
      </x:c>
      <x:c r="F394" s="13" t="str">
        <x:v>Тренировка A — техника/объём</x:v>
      </x:c>
      <x:c r="G394" s="44" t="n">
        <x:v>0.04583333333333333</x:v>
      </x:c>
      <x:c r="H394" s="44" t="n">
        <x:v>0.052083333333333336</x:v>
      </x:c>
      <x:c r="I394" s="32" t="n">
        <x:f>ROUND((H394-G394)*1440,0)</x:f>
        <x:v>9</x:v>
      </x:c>
      <x:c r="J394" s="13" t="str">
        <x:v>Рабочая пятёрка</x:v>
      </x:c>
      <x:c r="K394" s="13" t="str">
        <x:v>Одна пятёрка, максимум 2 попытки, отдых 3:00. Цель — применить тему недели, а не обязательно закрыть.</x:v>
      </x:c>
      <x:c r="L394" s="13" t="str">
        <x:v>☐ Не начато</x:v>
      </x:c>
      <x:c r="M394" s="13" t="str">
        <x:v>Обязательно</x:v>
      </x:c>
      <x:c r="N394" s="13" t="str">
        <x:v>RPE 7–8</x:v>
      </x:c>
      <x:c r="O394" s="13" t="str">
        <x:v>Не тянуться в крайнее положение плеча. Smearing делать только на чистой поверхности и без резкого скольжения.</x:v>
      </x:c>
      <x:c r="P394" s="13" t="str">
        <x:v>milestone_02_footwork_body_position/week_06_2026-10-12/02_TUESDAY.md</x:v>
      </x:c>
      <x:c r="Q394" s="138" t="str">
        <x:v>Markdown</x:v>
      </x:c>
      <x:c r="R394" s="20" t="str"/>
    </x:row>
    <x:row r="395" ht="36" customHeight="1">
      <x:c r="A395" s="19" t="str">
        <x:v>W06-20261013-0394</x:v>
      </x:c>
      <x:c r="B395" s="13" t="n">
        <x:v>6</x:v>
      </x:c>
      <x:c r="C395" s="13" t="str">
        <x:v>Этап 2 — Ноги и положение корпуса</x:v>
      </x:c>
      <x:c r="D395" s="138" t="str">
        <x:v>2026-10-13</x:v>
      </x:c>
      <x:c r="E395" s="13" t="str">
        <x:v>Вторник</x:v>
      </x:c>
      <x:c r="F395" s="13" t="str">
        <x:v>Тренировка A — техника/объём</x:v>
      </x:c>
      <x:c r="G395" s="44" t="n">
        <x:v>0.052083333333333336</x:v>
      </x:c>
      <x:c r="H395" s="44" t="n">
        <x:v>0.058333333333333334</x:v>
      </x:c>
      <x:c r="I395" s="32" t="n">
        <x:f>ROUND((H395-G395)*1440,0)</x:f>
        <x:v>9</x:v>
      </x:c>
      <x:c r="J395" s="13" t="str">
        <x:v>Лёгкая выносливость</x:v>
      </x:c>
      <x:c r="K395" s="13" t="str">
        <x:v>Начни 2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395" s="13" t="str">
        <x:v>☐ Не начато</x:v>
      </x:c>
      <x:c r="M395" s="13" t="str">
        <x:v>Обязательно</x:v>
      </x:c>
      <x:c r="N395" s="13" t="str">
        <x:v>Памп максимум 4/10</x:v>
      </x:c>
      <x:c r="O395" s="13" t="str">
        <x:v>Остановиться при неточной постановке ног или разжимании пальцев.</x:v>
      </x:c>
      <x:c r="P395" s="13" t="str">
        <x:v>milestone_02_footwork_body_position/week_06_2026-10-12/02_TUESDAY.md</x:v>
      </x:c>
      <x:c r="Q395" s="138" t="str">
        <x:v>Markdown</x:v>
      </x:c>
      <x:c r="R395" s="20" t="str"/>
    </x:row>
    <x:row r="396" ht="36" customHeight="1">
      <x:c r="A396" s="19" t="str">
        <x:v>W06-20261013-0395</x:v>
      </x:c>
      <x:c r="B396" s="13" t="n">
        <x:v>6</x:v>
      </x:c>
      <x:c r="C396" s="13" t="str">
        <x:v>Этап 2 — Ноги и положение корпуса</x:v>
      </x:c>
      <x:c r="D396" s="138" t="str">
        <x:v>2026-10-13</x:v>
      </x:c>
      <x:c r="E396" s="13" t="str">
        <x:v>Вторник</x:v>
      </x:c>
      <x:c r="F396" s="13" t="str">
        <x:v>Тренировка A — техника/объём</x:v>
      </x:c>
      <x:c r="G396" s="44" t="n">
        <x:v>0.058333333333333334</x:v>
      </x:c>
      <x:c r="H396" s="44" t="n">
        <x:v>0.06041666666666667</x:v>
      </x:c>
      <x:c r="I396" s="32" t="n">
        <x:f>ROUND((H396-G396)*1440,0)</x:f>
        <x:v>3</x:v>
      </x:c>
      <x:c r="J396" s="13" t="str">
        <x:v>Завершение</x:v>
      </x:c>
      <x:c r="K396" s="13" t="str">
        <x:v>Очень лёгкий спуск/ходьба и спокойное встряхивание кистей.</x:v>
      </x:c>
      <x:c r="L396" s="13" t="str">
        <x:v>☐ Не начато</x:v>
      </x:c>
      <x:c r="M396" s="13" t="str">
        <x:v>Обязательно</x:v>
      </x:c>
      <x:c r="N396" s="13" t="str">
        <x:v>RPE 1–2</x:v>
      </x:c>
      <x:c r="O396" s="13" t="str"/>
      <x:c r="P396" s="13" t="str">
        <x:v>milestone_02_footwork_body_position/week_06_2026-10-12/02_TUESDAY.md</x:v>
      </x:c>
      <x:c r="Q396" s="138" t="str">
        <x:v>Markdown</x:v>
      </x:c>
      <x:c r="R396" s="20" t="str"/>
    </x:row>
    <x:row r="397" ht="36" customHeight="1">
      <x:c r="A397" s="19" t="str">
        <x:v>W06-20261013-0396</x:v>
      </x:c>
      <x:c r="B397" s="13" t="n">
        <x:v>6</x:v>
      </x:c>
      <x:c r="C397" s="13" t="str">
        <x:v>Этап 2 — Ноги и положение корпуса</x:v>
      </x:c>
      <x:c r="D397" s="138" t="str">
        <x:v>2026-10-13</x:v>
      </x:c>
      <x:c r="E397" s="13" t="str">
        <x:v>Вторник</x:v>
      </x:c>
      <x:c r="F397" s="13" t="str">
        <x:v>Тренировка A — техника/объём</x:v>
      </x:c>
      <x:c r="G397" s="44" t="n">
        <x:v>0.06041666666666667</x:v>
      </x:c>
      <x:c r="H397" s="44" t="n">
        <x:v>0.0625</x:v>
      </x:c>
      <x:c r="I397" s="32" t="n">
        <x:f>ROUND((H397-G397)*1440,0)</x:f>
        <x:v>3</x:v>
      </x:c>
      <x:c r="J397" s="13" t="str">
        <x:v>Журнал</x:v>
      </x:c>
      <x:c r="K397" s="13" t="str">
        <x:v>Запиши: Сделать одну и ту же лёгкую трассу без flagging и с ним; оценить усилие рук 1–10. Также отметь минуту первой просадки хвата.</x:v>
      </x:c>
      <x:c r="L397" s="13" t="str">
        <x:v>☐ Не начато</x:v>
      </x:c>
      <x:c r="M397" s="13" t="str">
        <x:v>Обязательно</x:v>
      </x:c>
      <x:c r="N397" s="13" t="str">
        <x:v>Без нагрузки</x:v>
      </x:c>
      <x:c r="O397" s="13" t="str"/>
      <x:c r="P397" s="13" t="str">
        <x:v>milestone_02_footwork_body_position/week_06_2026-10-12/02_TUESDAY.md</x:v>
      </x:c>
      <x:c r="Q397" s="138" t="str">
        <x:v>Markdown</x:v>
      </x:c>
      <x:c r="R397" s="20" t="str"/>
    </x:row>
    <x:row r="398" ht="36" customHeight="1">
      <x:c r="A398" s="19" t="str">
        <x:v>W06-20261014-0397</x:v>
      </x:c>
      <x:c r="B398" s="13" t="n">
        <x:v>6</x:v>
      </x:c>
      <x:c r="C398" s="13" t="str">
        <x:v>Этап 2 — Ноги и положение корпуса</x:v>
      </x:c>
      <x:c r="D398" s="138" t="str">
        <x:v>2026-10-14</x:v>
      </x:c>
      <x:c r="E398" s="13" t="str">
        <x:v>Среда</x:v>
      </x:c>
      <x:c r="F398" s="13" t="str">
        <x:v>Восстановление / видео</x:v>
      </x:c>
      <x:c r="G398" s="44" t="n">
        <x:v>0</x:v>
      </x:c>
      <x:c r="H398" s="44" t="n">
        <x:v>0.006944444444444444</x:v>
      </x:c>
      <x:c r="I398" s="32" t="n">
        <x:f>ROUND((H398-G398)*1440,0)</x:f>
        <x:v>10</x:v>
      </x:c>
      <x:c r="J398" s="13" t="str">
        <x:v>Восстановление</x:v>
      </x:c>
      <x:c r="K398" s="13" t="str">
        <x:v>10 минут спокойной ходьбы. Руки расслаблены; это не тренировка выносливости.</x:v>
      </x:c>
      <x:c r="L398" s="13" t="str">
        <x:v>☐ Не начато</x:v>
      </x:c>
      <x:c r="M398" s="13" t="str">
        <x:v>Обязательно</x:v>
      </x:c>
      <x:c r="N398" s="13" t="str">
        <x:v>RPE 1–2</x:v>
      </x:c>
      <x:c r="O398" s="13" t="str"/>
      <x:c r="P398" s="13" t="str">
        <x:v>milestone_02_footwork_body_position/week_06_2026-10-12/03_WEDNESDAY.md</x:v>
      </x:c>
      <x:c r="Q398" s="138" t="str">
        <x:v>Markdown</x:v>
      </x:c>
      <x:c r="R398" s="20" t="str"/>
    </x:row>
    <x:row r="399" ht="36" customHeight="1">
      <x:c r="A399" s="19" t="str">
        <x:v>W06-20261014-0398</x:v>
      </x:c>
      <x:c r="B399" s="13" t="n">
        <x:v>6</x:v>
      </x:c>
      <x:c r="C399" s="13" t="str">
        <x:v>Этап 2 — Ноги и положение корпуса</x:v>
      </x:c>
      <x:c r="D399" s="138" t="str">
        <x:v>2026-10-14</x:v>
      </x:c>
      <x:c r="E399" s="13" t="str">
        <x:v>Среда</x:v>
      </x:c>
      <x:c r="F399" s="13" t="str">
        <x:v>Восстановление / видео</x:v>
      </x:c>
      <x:c r="G399" s="44" t="n">
        <x:v>0.006944444444444444</x:v>
      </x:c>
      <x:c r="H399" s="44" t="n">
        <x:v>0.009027777777777777</x:v>
      </x:c>
      <x:c r="I399" s="32" t="n">
        <x:f>ROUND((H399-G399)*1440,0)</x:f>
        <x:v>3</x:v>
      </x:c>
      <x:c r="J399" s="13" t="str">
        <x:v>Самопроверка</x:v>
      </x:c>
      <x:c r="K399" s="13" t="str">
        <x:v>Оцени реакцию после вторника: плечо, пальцы, правое колено 0–10. Запиши, что изменилось относительно вчерашнего утра.</x:v>
      </x:c>
      <x:c r="L399" s="13" t="str">
        <x:v>☐ Не начато</x:v>
      </x:c>
      <x:c r="M399" s="13" t="str">
        <x:v>Обязательно</x:v>
      </x:c>
      <x:c r="N399" s="13" t="str">
        <x:v>Без нагрузки</x:v>
      </x:c>
      <x:c r="O399" s="13" t="str">
        <x:v>Острая локальная боль пальца или ухудшение плеча = не делать четверговую пальцевую нагрузку.</x:v>
      </x:c>
      <x:c r="P399" s="13" t="str">
        <x:v>milestone_02_footwork_body_position/week_06_2026-10-12/03_WEDNESDAY.md</x:v>
      </x:c>
      <x:c r="Q399" s="138" t="str">
        <x:v>Markdown</x:v>
      </x:c>
      <x:c r="R399" s="20" t="str"/>
    </x:row>
    <x:row r="400" ht="36" customHeight="1">
      <x:c r="A400" s="19" t="str">
        <x:v>W06-20261014-0399</x:v>
      </x:c>
      <x:c r="B400" s="13" t="n">
        <x:v>6</x:v>
      </x:c>
      <x:c r="C400" s="13" t="str">
        <x:v>Этап 2 — Ноги и положение корпуса</x:v>
      </x:c>
      <x:c r="D400" s="138" t="str">
        <x:v>2026-10-14</x:v>
      </x:c>
      <x:c r="E400" s="13" t="str">
        <x:v>Среда</x:v>
      </x:c>
      <x:c r="F400" s="13" t="str">
        <x:v>Восстановление / видео</x:v>
      </x:c>
      <x:c r="G400" s="44" t="n">
        <x:v>0.009027777777777777</x:v>
      </x:c>
      <x:c r="H400" s="44" t="n">
        <x:v>0.01597222222222222</x:v>
      </x:c>
      <x:c r="I400" s="32" t="n">
        <x:f>ROUND((H400-G400)*1440,0)</x:f>
        <x:v>10</x:v>
      </x:c>
      <x:c r="J400" s="13" t="str">
        <x:v>Видеоразбор</x:v>
      </x:c>
      <x:c r="K400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400" s="13" t="str">
        <x:v>☐ Не начато</x:v>
      </x:c>
      <x:c r="M400" s="13" t="str">
        <x:v>Обязательно</x:v>
      </x:c>
      <x:c r="N400" s="13" t="str">
        <x:v>Без нагрузки</x:v>
      </x:c>
      <x:c r="O400" s="13" t="str"/>
      <x:c r="P400" s="13" t="str">
        <x:v>milestone_02_footwork_body_position/week_06_2026-10-12/03_WEDNESDAY.md</x:v>
      </x:c>
      <x:c r="Q400" s="138" t="str">
        <x:v>Markdown</x:v>
      </x:c>
      <x:c r="R400" s="20" t="str"/>
    </x:row>
    <x:row r="401" ht="36" customHeight="1">
      <x:c r="A401" s="19" t="str">
        <x:v>W06-20261014-0400</x:v>
      </x:c>
      <x:c r="B401" s="13" t="n">
        <x:v>6</x:v>
      </x:c>
      <x:c r="C401" s="13" t="str">
        <x:v>Этап 2 — Ноги и положение корпуса</x:v>
      </x:c>
      <x:c r="D401" s="138" t="str">
        <x:v>2026-10-14</x:v>
      </x:c>
      <x:c r="E401" s="13" t="str">
        <x:v>Среда</x:v>
      </x:c>
      <x:c r="F401" s="13" t="str">
        <x:v>Восстановление / видео</x:v>
      </x:c>
      <x:c r="G401" s="44" t="n">
        <x:v>0.01597222222222222</x:v>
      </x:c>
      <x:c r="H401" s="44" t="n">
        <x:v>0.01875</x:v>
      </x:c>
      <x:c r="I401" s="32" t="n">
        <x:f>ROUND((H401-G401)*1440,0)</x:f>
        <x:v>4</x:v>
      </x:c>
      <x:c r="J401" s="13" t="str">
        <x:v>Конспект</x:v>
      </x:c>
      <x:c r="K401" s="13" t="str">
        <x:v>Запиши одну правку на четверг в формате «В следующей попытке я…». Используй cue: «Свободная нога — противовес; двигай её, пока таз не перестанет разворачиваться от стены.».</x:v>
      </x:c>
      <x:c r="L401" s="13" t="str">
        <x:v>☐ Не начато</x:v>
      </x:c>
      <x:c r="M401" s="13" t="str">
        <x:v>Обязательно</x:v>
      </x:c>
      <x:c r="N401" s="13" t="str">
        <x:v>Без нагрузки</x:v>
      </x:c>
      <x:c r="O401" s="13" t="str"/>
      <x:c r="P401" s="13" t="str">
        <x:v>milestone_02_footwork_body_position/week_06_2026-10-12/03_WEDNESDAY.md</x:v>
      </x:c>
      <x:c r="Q401" s="138" t="str">
        <x:v>Markdown</x:v>
      </x:c>
      <x:c r="R401" s="20" t="str"/>
    </x:row>
    <x:row r="402" ht="36" customHeight="1">
      <x:c r="A402" s="19" t="str">
        <x:v>W06-20261014-0401</x:v>
      </x:c>
      <x:c r="B402" s="13" t="n">
        <x:v>6</x:v>
      </x:c>
      <x:c r="C402" s="13" t="str">
        <x:v>Этап 2 — Ноги и положение корпуса</x:v>
      </x:c>
      <x:c r="D402" s="138" t="str">
        <x:v>2026-10-14</x:v>
      </x:c>
      <x:c r="E402" s="13" t="str">
        <x:v>Среда</x:v>
      </x:c>
      <x:c r="F402" s="13" t="str">
        <x:v>Восстановление / видео</x:v>
      </x:c>
      <x:c r="G402" s="44" t="n">
        <x:v>0.01875</x:v>
      </x:c>
      <x:c r="H402" s="44" t="n">
        <x:v>0.027083333333333334</x:v>
      </x:c>
      <x:c r="I402" s="32" t="n">
        <x:f>ROUND((H402-G402)*1440,0)</x:f>
        <x:v>12</x:v>
      </x:c>
      <x:c r="J402" s="13" t="str">
        <x:v>Домашняя мобильность</x:v>
      </x:c>
      <x:c r="K402" s="13" t="str">
        <x:v>Выполни комплекс H3 «Мобильность таза и контроль корпуса», 12 минут. Ни турника, ни колец для дополнительного хвата.</x:v>
      </x:c>
      <x:c r="L402" s="13" t="str">
        <x:v>☐ Не начато</x:v>
      </x:c>
      <x:c r="M402" s="13" t="str">
        <x:v>Обязательно</x:v>
      </x:c>
      <x:c r="N402" s="13" t="str">
        <x:v>RPE 2–3</x:v>
      </x:c>
      <x:c r="O402" s="13" t="str">
        <x:v>Никаких скручиваний через боль. Плечом не отталкивайся от стены; касание только для равновесия.</x:v>
      </x:c>
      <x:c r="P402" s="13" t="str">
        <x:v>milestone_02_footwork_body_position/week_06_2026-10-12/03_WEDNESDAY.md</x:v>
      </x:c>
      <x:c r="Q402" s="138" t="str">
        <x:v>Markdown</x:v>
      </x:c>
      <x:c r="R402" s="20" t="str"/>
    </x:row>
    <x:row r="403" ht="36" customHeight="1">
      <x:c r="A403" s="19" t="str">
        <x:v>W06-20261014-0402</x:v>
      </x:c>
      <x:c r="B403" s="13" t="n">
        <x:v>6</x:v>
      </x:c>
      <x:c r="C403" s="13" t="str">
        <x:v>Этап 2 — Ноги и положение корпуса</x:v>
      </x:c>
      <x:c r="D403" s="138" t="str">
        <x:v>2026-10-14</x:v>
      </x:c>
      <x:c r="E403" s="13" t="str">
        <x:v>Среда</x:v>
      </x:c>
      <x:c r="F403" s="13" t="str">
        <x:v>Восстановление / видео</x:v>
      </x:c>
      <x:c r="G403" s="44" t="n">
        <x:v>0.027083333333333334</x:v>
      </x:c>
      <x:c r="H403" s="44" t="n">
        <x:v>0.04097222222222222</x:v>
      </x:c>
      <x:c r="I403" s="32" t="n">
        <x:f>ROUND((H403-G403)*1440,0)</x:f>
        <x:v>20</x:v>
      </x:c>
      <x:c r="J403" s="13" t="str">
        <x:v>Физиотерапия</x:v>
      </x:c>
      <x:c r="K403" s="13" t="str">
        <x:v>Выполни свой назначенный физиотерапевтом комплекс, если среда входит в его расписание.</x:v>
      </x:c>
      <x:c r="L403" s="13" t="str">
        <x:v>☐ Не начато</x:v>
      </x:c>
      <x:c r="M403" s="13" t="str">
        <x:v>По назначению</x:v>
      </x:c>
      <x:c r="N403" s="13" t="str">
        <x:v>По назначению</x:v>
      </x:c>
      <x:c r="O403" s="13" t="str">
        <x:v>Назначения физиотерапевта имеют приоритет.</x:v>
      </x:c>
      <x:c r="P403" s="13" t="str">
        <x:v>milestone_02_footwork_body_position/week_06_2026-10-12/03_WEDNESDAY.md</x:v>
      </x:c>
      <x:c r="Q403" s="138" t="str">
        <x:v>Markdown</x:v>
      </x:c>
      <x:c r="R403" s="20" t="str"/>
    </x:row>
    <x:row r="404" ht="36" customHeight="1">
      <x:c r="A404" s="19" t="str">
        <x:v>W06-20261014-0403</x:v>
      </x:c>
      <x:c r="B404" s="13" t="n">
        <x:v>6</x:v>
      </x:c>
      <x:c r="C404" s="13" t="str">
        <x:v>Этап 2 — Ноги и положение корпуса</x:v>
      </x:c>
      <x:c r="D404" s="138" t="str">
        <x:v>2026-10-14</x:v>
      </x:c>
      <x:c r="E404" s="13" t="str">
        <x:v>Среда</x:v>
      </x:c>
      <x:c r="F404" s="13" t="str">
        <x:v>Восстановление / видео</x:v>
      </x:c>
      <x:c r="G404" s="44" t="n">
        <x:v>0.04097222222222222</x:v>
      </x:c>
      <x:c r="H404" s="44" t="n">
        <x:v>0.043055555555555555</x:v>
      </x:c>
      <x:c r="I404" s="32" t="n">
        <x:f>ROUND((H404-G404)*1440,0)</x:f>
        <x:v>3</x:v>
      </x:c>
      <x:c r="J404" s="13" t="str">
        <x:v>Запрет лишней нагрузки</x:v>
      </x:c>
      <x:c r="K404" s="13" t="str">
        <x:v>Поставь отметку: сегодня не было висов, подтягиваний «на проверку», эспандера-сжимателя или тяжёлого ношения.</x:v>
      </x:c>
      <x:c r="L404" s="13" t="str">
        <x:v>☐ Не начато</x:v>
      </x:c>
      <x:c r="M404" s="13" t="str">
        <x:v>Обязательно</x:v>
      </x:c>
      <x:c r="N404" s="13" t="str">
        <x:v>Восстановление</x:v>
      </x:c>
      <x:c r="O404" s="13" t="str"/>
      <x:c r="P404" s="13" t="str">
        <x:v>milestone_02_footwork_body_position/week_06_2026-10-12/03_WEDNESDAY.md</x:v>
      </x:c>
      <x:c r="Q404" s="138" t="str">
        <x:v>Markdown</x:v>
      </x:c>
      <x:c r="R404" s="20" t="str"/>
    </x:row>
    <x:row r="405" ht="36" customHeight="1">
      <x:c r="A405" s="19" t="str">
        <x:v>W06-20261015-0404</x:v>
      </x:c>
      <x:c r="B405" s="13" t="n">
        <x:v>6</x:v>
      </x:c>
      <x:c r="C405" s="13" t="str">
        <x:v>Этап 2 — Ноги и положение корпуса</x:v>
      </x:c>
      <x:c r="D405" s="138" t="str">
        <x:v>2026-10-15</x:v>
      </x:c>
      <x:c r="E405" s="13" t="str">
        <x:v>Четверг</x:v>
      </x:c>
      <x:c r="F405" s="13" t="str">
        <x:v>Тренировка B — пальцы/проект</x:v>
      </x:c>
      <x:c r="G405" s="44" t="n">
        <x:v>0</x:v>
      </x:c>
      <x:c r="H405" s="44" t="n">
        <x:v>0.0020833333333333333</x:v>
      </x:c>
      <x:c r="I405" s="32" t="n">
        <x:f>ROUND((H405-G405)*1440,0)</x:f>
        <x:v>3</x:v>
      </x:c>
      <x:c r="J405" s="13" t="str">
        <x:v>Самопроверка</x:v>
      </x:c>
      <x:c r="K40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405" s="13" t="str">
        <x:v>☐ Не начато</x:v>
      </x:c>
      <x:c r="M405" s="13" t="str">
        <x:v>Обязательно</x:v>
      </x:c>
      <x:c r="N405" s="13" t="str">
        <x:v>Без нагрузки</x:v>
      </x:c>
      <x:c r="O405" s="13" t="str">
        <x:v>Красный флаг = не начинать пальцевую нагрузку.</x:v>
      </x:c>
      <x:c r="P405" s="13" t="str">
        <x:v>milestone_02_footwork_body_position/week_06_2026-10-12/04_THURSDAY.md</x:v>
      </x:c>
      <x:c r="Q405" s="138" t="str">
        <x:v>Markdown</x:v>
      </x:c>
      <x:c r="R405" s="20" t="str"/>
    </x:row>
    <x:row r="406" ht="36" customHeight="1">
      <x:c r="A406" s="19" t="str">
        <x:v>W06-20261015-0405</x:v>
      </x:c>
      <x:c r="B406" s="13" t="n">
        <x:v>6</x:v>
      </x:c>
      <x:c r="C406" s="13" t="str">
        <x:v>Этап 2 — Ноги и положение корпуса</x:v>
      </x:c>
      <x:c r="D406" s="138" t="str">
        <x:v>2026-10-15</x:v>
      </x:c>
      <x:c r="E406" s="13" t="str">
        <x:v>Четверг</x:v>
      </x:c>
      <x:c r="F406" s="13" t="str">
        <x:v>Тренировка B — пальцы/проект</x:v>
      </x:c>
      <x:c r="G406" s="44" t="n">
        <x:v>0.0020833333333333333</x:v>
      </x:c>
      <x:c r="H406" s="44" t="n">
        <x:v>0.005555555555555556</x:v>
      </x:c>
      <x:c r="I406" s="32" t="n">
        <x:f>ROUND((H406-G406)*1440,0)</x:f>
        <x:v>5</x:v>
      </x:c>
      <x:c r="J406" s="13" t="str">
        <x:v>Разминка</x:v>
      </x:c>
      <x:c r="K406" s="13" t="str">
        <x:v>Подними температуру: быстрая ходьба, лестница или лёгкий велотренажёр 5 минут.</x:v>
      </x:c>
      <x:c r="L406" s="13" t="str">
        <x:v>☐ Не начато</x:v>
      </x:c>
      <x:c r="M406" s="13" t="str">
        <x:v>Обязательно</x:v>
      </x:c>
      <x:c r="N406" s="13" t="str">
        <x:v>RPE 2–3</x:v>
      </x:c>
      <x:c r="O406" s="13" t="str"/>
      <x:c r="P406" s="13" t="str">
        <x:v>milestone_02_footwork_body_position/week_06_2026-10-12/04_THURSDAY.md</x:v>
      </x:c>
      <x:c r="Q406" s="138" t="str">
        <x:v>Markdown</x:v>
      </x:c>
      <x:c r="R406" s="20" t="str"/>
    </x:row>
    <x:row r="407" ht="36" customHeight="1">
      <x:c r="A407" s="19" t="str">
        <x:v>W06-20261015-0406</x:v>
      </x:c>
      <x:c r="B407" s="13" t="n">
        <x:v>6</x:v>
      </x:c>
      <x:c r="C407" s="13" t="str">
        <x:v>Этап 2 — Ноги и положение корпуса</x:v>
      </x:c>
      <x:c r="D407" s="138" t="str">
        <x:v>2026-10-15</x:v>
      </x:c>
      <x:c r="E407" s="13" t="str">
        <x:v>Четверг</x:v>
      </x:c>
      <x:c r="F407" s="13" t="str">
        <x:v>Тренировка B — пальцы/проект</x:v>
      </x:c>
      <x:c r="G407" s="44" t="n">
        <x:v>0.005555555555555556</x:v>
      </x:c>
      <x:c r="H407" s="44" t="n">
        <x:v>0.009027777777777777</x:v>
      </x:c>
      <x:c r="I407" s="32" t="n">
        <x:f>ROUND((H407-G407)*1440,0)</x:f>
        <x:v>5</x:v>
      </x:c>
      <x:c r="J407" s="13" t="str">
        <x:v>Разминка</x:v>
      </x:c>
      <x:c r="K40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407" s="13" t="str">
        <x:v>☐ Не начато</x:v>
      </x:c>
      <x:c r="M407" s="13" t="str">
        <x:v>Обязательно</x:v>
      </x:c>
      <x:c r="N407" s="13" t="str">
        <x:v>Очень легко</x:v>
      </x:c>
      <x:c r="O407" s="13" t="str">
        <x:v>Не делай press/отжимания и движения, которые раздражают плечо.</x:v>
      </x:c>
      <x:c r="P407" s="13" t="str">
        <x:v>milestone_02_footwork_body_position/week_06_2026-10-12/04_THURSDAY.md</x:v>
      </x:c>
      <x:c r="Q407" s="138" t="str">
        <x:v>Markdown</x:v>
      </x:c>
      <x:c r="R407" s="20" t="str"/>
    </x:row>
    <x:row r="408" ht="36" customHeight="1">
      <x:c r="A408" s="19" t="str">
        <x:v>W06-20261015-0407</x:v>
      </x:c>
      <x:c r="B408" s="13" t="n">
        <x:v>6</x:v>
      </x:c>
      <x:c r="C408" s="13" t="str">
        <x:v>Этап 2 — Ноги и положение корпуса</x:v>
      </x:c>
      <x:c r="D408" s="138" t="str">
        <x:v>2026-10-15</x:v>
      </x:c>
      <x:c r="E408" s="13" t="str">
        <x:v>Четверг</x:v>
      </x:c>
      <x:c r="F408" s="13" t="str">
        <x:v>Тренировка B — пальцы/проект</x:v>
      </x:c>
      <x:c r="G408" s="44" t="n">
        <x:v>0.009027777777777777</x:v>
      </x:c>
      <x:c r="H408" s="44" t="n">
        <x:v>0.011805555555555555</x:v>
      </x:c>
      <x:c r="I408" s="32" t="n">
        <x:f>ROUND((H408-G408)*1440,0)</x:f>
        <x:v>4</x:v>
      </x:c>
      <x:c r="J408" s="13" t="str">
        <x:v>Разминка пальцев</x:v>
      </x:c>
      <x:c r="K40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408" s="13" t="str">
        <x:v>☐ Не начато</x:v>
      </x:c>
      <x:c r="M408" s="13" t="str">
        <x:v>Обязательно</x:v>
      </x:c>
      <x:c r="N408" s="13" t="str">
        <x:v>Очень легко</x:v>
      </x:c>
      <x:c r="O408" s="13" t="str"/>
      <x:c r="P408" s="13" t="str">
        <x:v>milestone_02_footwork_body_position/week_06_2026-10-12/04_THURSDAY.md</x:v>
      </x:c>
      <x:c r="Q408" s="138" t="str">
        <x:v>Markdown</x:v>
      </x:c>
      <x:c r="R408" s="20" t="str"/>
    </x:row>
    <x:row r="409" ht="36" customHeight="1">
      <x:c r="A409" s="19" t="str">
        <x:v>W06-20261015-0408</x:v>
      </x:c>
      <x:c r="B409" s="13" t="n">
        <x:v>6</x:v>
      </x:c>
      <x:c r="C409" s="13" t="str">
        <x:v>Этап 2 — Ноги и положение корпуса</x:v>
      </x:c>
      <x:c r="D409" s="138" t="str">
        <x:v>2026-10-15</x:v>
      </x:c>
      <x:c r="E409" s="13" t="str">
        <x:v>Четверг</x:v>
      </x:c>
      <x:c r="F409" s="13" t="str">
        <x:v>Тренировка B — пальцы/проект</x:v>
      </x:c>
      <x:c r="G409" s="44" t="n">
        <x:v>0.011805555555555555</x:v>
      </x:c>
      <x:c r="H409" s="44" t="n">
        <x:v>0.014583333333333334</x:v>
      </x:c>
      <x:c r="I409" s="32" t="n">
        <x:f>ROUND((H409-G409)*1440,0)</x:f>
        <x:v>4</x:v>
      </x:c>
      <x:c r="J409" s="13" t="str">
        <x:v>Разминочное лазание</x:v>
      </x:c>
      <x:c r="K409" s="13" t="str">
        <x:v>Пройди 2 очень лёгкие трассы уровня 1–2; двигайся медленно, спускайся по зацепам.</x:v>
      </x:c>
      <x:c r="L409" s="13" t="str">
        <x:v>☐ Не начато</x:v>
      </x:c>
      <x:c r="M409" s="13" t="str">
        <x:v>Обязательно</x:v>
      </x:c>
      <x:c r="N409" s="13" t="str">
        <x:v>RPE 2–3</x:v>
      </x:c>
      <x:c r="O409" s="13" t="str">
        <x:v>Финиш с обязательным болезненным mantle/press пропусти.</x:v>
      </x:c>
      <x:c r="P409" s="13" t="str">
        <x:v>milestone_02_footwork_body_position/week_06_2026-10-12/04_THURSDAY.md</x:v>
      </x:c>
      <x:c r="Q409" s="138" t="str">
        <x:v>Markdown</x:v>
      </x:c>
      <x:c r="R409" s="20" t="str"/>
    </x:row>
    <x:row r="410" ht="36" customHeight="1">
      <x:c r="A410" s="19" t="str">
        <x:v>W06-20261015-0409</x:v>
      </x:c>
      <x:c r="B410" s="13" t="n">
        <x:v>6</x:v>
      </x:c>
      <x:c r="C410" s="13" t="str">
        <x:v>Этап 2 — Ноги и положение корпуса</x:v>
      </x:c>
      <x:c r="D410" s="138" t="str">
        <x:v>2026-10-15</x:v>
      </x:c>
      <x:c r="E410" s="13" t="str">
        <x:v>Четверг</x:v>
      </x:c>
      <x:c r="F410" s="13" t="str">
        <x:v>Тренировка B — пальцы/проект</x:v>
      </x:c>
      <x:c r="G410" s="44" t="n">
        <x:v>0.014583333333333334</x:v>
      </x:c>
      <x:c r="H410" s="44" t="n">
        <x:v>0.017361111111111112</x:v>
      </x:c>
      <x:c r="I410" s="32" t="n">
        <x:f>ROUND((H410-G410)*1440,0)</x:f>
        <x:v>4</x:v>
      </x:c>
      <x:c r="J410" s="13" t="str">
        <x:v>Разминочное лазание</x:v>
      </x:c>
      <x:c r="K410" s="13" t="str">
        <x:v>Пройди 2 трассы уровня 2–3, затем сделай 2–3 движения на комфортной четвёрке. Между ними 45–60 секунд.</x:v>
      </x:c>
      <x:c r="L410" s="13" t="str">
        <x:v>☐ Не начато</x:v>
      </x:c>
      <x:c r="M410" s="13" t="str">
        <x:v>Обязательно</x:v>
      </x:c>
      <x:c r="N410" s="13" t="str">
        <x:v>RPE 3–4</x:v>
      </x:c>
      <x:c r="O410" s="13" t="str">
        <x:v>Разминка не должна утомить пальцы.</x:v>
      </x:c>
      <x:c r="P410" s="13" t="str">
        <x:v>milestone_02_footwork_body_position/week_06_2026-10-12/04_THURSDAY.md</x:v>
      </x:c>
      <x:c r="Q410" s="138" t="str">
        <x:v>Markdown</x:v>
      </x:c>
      <x:c r="R410" s="20" t="str"/>
    </x:row>
    <x:row r="411" ht="36" customHeight="1">
      <x:c r="A411" s="19" t="str">
        <x:v>W06-20261015-0410</x:v>
      </x:c>
      <x:c r="B411" s="13" t="n">
        <x:v>6</x:v>
      </x:c>
      <x:c r="C411" s="13" t="str">
        <x:v>Этап 2 — Ноги и положение корпуса</x:v>
      </x:c>
      <x:c r="D411" s="138" t="str">
        <x:v>2026-10-15</x:v>
      </x:c>
      <x:c r="E411" s="13" t="str">
        <x:v>Четверг</x:v>
      </x:c>
      <x:c r="F411" s="13" t="str">
        <x:v>Тренировка B — пальцы/проект</x:v>
      </x:c>
      <x:c r="G411" s="44" t="n">
        <x:v>0.017361111111111112</x:v>
      </x:c>
      <x:c r="H411" s="44" t="n">
        <x:v>0.019444444444444445</x:v>
      </x:c>
      <x:c r="I411" s="32" t="n">
        <x:f>ROUND((H411-G411)*1440,0)</x:f>
        <x:v>3</x:v>
      </x:c>
      <x:c r="J411" s="13" t="str">
        <x:v>Фингерборд — готовность</x:v>
      </x:c>
      <x:c r="K411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411" s="13" t="str">
        <x:v>☐ Не начато</x:v>
      </x:c>
      <x:c r="M411" s="13" t="str">
        <x:v>Обязательно</x:v>
      </x:c>
      <x:c r="N411" s="13" t="str">
        <x:v>Подготовка</x:v>
      </x:c>
      <x:c r="O411" s="13" t="str">
        <x:v>Плечо полностью спокойно; full crimp, карманы, одна рука и допвес запрещены.</x:v>
      </x:c>
      <x:c r="P411" s="13" t="str">
        <x:v>milestone_02_footwork_body_position/week_06_2026-10-12/04_THURSDAY.md</x:v>
      </x:c>
      <x:c r="Q411" s="138" t="str">
        <x:v>Markdown</x:v>
      </x:c>
      <x:c r="R411" s="20" t="str"/>
    </x:row>
    <x:row r="412" ht="36" customHeight="1">
      <x:c r="A412" s="19" t="str">
        <x:v>W06-20261015-0411</x:v>
      </x:c>
      <x:c r="B412" s="13" t="n">
        <x:v>6</x:v>
      </x:c>
      <x:c r="C412" s="13" t="str">
        <x:v>Этап 2 — Ноги и положение корпуса</x:v>
      </x:c>
      <x:c r="D412" s="138" t="str">
        <x:v>2026-10-15</x:v>
      </x:c>
      <x:c r="E412" s="13" t="str">
        <x:v>Четверг</x:v>
      </x:c>
      <x:c r="F412" s="13" t="str">
        <x:v>Тренировка B — пальцы/проект</x:v>
      </x:c>
      <x:c r="G412" s="44" t="n">
        <x:v>0.019444444444444445</x:v>
      </x:c>
      <x:c r="H412" s="44" t="n">
        <x:v>0.029861111111111113</x:v>
      </x:c>
      <x:c r="I412" s="32" t="n">
        <x:f>ROUND((H412-G412)*1440,0)</x:f>
        <x:v>15</x:v>
      </x:c>
      <x:c r="J412" s="13" t="str">
        <x:v>Фингерборд</x:v>
      </x:c>
      <x:c r="K412" s="13" t="str">
        <x:v>Выполни протокол: 4 × 7 сек, ноги помогают, RPE 6, отдых 2:00. Запусти таймер. Каждый вис прекращай с указанным запасом; форма кисти не меняется.</x:v>
      </x:c>
      <x:c r="L412" s="13" t="str">
        <x:v>☐ Не начато</x:v>
      </x:c>
      <x:c r="M412" s="13" t="str">
        <x:v>Обязательно</x:v>
      </x:c>
      <x:c r="N412" s="13" t="str">
        <x:v>4 × 7 сек, ноги помогают, RPE 6, отдых 2:00</x:v>
      </x:c>
      <x:c r="O412" s="13" t="str">
        <x:v>Острая боль, дрожь формы, падение RPE-контроля или боль плеча = закончить блок.</x:v>
      </x:c>
      <x:c r="P412" s="13" t="str">
        <x:v>milestone_02_footwork_body_position/week_06_2026-10-12/04_THURSDAY.md</x:v>
      </x:c>
      <x:c r="Q412" s="138" t="str">
        <x:v>Markdown</x:v>
      </x:c>
      <x:c r="R412" s="20" t="str"/>
    </x:row>
    <x:row r="413" ht="36" customHeight="1">
      <x:c r="A413" s="19" t="str">
        <x:v>W06-20261015-0412</x:v>
      </x:c>
      <x:c r="B413" s="13" t="n">
        <x:v>6</x:v>
      </x:c>
      <x:c r="C413" s="13" t="str">
        <x:v>Этап 2 — Ноги и положение корпуса</x:v>
      </x:c>
      <x:c r="D413" s="138" t="str">
        <x:v>2026-10-15</x:v>
      </x:c>
      <x:c r="E413" s="13" t="str">
        <x:v>Четверг</x:v>
      </x:c>
      <x:c r="F413" s="13" t="str">
        <x:v>Тренировка B — пальцы/проект</x:v>
      </x:c>
      <x:c r="G413" s="44" t="n">
        <x:v>0.029861111111111113</x:v>
      </x:c>
      <x:c r="H413" s="44" t="n">
        <x:v>0.03194444444444444</x:v>
      </x:c>
      <x:c r="I413" s="32" t="n">
        <x:f>ROUND((H413-G413)*1440,0)</x:f>
        <x:v>3</x:v>
      </x:c>
      <x:c r="J413" s="13" t="str">
        <x:v>Фингерборд — запись</x:v>
      </x:c>
      <x:c r="K413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413" s="13" t="str">
        <x:v>☐ Не начато</x:v>
      </x:c>
      <x:c r="M413" s="13" t="str">
        <x:v>Обязательно</x:v>
      </x:c>
      <x:c r="N413" s="13" t="str">
        <x:v>Без нагрузки</x:v>
      </x:c>
      <x:c r="O413" s="13" t="str"/>
      <x:c r="P413" s="13" t="str">
        <x:v>milestone_02_footwork_body_position/week_06_2026-10-12/04_THURSDAY.md</x:v>
      </x:c>
      <x:c r="Q413" s="138" t="str">
        <x:v>Markdown</x:v>
      </x:c>
      <x:c r="R413" s="20" t="str"/>
    </x:row>
    <x:row r="414" ht="36" customHeight="1">
      <x:c r="A414" s="19" t="str">
        <x:v>W06-20261015-0413</x:v>
      </x:c>
      <x:c r="B414" s="13" t="n">
        <x:v>6</x:v>
      </x:c>
      <x:c r="C414" s="13" t="str">
        <x:v>Этап 2 — Ноги и положение корпуса</x:v>
      </x:c>
      <x:c r="D414" s="138" t="str">
        <x:v>2026-10-15</x:v>
      </x:c>
      <x:c r="E414" s="13" t="str">
        <x:v>Четверг</x:v>
      </x:c>
      <x:c r="F414" s="13" t="str">
        <x:v>Тренировка B — пальцы/проект</x:v>
      </x:c>
      <x:c r="G414" s="44" t="n">
        <x:v>0.03194444444444444</x:v>
      </x:c>
      <x:c r="H414" s="44" t="n">
        <x:v>0.035416666666666666</x:v>
      </x:c>
      <x:c r="I414" s="32" t="n">
        <x:f>ROUND((H414-G414)*1440,0)</x:f>
        <x:v>5</x:v>
      </x:c>
      <x:c r="J414" s="13" t="str">
        <x:v>Отдых</x:v>
      </x:c>
      <x:c r="K414" s="13" t="str">
        <x:v>5 минут полного отдыха: ходьба, вода, без лазания и без тестового виса.</x:v>
      </x:c>
      <x:c r="L414" s="13" t="str">
        <x:v>☐ Не начато</x:v>
      </x:c>
      <x:c r="M414" s="13" t="str">
        <x:v>Обязательно</x:v>
      </x:c>
      <x:c r="N414" s="13" t="str">
        <x:v>Восстановление</x:v>
      </x:c>
      <x:c r="O414" s="13" t="str"/>
      <x:c r="P414" s="13" t="str">
        <x:v>milestone_02_footwork_body_position/week_06_2026-10-12/04_THURSDAY.md</x:v>
      </x:c>
      <x:c r="Q414" s="138" t="str">
        <x:v>Markdown</x:v>
      </x:c>
      <x:c r="R414" s="20" t="str"/>
    </x:row>
    <x:row r="415" ht="36" customHeight="1">
      <x:c r="A415" s="19" t="str">
        <x:v>W06-20261015-0414</x:v>
      </x:c>
      <x:c r="B415" s="13" t="n">
        <x:v>6</x:v>
      </x:c>
      <x:c r="C415" s="13" t="str">
        <x:v>Этап 2 — Ноги и положение корпуса</x:v>
      </x:c>
      <x:c r="D415" s="138" t="str">
        <x:v>2026-10-15</x:v>
      </x:c>
      <x:c r="E415" s="13" t="str">
        <x:v>Четверг</x:v>
      </x:c>
      <x:c r="F415" s="13" t="str">
        <x:v>Тренировка B — пальцы/проект</x:v>
      </x:c>
      <x:c r="G415" s="44" t="n">
        <x:v>0.035416666666666666</x:v>
      </x:c>
      <x:c r="H415" s="44" t="n">
        <x:v>0.03819444444444445</x:v>
      </x:c>
      <x:c r="I415" s="32" t="n">
        <x:f>ROUND((H415-G415)*1440,0)</x:f>
        <x:v>4</x:v>
      </x:c>
      <x:c r="J415" s="13" t="str">
        <x:v>Выбор проекта</x:v>
      </x:c>
      <x:c r="K415" s="13" t="str">
        <x:v>Выбери трассу по критериям недели: Пятёрка, где тебя «раскрывает» от стены или остаются только 3 точки контакта.</x:v>
      </x:c>
      <x:c r="L415" s="13" t="str">
        <x:v>☐ Не начато</x:v>
      </x:c>
      <x:c r="M415" s="13" t="str">
        <x:v>Обязательно</x:v>
      </x:c>
      <x:c r="N415" s="13" t="str">
        <x:v>Без нагрузки</x:v>
      </x:c>
      <x:c r="O415" s="13" t="str">
        <x:v>Не тянуться в крайнее положение плеча. Smearing делать только на чистой поверхности и без резкого скольжения.</x:v>
      </x:c>
      <x:c r="P415" s="13" t="str">
        <x:v>milestone_02_footwork_body_position/week_06_2026-10-12/04_THURSDAY.md</x:v>
      </x:c>
      <x:c r="Q415" s="138" t="str">
        <x:v>Markdown</x:v>
      </x:c>
      <x:c r="R415" s="20" t="str"/>
    </x:row>
    <x:row r="416" ht="36" customHeight="1">
      <x:c r="A416" s="19" t="str">
        <x:v>W06-20261015-0415</x:v>
      </x:c>
      <x:c r="B416" s="13" t="n">
        <x:v>6</x:v>
      </x:c>
      <x:c r="C416" s="13" t="str">
        <x:v>Этап 2 — Ноги и положение корпуса</x:v>
      </x:c>
      <x:c r="D416" s="138" t="str">
        <x:v>2026-10-15</x:v>
      </x:c>
      <x:c r="E416" s="13" t="str">
        <x:v>Четверг</x:v>
      </x:c>
      <x:c r="F416" s="13" t="str">
        <x:v>Тренировка B — пальцы/проект</x:v>
      </x:c>
      <x:c r="G416" s="44" t="n">
        <x:v>0.03819444444444445</x:v>
      </x:c>
      <x:c r="H416" s="44" t="n">
        <x:v>0.041666666666666664</x:v>
      </x:c>
      <x:c r="I416" s="32" t="n">
        <x:f>ROUND((H416-G416)*1440,0)</x:f>
        <x:v>5</x:v>
      </x:c>
      <x:c r="J416" s="13" t="str">
        <x:v>Проект — попытка 1</x:v>
      </x:c>
      <x:c r="K416" s="13" t="str">
        <x:v>Сделай первую полную диагностическую попытку. После падения не повторяй сразу: назови точную причину.</x:v>
      </x:c>
      <x:c r="L416" s="13" t="str">
        <x:v>☐ Не начато</x:v>
      </x:c>
      <x:c r="M416" s="13" t="str">
        <x:v>Обязательно</x:v>
      </x:c>
      <x:c r="N416" s="13" t="str">
        <x:v>RPE 7–8</x:v>
      </x:c>
      <x:c r="O416" s="13" t="str">
        <x:v>Прекратить движение при боли, а не после падения.</x:v>
      </x:c>
      <x:c r="P416" s="13" t="str">
        <x:v>milestone_02_footwork_body_position/week_06_2026-10-12/04_THURSDAY.md</x:v>
      </x:c>
      <x:c r="Q416" s="138" t="str">
        <x:v>Markdown</x:v>
      </x:c>
      <x:c r="R416" s="20" t="str"/>
    </x:row>
    <x:row r="417" ht="36" customHeight="1">
      <x:c r="A417" s="19" t="str">
        <x:v>W06-20261015-0416</x:v>
      </x:c>
      <x:c r="B417" s="13" t="n">
        <x:v>6</x:v>
      </x:c>
      <x:c r="C417" s="13" t="str">
        <x:v>Этап 2 — Ноги и положение корпуса</x:v>
      </x:c>
      <x:c r="D417" s="138" t="str">
        <x:v>2026-10-15</x:v>
      </x:c>
      <x:c r="E417" s="13" t="str">
        <x:v>Четверг</x:v>
      </x:c>
      <x:c r="F417" s="13" t="str">
        <x:v>Тренировка B — пальцы/проект</x:v>
      </x:c>
      <x:c r="G417" s="44" t="n">
        <x:v>0.041666666666666664</x:v>
      </x:c>
      <x:c r="H417" s="44" t="n">
        <x:v>0.04513888888888889</x:v>
      </x:c>
      <x:c r="I417" s="32" t="n">
        <x:f>ROUND((H417-G417)*1440,0)</x:f>
        <x:v>5</x:v>
      </x:c>
      <x:c r="J417" s="13" t="str">
        <x:v>Отдых / гипотеза</x:v>
      </x:c>
      <x:c r="K417" s="13" t="str">
        <x:v>Отдых 4–5 минут. Запиши одну гипотезу: стопа, положение таза, хват или темп.</x:v>
      </x:c>
      <x:c r="L417" s="13" t="str">
        <x:v>☐ Не начато</x:v>
      </x:c>
      <x:c r="M417" s="13" t="str">
        <x:v>Обязательно</x:v>
      </x:c>
      <x:c r="N417" s="13" t="str">
        <x:v>Восстановление</x:v>
      </x:c>
      <x:c r="O417" s="13" t="str"/>
      <x:c r="P417" s="13" t="str">
        <x:v>milestone_02_footwork_body_position/week_06_2026-10-12/04_THURSDAY.md</x:v>
      </x:c>
      <x:c r="Q417" s="138" t="str">
        <x:v>Markdown</x:v>
      </x:c>
      <x:c r="R417" s="20" t="str"/>
    </x:row>
    <x:row r="418" ht="36" customHeight="1">
      <x:c r="A418" s="19" t="str">
        <x:v>W06-20261015-0417</x:v>
      </x:c>
      <x:c r="B418" s="13" t="n">
        <x:v>6</x:v>
      </x:c>
      <x:c r="C418" s="13" t="str">
        <x:v>Этап 2 — Ноги и положение корпуса</x:v>
      </x:c>
      <x:c r="D418" s="138" t="str">
        <x:v>2026-10-15</x:v>
      </x:c>
      <x:c r="E418" s="13" t="str">
        <x:v>Четверг</x:v>
      </x:c>
      <x:c r="F418" s="13" t="str">
        <x:v>Тренировка B — пальцы/проект</x:v>
      </x:c>
      <x:c r="G418" s="44" t="n">
        <x:v>0.04513888888888889</x:v>
      </x:c>
      <x:c r="H418" s="44" t="n">
        <x:v>0.049305555555555554</x:v>
      </x:c>
      <x:c r="I418" s="32" t="n">
        <x:f>ROUND((H418-G418)*1440,0)</x:f>
        <x:v>6</x:v>
      </x:c>
      <x:c r="J418" s="13" t="str">
        <x:v>Проект — попытки 2–3</x:v>
      </x:c>
      <x:c r="K418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418" s="13" t="str">
        <x:v>☐ Не начато</x:v>
      </x:c>
      <x:c r="M418" s="13" t="str">
        <x:v>Обязательно</x:v>
      </x:c>
      <x:c r="N418" s="13" t="str">
        <x:v>RPE 7–8, без отказа</x:v>
      </x:c>
      <x:c r="O418" s="13" t="str">
        <x:v>Не смотреть beta заранее: сначала собственная гипотеза.</x:v>
      </x:c>
      <x:c r="P418" s="13" t="str">
        <x:v>milestone_02_footwork_body_position/week_06_2026-10-12/04_THURSDAY.md</x:v>
      </x:c>
      <x:c r="Q418" s="138" t="str">
        <x:v>Markdown</x:v>
      </x:c>
      <x:c r="R418" s="20" t="str"/>
    </x:row>
    <x:row r="419" ht="36" customHeight="1">
      <x:c r="A419" s="19" t="str">
        <x:v>W06-20261015-0418</x:v>
      </x:c>
      <x:c r="B419" s="13" t="n">
        <x:v>6</x:v>
      </x:c>
      <x:c r="C419" s="13" t="str">
        <x:v>Этап 2 — Ноги и положение корпуса</x:v>
      </x:c>
      <x:c r="D419" s="138" t="str">
        <x:v>2026-10-15</x:v>
      </x:c>
      <x:c r="E419" s="13" t="str">
        <x:v>Четверг</x:v>
      </x:c>
      <x:c r="F419" s="13" t="str">
        <x:v>Тренировка B — пальцы/проект</x:v>
      </x:c>
      <x:c r="G419" s="44" t="n">
        <x:v>0.049305555555555554</x:v>
      </x:c>
      <x:c r="H419" s="44" t="n">
        <x:v>0.05277777777777778</x:v>
      </x:c>
      <x:c r="I419" s="32" t="n">
        <x:f>ROUND((H419-G419)*1440,0)</x:f>
        <x:v>5</x:v>
      </x:c>
      <x:c r="J419" s="13" t="str">
        <x:v>Проект — заключительная попытка</x:v>
      </x:c>
      <x:c r="K419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419" s="13" t="str">
        <x:v>☐ Не начато</x:v>
      </x:c>
      <x:c r="M419" s="13" t="str">
        <x:v>Обязательно</x:v>
      </x:c>
      <x:c r="N419" s="13" t="str">
        <x:v>RPE 8, с запасом</x:v>
      </x:c>
      <x:c r="O419" s="13" t="str">
        <x:v>Не тянуться в крайнее положение плеча. Smearing делать только на чистой поверхности и без резкого скольжения.</x:v>
      </x:c>
      <x:c r="P419" s="13" t="str">
        <x:v>milestone_02_footwork_body_position/week_06_2026-10-12/04_THURSDAY.md</x:v>
      </x:c>
      <x:c r="Q419" s="138" t="str">
        <x:v>Markdown</x:v>
      </x:c>
      <x:c r="R419" s="20" t="str"/>
    </x:row>
    <x:row r="420" ht="36" customHeight="1">
      <x:c r="A420" s="19" t="str">
        <x:v>W06-20261015-0419</x:v>
      </x:c>
      <x:c r="B420" s="13" t="n">
        <x:v>6</x:v>
      </x:c>
      <x:c r="C420" s="13" t="str">
        <x:v>Этап 2 — Ноги и положение корпуса</x:v>
      </x:c>
      <x:c r="D420" s="138" t="str">
        <x:v>2026-10-15</x:v>
      </x:c>
      <x:c r="E420" s="13" t="str">
        <x:v>Четверг</x:v>
      </x:c>
      <x:c r="F420" s="13" t="str">
        <x:v>Тренировка B — пальцы/проект</x:v>
      </x:c>
      <x:c r="G420" s="44" t="n">
        <x:v>0.05277777777777778</x:v>
      </x:c>
      <x:c r="H420" s="44" t="n">
        <x:v>0.05763888888888889</x:v>
      </x:c>
      <x:c r="I420" s="32" t="n">
        <x:f>ROUND((H420-G420)*1440,0)</x:f>
        <x:v>7</x:v>
      </x:c>
      <x:c r="J420" s="13" t="str">
        <x:v>Вторичная трасса</x:v>
      </x:c>
      <x:c r="K420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420" s="13" t="str">
        <x:v>☐ Не начато</x:v>
      </x:c>
      <x:c r="M420" s="13" t="str">
        <x:v>Обязательно</x:v>
      </x:c>
      <x:c r="N420" s="13" t="str">
        <x:v>RPE 5–7</x:v>
      </x:c>
      <x:c r="O420" s="13" t="str">
        <x:v>Пропустить, если хват уже просел.</x:v>
      </x:c>
      <x:c r="P420" s="13" t="str">
        <x:v>milestone_02_footwork_body_position/week_06_2026-10-12/04_THURSDAY.md</x:v>
      </x:c>
      <x:c r="Q420" s="138" t="str">
        <x:v>Markdown</x:v>
      </x:c>
      <x:c r="R420" s="20" t="str"/>
    </x:row>
    <x:row r="421" ht="36" customHeight="1">
      <x:c r="A421" s="19" t="str">
        <x:v>W06-20261015-0420</x:v>
      </x:c>
      <x:c r="B421" s="13" t="n">
        <x:v>6</x:v>
      </x:c>
      <x:c r="C421" s="13" t="str">
        <x:v>Этап 2 — Ноги и положение корпуса</x:v>
      </x:c>
      <x:c r="D421" s="138" t="str">
        <x:v>2026-10-15</x:v>
      </x:c>
      <x:c r="E421" s="13" t="str">
        <x:v>Четверг</x:v>
      </x:c>
      <x:c r="F421" s="13" t="str">
        <x:v>Тренировка B — пальцы/проект</x:v>
      </x:c>
      <x:c r="G421" s="44" t="n">
        <x:v>0.05763888888888889</x:v>
      </x:c>
      <x:c r="H421" s="44" t="n">
        <x:v>0.06041666666666667</x:v>
      </x:c>
      <x:c r="I421" s="32" t="n">
        <x:f>ROUND((H421-G421)*1440,0)</x:f>
        <x:v>4</x:v>
      </x:c>
      <x:c r="J421" s="13" t="str">
        <x:v>Завершение</x:v>
      </x:c>
      <x:c r="K421" s="13" t="str">
        <x:v>Очень лёгкий спуск/ходьба, вода, никаких финишных висов.</x:v>
      </x:c>
      <x:c r="L421" s="13" t="str">
        <x:v>☐ Не начато</x:v>
      </x:c>
      <x:c r="M421" s="13" t="str">
        <x:v>Обязательно</x:v>
      </x:c>
      <x:c r="N421" s="13" t="str">
        <x:v>RPE 1–2</x:v>
      </x:c>
      <x:c r="O421" s="13" t="str"/>
      <x:c r="P421" s="13" t="str">
        <x:v>milestone_02_footwork_body_position/week_06_2026-10-12/04_THURSDAY.md</x:v>
      </x:c>
      <x:c r="Q421" s="138" t="str">
        <x:v>Markdown</x:v>
      </x:c>
      <x:c r="R421" s="20" t="str"/>
    </x:row>
    <x:row r="422" ht="36" customHeight="1">
      <x:c r="A422" s="19" t="str">
        <x:v>W06-20261015-0421</x:v>
      </x:c>
      <x:c r="B422" s="13" t="n">
        <x:v>6</x:v>
      </x:c>
      <x:c r="C422" s="13" t="str">
        <x:v>Этап 2 — Ноги и положение корпуса</x:v>
      </x:c>
      <x:c r="D422" s="138" t="str">
        <x:v>2026-10-15</x:v>
      </x:c>
      <x:c r="E422" s="13" t="str">
        <x:v>Четверг</x:v>
      </x:c>
      <x:c r="F422" s="13" t="str">
        <x:v>Тренировка B — пальцы/проект</x:v>
      </x:c>
      <x:c r="G422" s="44" t="n">
        <x:v>0.06041666666666667</x:v>
      </x:c>
      <x:c r="H422" s="44" t="n">
        <x:v>0.0625</x:v>
      </x:c>
      <x:c r="I422" s="32" t="n">
        <x:f>ROUND((H422-G422)*1440,0)</x:f>
        <x:v>3</x:v>
      </x:c>
      <x:c r="J422" s="13" t="str">
        <x:v>Журнал</x:v>
      </x:c>
      <x:c r="K422" s="13" t="str">
        <x:v>Запиши попытки, лучшую связку, одну правку и benchmark: Сделать одну и ту же лёгкую трассу без flagging и с ним; оценить усилие рук 1–10.</x:v>
      </x:c>
      <x:c r="L422" s="13" t="str">
        <x:v>☐ Не начато</x:v>
      </x:c>
      <x:c r="M422" s="13" t="str">
        <x:v>Обязательно</x:v>
      </x:c>
      <x:c r="N422" s="13" t="str">
        <x:v>Без нагрузки</x:v>
      </x:c>
      <x:c r="O422" s="13" t="str"/>
      <x:c r="P422" s="13" t="str">
        <x:v>milestone_02_footwork_body_position/week_06_2026-10-12/04_THURSDAY.md</x:v>
      </x:c>
      <x:c r="Q422" s="138" t="str">
        <x:v>Markdown</x:v>
      </x:c>
      <x:c r="R422" s="20" t="str"/>
    </x:row>
    <x:row r="423" ht="36" customHeight="1">
      <x:c r="A423" s="19" t="str">
        <x:v>W06-20261016-0422</x:v>
      </x:c>
      <x:c r="B423" s="13" t="n">
        <x:v>6</x:v>
      </x:c>
      <x:c r="C423" s="13" t="str">
        <x:v>Этап 2 — Ноги и положение корпуса</x:v>
      </x:c>
      <x:c r="D423" s="138" t="str">
        <x:v>2026-10-16</x:v>
      </x:c>
      <x:c r="E423" s="13" t="str">
        <x:v>Пятница</x:v>
      </x:c>
      <x:c r="F423" s="13" t="str">
        <x:v>Дом / теория</x:v>
      </x:c>
      <x:c r="G423" s="44" t="n">
        <x:v>0</x:v>
      </x:c>
      <x:c r="H423" s="44" t="n">
        <x:v>0.0020833333333333333</x:v>
      </x:c>
      <x:c r="I423" s="32" t="n">
        <x:f>ROUND((H423-G423)*1440,0)</x:f>
        <x:v>3</x:v>
      </x:c>
      <x:c r="J423" s="13" t="str">
        <x:v>Самопроверка</x:v>
      </x:c>
      <x:c r="K423" s="13" t="str">
        <x:v>Оцени утреннюю реакцию после четверга: пальцы/плечо/колено 0–10. Запиши, восстановилась ли обычная сила кисти.</x:v>
      </x:c>
      <x:c r="L423" s="13" t="str">
        <x:v>☐ Не начато</x:v>
      </x:c>
      <x:c r="M423" s="13" t="str">
        <x:v>Обязательно</x:v>
      </x:c>
      <x:c r="N423" s="13" t="str">
        <x:v>Без нагрузки</x:v>
      </x:c>
      <x:c r="O423" s="13" t="str">
        <x:v>Острая локальная боль пальца или усилившаяся боль плеча = воскресенье только восстановительное.</x:v>
      </x:c>
      <x:c r="P423" s="13" t="str">
        <x:v>milestone_02_footwork_body_position/week_06_2026-10-12/05_FRIDAY.md</x:v>
      </x:c>
      <x:c r="Q423" s="138" t="str">
        <x:v>Markdown</x:v>
      </x:c>
      <x:c r="R423" s="20" t="str"/>
    </x:row>
    <x:row r="424" ht="36" customHeight="1">
      <x:c r="A424" s="19" t="str">
        <x:v>W06-20261016-0423</x:v>
      </x:c>
      <x:c r="B424" s="13" t="n">
        <x:v>6</x:v>
      </x:c>
      <x:c r="C424" s="13" t="str">
        <x:v>Этап 2 — Ноги и положение корпуса</x:v>
      </x:c>
      <x:c r="D424" s="138" t="str">
        <x:v>2026-10-16</x:v>
      </x:c>
      <x:c r="E424" s="13" t="str">
        <x:v>Пятница</x:v>
      </x:c>
      <x:c r="F424" s="13" t="str">
        <x:v>Дом / теория</x:v>
      </x:c>
      <x:c r="G424" s="44" t="n">
        <x:v>0.0020833333333333333</x:v>
      </x:c>
      <x:c r="H424" s="44" t="n">
        <x:v>0.009027777777777777</x:v>
      </x:c>
      <x:c r="I424" s="32" t="n">
        <x:f>ROUND((H424-G424)*1440,0)</x:f>
        <x:v>10</x:v>
      </x:c>
      <x:c r="J424" s="13" t="str">
        <x:v>Теория</x:v>
      </x:c>
      <x:c r="K424" s="13" t="str">
        <x:v>Посмотри/прочитай второй ресурс недели: [R03: BMC — Footwork techniques when climbing](https://www.thebmc.co.uk/en/footwork-techniques-when-climbing-video). Задача: База постановки стопы, работа носком, перенос веса.</x:v>
      </x:c>
      <x:c r="L424" s="13" t="str">
        <x:v>☐ Не начато</x:v>
      </x:c>
      <x:c r="M424" s="13" t="str">
        <x:v>Обязательно</x:v>
      </x:c>
      <x:c r="N424" s="13" t="str">
        <x:v>Без нагрузки</x:v>
      </x:c>
      <x:c r="O424" s="13" t="str"/>
      <x:c r="P424" s="13" t="str">
        <x:v>milestone_02_footwork_body_position/week_06_2026-10-12/05_FRIDAY.md</x:v>
      </x:c>
      <x:c r="Q424" s="138" t="str">
        <x:v>Markdown</x:v>
      </x:c>
      <x:c r="R424" s="20" t="str"/>
    </x:row>
    <x:row r="425" ht="36" customHeight="1">
      <x:c r="A425" s="19" t="str">
        <x:v>W06-20261016-0424</x:v>
      </x:c>
      <x:c r="B425" s="13" t="n">
        <x:v>6</x:v>
      </x:c>
      <x:c r="C425" s="13" t="str">
        <x:v>Этап 2 — Ноги и положение корпуса</x:v>
      </x:c>
      <x:c r="D425" s="138" t="str">
        <x:v>2026-10-16</x:v>
      </x:c>
      <x:c r="E425" s="13" t="str">
        <x:v>Пятница</x:v>
      </x:c>
      <x:c r="F425" s="13" t="str">
        <x:v>Дом / теория</x:v>
      </x:c>
      <x:c r="G425" s="44" t="n">
        <x:v>0.009027777777777777</x:v>
      </x:c>
      <x:c r="H425" s="44" t="n">
        <x:v>0.013194444444444444</x:v>
      </x:c>
      <x:c r="I425" s="32" t="n">
        <x:f>ROUND((H425-G425)*1440,0)</x:f>
        <x:v>6</x:v>
      </x:c>
      <x:c r="J425" s="13" t="str">
        <x:v>Ментальная репетиция</x:v>
      </x:c>
      <x:c r="K425" s="13" t="str">
        <x:v>Закрой глаза и 3 раза мысленно пройди одну рабочую трассу: руки → ноги → положение таза → дыхание. Визуализируй cue «Свободная нога — противовес; двигай её, пока таз не перестанет разворачиваться от стены.».</x:v>
      </x:c>
      <x:c r="L425" s="13" t="str">
        <x:v>☐ Не начато</x:v>
      </x:c>
      <x:c r="M425" s="13" t="str">
        <x:v>Обязательно</x:v>
      </x:c>
      <x:c r="N425" s="13" t="str">
        <x:v>Без нагрузки</x:v>
      </x:c>
      <x:c r="O425" s="13" t="str"/>
      <x:c r="P425" s="13" t="str">
        <x:v>milestone_02_footwork_body_position/week_06_2026-10-12/05_FRIDAY.md</x:v>
      </x:c>
      <x:c r="Q425" s="138" t="str">
        <x:v>Markdown</x:v>
      </x:c>
      <x:c r="R425" s="20" t="str"/>
    </x:row>
    <x:row r="426" ht="36" customHeight="1">
      <x:c r="A426" s="19" t="str">
        <x:v>W06-20261016-0425</x:v>
      </x:c>
      <x:c r="B426" s="13" t="n">
        <x:v>6</x:v>
      </x:c>
      <x:c r="C426" s="13" t="str">
        <x:v>Этап 2 — Ноги и положение корпуса</x:v>
      </x:c>
      <x:c r="D426" s="138" t="str">
        <x:v>2026-10-16</x:v>
      </x:c>
      <x:c r="E426" s="13" t="str">
        <x:v>Пятница</x:v>
      </x:c>
      <x:c r="F426" s="13" t="str">
        <x:v>Дом / теория</x:v>
      </x:c>
      <x:c r="G426" s="44" t="n">
        <x:v>0.013194444444444444</x:v>
      </x:c>
      <x:c r="H426" s="44" t="n">
        <x:v>0.021527777777777778</x:v>
      </x:c>
      <x:c r="I426" s="32" t="n">
        <x:f>ROUND((H426-G426)*1440,0)</x:f>
        <x:v>12</x:v>
      </x:c>
      <x:c r="J426" s="13" t="str">
        <x:v>Домашняя мобильность</x:v>
      </x:c>
      <x:c r="K426" s="13" t="str">
        <x:v>Выполни H3 «Мобильность таза и контроль корпуса» — 12 минут.</x:v>
      </x:c>
      <x:c r="L426" s="13" t="str">
        <x:v>☐ Не начато</x:v>
      </x:c>
      <x:c r="M426" s="13" t="str">
        <x:v>Обязательно</x:v>
      </x:c>
      <x:c r="N426" s="13" t="str">
        <x:v>RPE 2–3</x:v>
      </x:c>
      <x:c r="O426" s="13" t="str">
        <x:v>Никаких скручиваний через боль. Плечом не отталкивайся от стены; касание только для равновесия.</x:v>
      </x:c>
      <x:c r="P426" s="13" t="str">
        <x:v>milestone_02_footwork_body_position/week_06_2026-10-12/05_FRIDAY.md</x:v>
      </x:c>
      <x:c r="Q426" s="138" t="str">
        <x:v>Markdown</x:v>
      </x:c>
      <x:c r="R426" s="20" t="str"/>
    </x:row>
    <x:row r="427" ht="36" customHeight="1">
      <x:c r="A427" s="19" t="str">
        <x:v>W06-20261016-0426</x:v>
      </x:c>
      <x:c r="B427" s="13" t="n">
        <x:v>6</x:v>
      </x:c>
      <x:c r="C427" s="13" t="str">
        <x:v>Этап 2 — Ноги и положение корпуса</x:v>
      </x:c>
      <x:c r="D427" s="138" t="str">
        <x:v>2026-10-16</x:v>
      </x:c>
      <x:c r="E427" s="13" t="str">
        <x:v>Пятница</x:v>
      </x:c>
      <x:c r="F427" s="13" t="str">
        <x:v>Дом / теория</x:v>
      </x:c>
      <x:c r="G427" s="44" t="n">
        <x:v>0.021527777777777778</x:v>
      </x:c>
      <x:c r="H427" s="44" t="n">
        <x:v>0.035416666666666666</x:v>
      </x:c>
      <x:c r="I427" s="32" t="n">
        <x:f>ROUND((H427-G427)*1440,0)</x:f>
        <x:v>20</x:v>
      </x:c>
      <x:c r="J427" s="13" t="str">
        <x:v>Физиотерапия</x:v>
      </x:c>
      <x:c r="K427" s="13" t="str">
        <x:v>Выполни свой назначенный комплекс, если пятница входит в расписание физиотерапевта.</x:v>
      </x:c>
      <x:c r="L427" s="13" t="str">
        <x:v>☐ Не начато</x:v>
      </x:c>
      <x:c r="M427" s="13" t="str">
        <x:v>По назначению</x:v>
      </x:c>
      <x:c r="N427" s="13" t="str">
        <x:v>По назначению</x:v>
      </x:c>
      <x:c r="O427" s="13" t="str">
        <x:v>Не добавляй упражнения из интернета поверх назначений.</x:v>
      </x:c>
      <x:c r="P427" s="13" t="str">
        <x:v>milestone_02_footwork_body_position/week_06_2026-10-12/05_FRIDAY.md</x:v>
      </x:c>
      <x:c r="Q427" s="138" t="str">
        <x:v>Markdown</x:v>
      </x:c>
      <x:c r="R427" s="20" t="str"/>
    </x:row>
    <x:row r="428" ht="36" customHeight="1">
      <x:c r="A428" s="19" t="str">
        <x:v>W06-20261016-0427</x:v>
      </x:c>
      <x:c r="B428" s="13" t="n">
        <x:v>6</x:v>
      </x:c>
      <x:c r="C428" s="13" t="str">
        <x:v>Этап 2 — Ноги и положение корпуса</x:v>
      </x:c>
      <x:c r="D428" s="138" t="str">
        <x:v>2026-10-16</x:v>
      </x:c>
      <x:c r="E428" s="13" t="str">
        <x:v>Пятница</x:v>
      </x:c>
      <x:c r="F428" s="13" t="str">
        <x:v>Дом / теория</x:v>
      </x:c>
      <x:c r="G428" s="44" t="n">
        <x:v>0.035416666666666666</x:v>
      </x:c>
      <x:c r="H428" s="44" t="n">
        <x:v>0.03819444444444445</x:v>
      </x:c>
      <x:c r="I428" s="32" t="n">
        <x:f>ROUND((H428-G428)*1440,0)</x:f>
        <x:v>4</x:v>
      </x:c>
      <x:c r="J428" s="13" t="str">
        <x:v>Журнал</x:v>
      </x:c>
      <x:c r="K428" s="13" t="str">
        <x:v>Запиши одну вещь, которая сработала на этой неделе, и одну, которую повторишь в воскресенье на лёгкой трассе.</x:v>
      </x:c>
      <x:c r="L428" s="13" t="str">
        <x:v>☐ Не начато</x:v>
      </x:c>
      <x:c r="M428" s="13" t="str">
        <x:v>Обязательно</x:v>
      </x:c>
      <x:c r="N428" s="13" t="str">
        <x:v>Без нагрузки</x:v>
      </x:c>
      <x:c r="O428" s="13" t="str"/>
      <x:c r="P428" s="13" t="str">
        <x:v>milestone_02_footwork_body_position/week_06_2026-10-12/05_FRIDAY.md</x:v>
      </x:c>
      <x:c r="Q428" s="138" t="str">
        <x:v>Markdown</x:v>
      </x:c>
      <x:c r="R428" s="20" t="str"/>
    </x:row>
    <x:row r="429" ht="36" customHeight="1">
      <x:c r="A429" s="19" t="str">
        <x:v>W06-20261016-0428</x:v>
      </x:c>
      <x:c r="B429" s="13" t="n">
        <x:v>6</x:v>
      </x:c>
      <x:c r="C429" s="13" t="str">
        <x:v>Этап 2 — Ноги и положение корпуса</x:v>
      </x:c>
      <x:c r="D429" s="138" t="str">
        <x:v>2026-10-16</x:v>
      </x:c>
      <x:c r="E429" s="13" t="str">
        <x:v>Пятница</x:v>
      </x:c>
      <x:c r="F429" s="13" t="str">
        <x:v>Дом / теория</x:v>
      </x:c>
      <x:c r="G429" s="44" t="n">
        <x:v>0.03819444444444445</x:v>
      </x:c>
      <x:c r="H429" s="44" t="n">
        <x:v>0.04027777777777778</x:v>
      </x:c>
      <x:c r="I429" s="32" t="n">
        <x:f>ROUND((H429-G429)*1440,0)</x:f>
        <x:v>3</x:v>
      </x:c>
      <x:c r="J429" s="13" t="str">
        <x:v>Запрет лишней нагрузки</x:v>
      </x:c>
      <x:c r="K429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429" s="13" t="str">
        <x:v>☐ Не начато</x:v>
      </x:c>
      <x:c r="M429" s="13" t="str">
        <x:v>Обязательно</x:v>
      </x:c>
      <x:c r="N429" s="13" t="str">
        <x:v>Восстановление</x:v>
      </x:c>
      <x:c r="O429" s="13" t="str">
        <x:v>Общая пальцевая нагрузка уже получена в четверг.</x:v>
      </x:c>
      <x:c r="P429" s="13" t="str">
        <x:v>milestone_02_footwork_body_position/week_06_2026-10-12/05_FRIDAY.md</x:v>
      </x:c>
      <x:c r="Q429" s="138" t="str">
        <x:v>Markdown</x:v>
      </x:c>
      <x:c r="R429" s="20" t="str"/>
    </x:row>
    <x:row r="430" ht="36" customHeight="1">
      <x:c r="A430" s="19" t="str">
        <x:v>W06-20261017-0429</x:v>
      </x:c>
      <x:c r="B430" s="13" t="n">
        <x:v>6</x:v>
      </x:c>
      <x:c r="C430" s="13" t="str">
        <x:v>Этап 2 — Ноги и положение корпуса</x:v>
      </x:c>
      <x:c r="D430" s="138" t="str">
        <x:v>2026-10-17</x:v>
      </x:c>
      <x:c r="E430" s="13" t="str">
        <x:v>Суббота</x:v>
      </x:c>
      <x:c r="F430" s="13" t="str">
        <x:v>Отдых / подготовка</x:v>
      </x:c>
      <x:c r="G430" s="44" t="n">
        <x:v>0</x:v>
      </x:c>
      <x:c r="H430" s="44" t="n">
        <x:v>0.003472222222222222</x:v>
      </x:c>
      <x:c r="I430" s="32" t="n">
        <x:f>ROUND((H430-G430)*1440,0)</x:f>
        <x:v>5</x:v>
      </x:c>
      <x:c r="J430" s="13" t="str">
        <x:v>Самопроверка</x:v>
      </x:c>
      <x:c r="K430" s="13" t="str">
        <x:v>Проверь кожу пальцев, ногти, плечо и колено. Никаких тестовых висов.</x:v>
      </x:c>
      <x:c r="L430" s="13" t="str">
        <x:v>☐ Не начато</x:v>
      </x:c>
      <x:c r="M430" s="13" t="str">
        <x:v>Обязательно</x:v>
      </x:c>
      <x:c r="N430" s="13" t="str">
        <x:v>Восстановление</x:v>
      </x:c>
      <x:c r="O430" s="13" t="str"/>
      <x:c r="P430" s="13" t="str">
        <x:v>milestone_02_footwork_body_position/week_06_2026-10-12/06_SATURDAY.md</x:v>
      </x:c>
      <x:c r="Q430" s="138" t="str">
        <x:v>Markdown</x:v>
      </x:c>
      <x:c r="R430" s="20" t="str"/>
    </x:row>
    <x:row r="431" ht="36" customHeight="1">
      <x:c r="A431" s="19" t="str">
        <x:v>W06-20261017-0430</x:v>
      </x:c>
      <x:c r="B431" s="13" t="n">
        <x:v>6</x:v>
      </x:c>
      <x:c r="C431" s="13" t="str">
        <x:v>Этап 2 — Ноги и положение корпуса</x:v>
      </x:c>
      <x:c r="D431" s="138" t="str">
        <x:v>2026-10-17</x:v>
      </x:c>
      <x:c r="E431" s="13" t="str">
        <x:v>Суббота</x:v>
      </x:c>
      <x:c r="F431" s="13" t="str">
        <x:v>Отдых / подготовка</x:v>
      </x:c>
      <x:c r="G431" s="44" t="n">
        <x:v>0.003472222222222222</x:v>
      </x:c>
      <x:c r="H431" s="44" t="n">
        <x:v>0.010416666666666666</x:v>
      </x:c>
      <x:c r="I431" s="32" t="n">
        <x:f>ROUND((H431-G431)*1440,0)</x:f>
        <x:v>10</x:v>
      </x:c>
      <x:c r="J431" s="13" t="str">
        <x:v>Активное восстановление</x:v>
      </x:c>
      <x:c r="K431" s="13" t="str">
        <x:v>10 минут лёгкой прогулки или бытовой активности. Цель — восстановление, не тренировка.</x:v>
      </x:c>
      <x:c r="L431" s="13" t="str">
        <x:v>☐ Не начато</x:v>
      </x:c>
      <x:c r="M431" s="13" t="str">
        <x:v>Обязательно</x:v>
      </x:c>
      <x:c r="N431" s="13" t="str">
        <x:v>RPE 1–2</x:v>
      </x:c>
      <x:c r="O431" s="13" t="str"/>
      <x:c r="P431" s="13" t="str">
        <x:v>milestone_02_footwork_body_position/week_06_2026-10-12/06_SATURDAY.md</x:v>
      </x:c>
      <x:c r="Q431" s="138" t="str">
        <x:v>Markdown</x:v>
      </x:c>
      <x:c r="R431" s="20" t="str"/>
    </x:row>
    <x:row r="432" ht="36" customHeight="1">
      <x:c r="A432" s="19" t="str">
        <x:v>W06-20261017-0431</x:v>
      </x:c>
      <x:c r="B432" s="13" t="n">
        <x:v>6</x:v>
      </x:c>
      <x:c r="C432" s="13" t="str">
        <x:v>Этап 2 — Ноги и положение корпуса</x:v>
      </x:c>
      <x:c r="D432" s="138" t="str">
        <x:v>2026-10-17</x:v>
      </x:c>
      <x:c r="E432" s="13" t="str">
        <x:v>Суббота</x:v>
      </x:c>
      <x:c r="F432" s="13" t="str">
        <x:v>Отдых / подготовка</x:v>
      </x:c>
      <x:c r="G432" s="44" t="n">
        <x:v>0.010416666666666666</x:v>
      </x:c>
      <x:c r="H432" s="44" t="n">
        <x:v>0.013888888888888888</x:v>
      </x:c>
      <x:c r="I432" s="32" t="n">
        <x:f>ROUND((H432-G432)*1440,0)</x:f>
        <x:v>5</x:v>
      </x:c>
      <x:c r="J432" s="13" t="str">
        <x:v>Уход за кожей</x:v>
      </x:c>
      <x:c r="K432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432" s="13" t="str">
        <x:v>☐ Не начато</x:v>
      </x:c>
      <x:c r="M432" s="13" t="str">
        <x:v>Опционально</x:v>
      </x:c>
      <x:c r="N432" s="13" t="str">
        <x:v>Без нагрузки</x:v>
      </x:c>
      <x:c r="O432" s="13" t="str">
        <x:v>Повреждённую/болезненную кожу не шлифовать.</x:v>
      </x:c>
      <x:c r="P432" s="13" t="str">
        <x:v>milestone_02_footwork_body_position/week_06_2026-10-12/06_SATURDAY.md</x:v>
      </x:c>
      <x:c r="Q432" s="138" t="str">
        <x:v>Markdown</x:v>
      </x:c>
      <x:c r="R432" s="20" t="str"/>
    </x:row>
    <x:row r="433" ht="36" customHeight="1">
      <x:c r="A433" s="19" t="str">
        <x:v>W06-20261017-0432</x:v>
      </x:c>
      <x:c r="B433" s="13" t="n">
        <x:v>6</x:v>
      </x:c>
      <x:c r="C433" s="13" t="str">
        <x:v>Этап 2 — Ноги и положение корпуса</x:v>
      </x:c>
      <x:c r="D433" s="138" t="str">
        <x:v>2026-10-17</x:v>
      </x:c>
      <x:c r="E433" s="13" t="str">
        <x:v>Суббота</x:v>
      </x:c>
      <x:c r="F433" s="13" t="str">
        <x:v>Отдых / подготовка</x:v>
      </x:c>
      <x:c r="G433" s="44" t="n">
        <x:v>0.013888888888888888</x:v>
      </x:c>
      <x:c r="H433" s="44" t="n">
        <x:v>0.016666666666666666</x:v>
      </x:c>
      <x:c r="I433" s="32" t="n">
        <x:f>ROUND((H433-G433)*1440,0)</x:f>
        <x:v>4</x:v>
      </x:c>
      <x:c r="J433" s="13" t="str">
        <x:v>Подготовка</x:v>
      </x:c>
      <x:c r="K433" s="13" t="str">
        <x:v>Заряди телефон, освободи память для одного видео, положи щётку и магнезию.</x:v>
      </x:c>
      <x:c r="L433" s="13" t="str">
        <x:v>☐ Не начато</x:v>
      </x:c>
      <x:c r="M433" s="13" t="str">
        <x:v>Обязательно</x:v>
      </x:c>
      <x:c r="N433" s="13" t="str">
        <x:v>Без нагрузки</x:v>
      </x:c>
      <x:c r="O433" s="13" t="str"/>
      <x:c r="P433" s="13" t="str">
        <x:v>milestone_02_footwork_body_position/week_06_2026-10-12/06_SATURDAY.md</x:v>
      </x:c>
      <x:c r="Q433" s="138" t="str">
        <x:v>Markdown</x:v>
      </x:c>
      <x:c r="R433" s="20" t="str"/>
    </x:row>
    <x:row r="434" ht="36" customHeight="1">
      <x:c r="A434" s="19" t="str">
        <x:v>W06-20261017-0433</x:v>
      </x:c>
      <x:c r="B434" s="13" t="n">
        <x:v>6</x:v>
      </x:c>
      <x:c r="C434" s="13" t="str">
        <x:v>Этап 2 — Ноги и положение корпуса</x:v>
      </x:c>
      <x:c r="D434" s="138" t="str">
        <x:v>2026-10-17</x:v>
      </x:c>
      <x:c r="E434" s="13" t="str">
        <x:v>Суббота</x:v>
      </x:c>
      <x:c r="F434" s="13" t="str">
        <x:v>Отдых / подготовка</x:v>
      </x:c>
      <x:c r="G434" s="44" t="n">
        <x:v>0.016666666666666666</x:v>
      </x:c>
      <x:c r="H434" s="44" t="n">
        <x:v>0.01875</x:v>
      </x:c>
      <x:c r="I434" s="32" t="n">
        <x:f>ROUND((H434-G434)*1440,0)</x:f>
        <x:v>3</x:v>
      </x:c>
      <x:c r="J434" s="13" t="str">
        <x:v>План воскресенья</x:v>
      </x:c>
      <x:c r="K434" s="13" t="str">
        <x:v>Выбери заранее одну лёгкую трассу под тему «Flagging». Воскресенье остаётся развлечением, не третьим тяжёлым днём.</x:v>
      </x:c>
      <x:c r="L434" s="13" t="str">
        <x:v>☐ Не начато</x:v>
      </x:c>
      <x:c r="M434" s="13" t="str">
        <x:v>Обязательно</x:v>
      </x:c>
      <x:c r="N434" s="13" t="str">
        <x:v>Без нагрузки</x:v>
      </x:c>
      <x:c r="O434" s="13" t="str"/>
      <x:c r="P434" s="13" t="str">
        <x:v>milestone_02_footwork_body_position/week_06_2026-10-12/06_SATURDAY.md</x:v>
      </x:c>
      <x:c r="Q434" s="138" t="str">
        <x:v>Markdown</x:v>
      </x:c>
      <x:c r="R434" s="20" t="str"/>
    </x:row>
    <x:row r="435" ht="36" customHeight="1">
      <x:c r="A435" s="19" t="str">
        <x:v>W06-20261017-0434</x:v>
      </x:c>
      <x:c r="B435" s="13" t="n">
        <x:v>6</x:v>
      </x:c>
      <x:c r="C435" s="13" t="str">
        <x:v>Этап 2 — Ноги и положение корпуса</x:v>
      </x:c>
      <x:c r="D435" s="138" t="str">
        <x:v>2026-10-17</x:v>
      </x:c>
      <x:c r="E435" s="13" t="str">
        <x:v>Суббота</x:v>
      </x:c>
      <x:c r="F435" s="13" t="str">
        <x:v>Отдых / подготовка</x:v>
      </x:c>
      <x:c r="G435" s="44" t="n">
        <x:v>0.01875</x:v>
      </x:c>
      <x:c r="H435" s="44" t="n">
        <x:v>0.020833333333333332</x:v>
      </x:c>
      <x:c r="I435" s="32" t="n">
        <x:f>ROUND((H435-G435)*1440,0)</x:f>
        <x:v>3</x:v>
      </x:c>
      <x:c r="J435" s="13" t="str">
        <x:v>Сон / восстановление</x:v>
      </x:c>
      <x:c r="K435" s="13" t="str">
        <x:v>Запланируй обычный сон и нормальный приём пищи; не пытайся «разбудить хват» вечером.</x:v>
      </x:c>
      <x:c r="L435" s="13" t="str">
        <x:v>☐ Не начато</x:v>
      </x:c>
      <x:c r="M435" s="13" t="str">
        <x:v>Обязательно</x:v>
      </x:c>
      <x:c r="N435" s="13" t="str">
        <x:v>Восстановление</x:v>
      </x:c>
      <x:c r="O435" s="13" t="str"/>
      <x:c r="P435" s="13" t="str">
        <x:v>milestone_02_footwork_body_position/week_06_2026-10-12/06_SATURDAY.md</x:v>
      </x:c>
      <x:c r="Q435" s="138" t="str">
        <x:v>Markdown</x:v>
      </x:c>
      <x:c r="R435" s="20" t="str"/>
    </x:row>
    <x:row r="436" ht="36" customHeight="1">
      <x:c r="A436" s="19" t="str">
        <x:v>W06-20261018-0435</x:v>
      </x:c>
      <x:c r="B436" s="13" t="n">
        <x:v>6</x:v>
      </x:c>
      <x:c r="C436" s="13" t="str">
        <x:v>Этап 2 — Ноги и положение корпуса</x:v>
      </x:c>
      <x:c r="D436" s="138" t="str">
        <x:v>2026-10-18</x:v>
      </x:c>
      <x:c r="E436" s="13" t="str">
        <x:v>Воскресенье</x:v>
      </x:c>
      <x:c r="F436" s="13" t="str">
        <x:v>Тренировка C — fun / опционально</x:v>
      </x:c>
      <x:c r="G436" s="44" t="n">
        <x:v>0</x:v>
      </x:c>
      <x:c r="H436" s="44" t="n">
        <x:v>0.0020833333333333333</x:v>
      </x:c>
      <x:c r="I436" s="32" t="n">
        <x:f>ROUND((H436-G436)*1440,0)</x:f>
        <x:v>3</x:v>
      </x:c>
      <x:c r="J436" s="13" t="str">
        <x:v>Выбор сценария</x:v>
      </x:c>
      <x:c r="K436" s="13" t="str">
        <x:v>Выбери один сценарий: (A) fun-сессия 75 минут в зале или (B) восстановительный день дома 25 минут. Не выполнять оба.</x:v>
      </x:c>
      <x:c r="L436" s="13" t="str">
        <x:v>☐ Не начато</x:v>
      </x:c>
      <x:c r="M436" s="13" t="str">
        <x:v>Выбрать один сценарий</x:v>
      </x:c>
      <x:c r="N436" s="13" t="str">
        <x:v>По состоянию</x:v>
      </x:c>
      <x:c r="O436" s="13" t="str"/>
      <x:c r="P436" s="13" t="str">
        <x:v>milestone_02_footwork_body_position/week_06_2026-10-12/07_SUNDAY.md</x:v>
      </x:c>
      <x:c r="Q436" s="138" t="str">
        <x:v>Markdown</x:v>
      </x:c>
      <x:c r="R436" s="20" t="str"/>
    </x:row>
    <x:row r="437" ht="36" customHeight="1">
      <x:c r="A437" s="19" t="str">
        <x:v>W06-20261018-0436</x:v>
      </x:c>
      <x:c r="B437" s="13" t="n">
        <x:v>6</x:v>
      </x:c>
      <x:c r="C437" s="13" t="str">
        <x:v>Этап 2 — Ноги и положение корпуса</x:v>
      </x:c>
      <x:c r="D437" s="138" t="str">
        <x:v>2026-10-18</x:v>
      </x:c>
      <x:c r="E437" s="13" t="str">
        <x:v>Воскресенье</x:v>
      </x:c>
      <x:c r="F437" s="13" t="str">
        <x:v>Тренировка C — fun / опционально</x:v>
      </x:c>
      <x:c r="G437" s="44" t="n">
        <x:v>0.0020833333333333333</x:v>
      </x:c>
      <x:c r="H437" s="44" t="n">
        <x:v>0.005555555555555556</x:v>
      </x:c>
      <x:c r="I437" s="32" t="n">
        <x:f>ROUND((H437-G437)*1440,0)</x:f>
        <x:v>5</x:v>
      </x:c>
      <x:c r="J437" s="13" t="str">
        <x:v>Разминка A</x:v>
      </x:c>
      <x:c r="K437" s="13" t="str">
        <x:v>Если идёшь в зал: 5 минут поднятия температуры.</x:v>
      </x:c>
      <x:c r="L437" s="13" t="str">
        <x:v>☐ Не начато</x:v>
      </x:c>
      <x:c r="M437" s="13" t="str">
        <x:v>Опционально</x:v>
      </x:c>
      <x:c r="N437" s="13" t="str">
        <x:v>RPE 2–3</x:v>
      </x:c>
      <x:c r="O437" s="13" t="str"/>
      <x:c r="P437" s="13" t="str">
        <x:v>milestone_02_footwork_body_position/week_06_2026-10-12/07_SUNDAY.md</x:v>
      </x:c>
      <x:c r="Q437" s="138" t="str">
        <x:v>Markdown</x:v>
      </x:c>
      <x:c r="R437" s="20" t="str"/>
    </x:row>
    <x:row r="438" ht="36" customHeight="1">
      <x:c r="A438" s="19" t="str">
        <x:v>W06-20261018-0437</x:v>
      </x:c>
      <x:c r="B438" s="13" t="n">
        <x:v>6</x:v>
      </x:c>
      <x:c r="C438" s="13" t="str">
        <x:v>Этап 2 — Ноги и положение корпуса</x:v>
      </x:c>
      <x:c r="D438" s="138" t="str">
        <x:v>2026-10-18</x:v>
      </x:c>
      <x:c r="E438" s="13" t="str">
        <x:v>Воскресенье</x:v>
      </x:c>
      <x:c r="F438" s="13" t="str">
        <x:v>Тренировка C — fun / опционально</x:v>
      </x:c>
      <x:c r="G438" s="44" t="n">
        <x:v>0.005555555555555556</x:v>
      </x:c>
      <x:c r="H438" s="44" t="n">
        <x:v>0.009027777777777777</x:v>
      </x:c>
      <x:c r="I438" s="32" t="n">
        <x:f>ROUND((H438-G438)*1440,0)</x:f>
        <x:v>5</x:v>
      </x:c>
      <x:c r="J438" s="13" t="str">
        <x:v>Разминка A</x:v>
      </x:c>
      <x:c r="K438" s="13" t="str">
        <x:v>Динамическая суставная разминка в безболезненном диапазоне; без отжиманий/press.</x:v>
      </x:c>
      <x:c r="L438" s="13" t="str">
        <x:v>☐ Не начато</x:v>
      </x:c>
      <x:c r="M438" s="13" t="str">
        <x:v>Опционально</x:v>
      </x:c>
      <x:c r="N438" s="13" t="str">
        <x:v>Очень легко</x:v>
      </x:c>
      <x:c r="O438" s="13" t="str">
        <x:v>Не тянуться в крайнее положение плеча. Smearing делать только на чистой поверхности и без резкого скольжения.</x:v>
      </x:c>
      <x:c r="P438" s="13" t="str">
        <x:v>milestone_02_footwork_body_position/week_06_2026-10-12/07_SUNDAY.md</x:v>
      </x:c>
      <x:c r="Q438" s="138" t="str">
        <x:v>Markdown</x:v>
      </x:c>
      <x:c r="R438" s="20" t="str"/>
    </x:row>
    <x:row r="439" ht="36" customHeight="1">
      <x:c r="A439" s="19" t="str">
        <x:v>W06-20261018-0438</x:v>
      </x:c>
      <x:c r="B439" s="13" t="n">
        <x:v>6</x:v>
      </x:c>
      <x:c r="C439" s="13" t="str">
        <x:v>Этап 2 — Ноги и положение корпуса</x:v>
      </x:c>
      <x:c r="D439" s="138" t="str">
        <x:v>2026-10-18</x:v>
      </x:c>
      <x:c r="E439" s="13" t="str">
        <x:v>Воскресенье</x:v>
      </x:c>
      <x:c r="F439" s="13" t="str">
        <x:v>Тренировка C — fun / опционально</x:v>
      </x:c>
      <x:c r="G439" s="44" t="n">
        <x:v>0.009027777777777777</x:v>
      </x:c>
      <x:c r="H439" s="44" t="n">
        <x:v>0.013888888888888888</x:v>
      </x:c>
      <x:c r="I439" s="32" t="n">
        <x:f>ROUND((H439-G439)*1440,0)</x:f>
        <x:v>7</x:v>
      </x:c>
      <x:c r="J439" s="13" t="str">
        <x:v>Лёгкое лазание A</x:v>
      </x:c>
      <x:c r="K439" s="13" t="str">
        <x:v>3 очень лёгкие трассы 1–3 с постепенным увеличением сложности.</x:v>
      </x:c>
      <x:c r="L439" s="13" t="str">
        <x:v>☐ Не начато</x:v>
      </x:c>
      <x:c r="M439" s="13" t="str">
        <x:v>Опционально</x:v>
      </x:c>
      <x:c r="N439" s="13" t="str">
        <x:v>RPE 2–4</x:v>
      </x:c>
      <x:c r="O439" s="13" t="str"/>
      <x:c r="P439" s="13" t="str">
        <x:v>milestone_02_footwork_body_position/week_06_2026-10-12/07_SUNDAY.md</x:v>
      </x:c>
      <x:c r="Q439" s="138" t="str">
        <x:v>Markdown</x:v>
      </x:c>
      <x:c r="R439" s="20" t="str"/>
    </x:row>
    <x:row r="440" ht="36" customHeight="1">
      <x:c r="A440" s="19" t="str">
        <x:v>W06-20261018-0439</x:v>
      </x:c>
      <x:c r="B440" s="13" t="n">
        <x:v>6</x:v>
      </x:c>
      <x:c r="C440" s="13" t="str">
        <x:v>Этап 2 — Ноги и положение корпуса</x:v>
      </x:c>
      <x:c r="D440" s="138" t="str">
        <x:v>2026-10-18</x:v>
      </x:c>
      <x:c r="E440" s="13" t="str">
        <x:v>Воскресенье</x:v>
      </x:c>
      <x:c r="F440" s="13" t="str">
        <x:v>Тренировка C — fun / опционально</x:v>
      </x:c>
      <x:c r="G440" s="44" t="n">
        <x:v>0.013888888888888888</x:v>
      </x:c>
      <x:c r="H440" s="44" t="n">
        <x:v>0.020833333333333332</x:v>
      </x:c>
      <x:c r="I440" s="32" t="n">
        <x:f>ROUND((H440-G440)*1440,0)</x:f>
        <x:v>10</x:v>
      </x:c>
      <x:c r="J440" s="13" t="str">
        <x:v>Технический праймер A</x:v>
      </x:c>
      <x:c r="K440" s="13" t="str">
        <x:v>На одной лёгкой трассе дважды повтори «Flagging». Критерий: Корпус меньше раскрывается, а усилие руки субъективно ниже минимум на 1 балл из 10.</x:v>
      </x:c>
      <x:c r="L440" s="13" t="str">
        <x:v>☐ Не начато</x:v>
      </x:c>
      <x:c r="M440" s="13" t="str">
        <x:v>Опционально</x:v>
      </x:c>
      <x:c r="N440" s="13" t="str">
        <x:v>RPE 3–4</x:v>
      </x:c>
      <x:c r="O440" s="13" t="str">
        <x:v>Не уходить в крайнее положение плеча. Smearing только на чистой поверхности и без резкого скольжения.</x:v>
      </x:c>
      <x:c r="P440" s="13" t="str">
        <x:v>milestone_02_footwork_body_position/week_06_2026-10-12/07_SUNDAY.md</x:v>
      </x:c>
      <x:c r="Q440" s="138" t="str">
        <x:v>Markdown</x:v>
      </x:c>
      <x:c r="R440" s="20" t="str"/>
    </x:row>
    <x:row r="441" ht="36" customHeight="1">
      <x:c r="A441" s="19" t="str">
        <x:v>W06-20261018-0440</x:v>
      </x:c>
      <x:c r="B441" s="13" t="n">
        <x:v>6</x:v>
      </x:c>
      <x:c r="C441" s="13" t="str">
        <x:v>Этап 2 — Ноги и положение корпуса</x:v>
      </x:c>
      <x:c r="D441" s="138" t="str">
        <x:v>2026-10-18</x:v>
      </x:c>
      <x:c r="E441" s="13" t="str">
        <x:v>Воскресенье</x:v>
      </x:c>
      <x:c r="F441" s="13" t="str">
        <x:v>Тренировка C — fun / опционально</x:v>
      </x:c>
      <x:c r="G441" s="44" t="n">
        <x:v>0.020833333333333332</x:v>
      </x:c>
      <x:c r="H441" s="44" t="n">
        <x:v>0.03819444444444445</x:v>
      </x:c>
      <x:c r="I441" s="32" t="n">
        <x:f>ROUND((H441-G441)*1440,0)</x:f>
        <x:v>25</x:v>
      </x:c>
      <x:c r="J441" s="13" t="str">
        <x:v>Свободное лазание A</x:v>
      </x:c>
      <x:c r="K441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441" s="13" t="str">
        <x:v>☐ Не начато</x:v>
      </x:c>
      <x:c r="M441" s="13" t="str">
        <x:v>Опционально</x:v>
      </x:c>
      <x:c r="N441" s="13" t="str">
        <x:v>RPE 4–7</x:v>
      </x:c>
      <x:c r="O441" s="13" t="str">
        <x:v>Не превращать блок в круг на выносливость.</x:v>
      </x:c>
      <x:c r="P441" s="13" t="str">
        <x:v>milestone_02_footwork_body_position/week_06_2026-10-12/07_SUNDAY.md</x:v>
      </x:c>
      <x:c r="Q441" s="138" t="str">
        <x:v>Markdown</x:v>
      </x:c>
      <x:c r="R441" s="20" t="str"/>
    </x:row>
    <x:row r="442" ht="36" customHeight="1">
      <x:c r="A442" s="19" t="str">
        <x:v>W06-20261018-0441</x:v>
      </x:c>
      <x:c r="B442" s="13" t="n">
        <x:v>6</x:v>
      </x:c>
      <x:c r="C442" s="13" t="str">
        <x:v>Этап 2 — Ноги и положение корпуса</x:v>
      </x:c>
      <x:c r="D442" s="138" t="str">
        <x:v>2026-10-18</x:v>
      </x:c>
      <x:c r="E442" s="13" t="str">
        <x:v>Воскресенье</x:v>
      </x:c>
      <x:c r="F442" s="13" t="str">
        <x:v>Тренировка C — fun / опционально</x:v>
      </x:c>
      <x:c r="G442" s="44" t="n">
        <x:v>0.03819444444444445</x:v>
      </x:c>
      <x:c r="H442" s="44" t="n">
        <x:v>0.04583333333333333</x:v>
      </x:c>
      <x:c r="I442" s="32" t="n">
        <x:f>ROUND((H442-G442)*1440,0)</x:f>
        <x:v>11</x:v>
      </x:c>
      <x:c r="J442" s="13" t="str">
        <x:v>Свежая сложная попытка A</x:v>
      </x:c>
      <x:c r="K442" s="13" t="str">
        <x:v>Только если всё зелёное: попробуй одну рабочую пятёрку или дружелюбную шестёрку по критериям недели — Пятёрка, где тебя «раскрывает» от стены или остаются только 3 точки контакта. Максимум 2 попытки, отдых 4 минуты.</x:v>
      </x:c>
      <x:c r="L442" s="13" t="str">
        <x:v>☐ Не начато</x:v>
      </x:c>
      <x:c r="M442" s="13" t="str">
        <x:v>Опционально</x:v>
      </x:c>
      <x:c r="N442" s="13" t="str">
        <x:v>RPE 7–8, без отказа</x:v>
      </x:c>
      <x:c r="O442" s="13" t="str">
        <x:v>Не тянуться в крайнее положение плеча. Smearing делать только на чистой поверхности и без резкого скольжения.</x:v>
      </x:c>
      <x:c r="P442" s="13" t="str">
        <x:v>milestone_02_footwork_body_position/week_06_2026-10-12/07_SUNDAY.md</x:v>
      </x:c>
      <x:c r="Q442" s="138" t="str">
        <x:v>Markdown</x:v>
      </x:c>
      <x:c r="R442" s="20" t="str"/>
    </x:row>
    <x:row r="443" ht="36" customHeight="1">
      <x:c r="A443" s="19" t="str">
        <x:v>W06-20261018-0442</x:v>
      </x:c>
      <x:c r="B443" s="13" t="n">
        <x:v>6</x:v>
      </x:c>
      <x:c r="C443" s="13" t="str">
        <x:v>Этап 2 — Ноги и положение корпуса</x:v>
      </x:c>
      <x:c r="D443" s="138" t="str">
        <x:v>2026-10-18</x:v>
      </x:c>
      <x:c r="E443" s="13" t="str">
        <x:v>Воскресенье</x:v>
      </x:c>
      <x:c r="F443" s="13" t="str">
        <x:v>Тренировка C — fun / опционально</x:v>
      </x:c>
      <x:c r="G443" s="44" t="n">
        <x:v>0.04583333333333333</x:v>
      </x:c>
      <x:c r="H443" s="44" t="n">
        <x:v>0.05</x:v>
      </x:c>
      <x:c r="I443" s="32" t="n">
        <x:f>ROUND((H443-G443)*1440,0)</x:f>
        <x:v>6</x:v>
      </x:c>
      <x:c r="J443" s="13" t="str">
        <x:v>Лёгкий финал A</x:v>
      </x:c>
      <x:c r="K443" s="13" t="str">
        <x:v>Одна любимая лёгкая трасса или спокойный спуск. Фингерборда и capacity-круга нет.</x:v>
      </x:c>
      <x:c r="L443" s="13" t="str">
        <x:v>☐ Не начато</x:v>
      </x:c>
      <x:c r="M443" s="13" t="str">
        <x:v>Опционально</x:v>
      </x:c>
      <x:c r="N443" s="13" t="str">
        <x:v>RPE 2–3</x:v>
      </x:c>
      <x:c r="O443" s="13" t="str"/>
      <x:c r="P443" s="13" t="str">
        <x:v>milestone_02_footwork_body_position/week_06_2026-10-12/07_SUNDAY.md</x:v>
      </x:c>
      <x:c r="Q443" s="138" t="str">
        <x:v>Markdown</x:v>
      </x:c>
      <x:c r="R443" s="20" t="str"/>
    </x:row>
    <x:row r="444" ht="36" customHeight="1">
      <x:c r="A444" s="19" t="str">
        <x:v>W06-20261018-0443</x:v>
      </x:c>
      <x:c r="B444" s="13" t="n">
        <x:v>6</x:v>
      </x:c>
      <x:c r="C444" s="13" t="str">
        <x:v>Этап 2 — Ноги и положение корпуса</x:v>
      </x:c>
      <x:c r="D444" s="138" t="str">
        <x:v>2026-10-18</x:v>
      </x:c>
      <x:c r="E444" s="13" t="str">
        <x:v>Воскресенье</x:v>
      </x:c>
      <x:c r="F444" s="13" t="str">
        <x:v>Тренировка C — fun / опционально</x:v>
      </x:c>
      <x:c r="G444" s="44" t="n">
        <x:v>0.05</x:v>
      </x:c>
      <x:c r="H444" s="44" t="n">
        <x:v>0.052083333333333336</x:v>
      </x:c>
      <x:c r="I444" s="32" t="n">
        <x:f>ROUND((H444-G444)*1440,0)</x:f>
        <x:v>3</x:v>
      </x:c>
      <x:c r="J444" s="13" t="str">
        <x:v>Журнал A</x:v>
      </x:c>
      <x:c r="K444" s="13" t="str">
        <x:v>Запиши только 3 вещи: что было весело, один удачный технический момент, состояние пальцев после сессии.</x:v>
      </x:c>
      <x:c r="L444" s="13" t="str">
        <x:v>☐ Не начато</x:v>
      </x:c>
      <x:c r="M444" s="13" t="str">
        <x:v>Опционально</x:v>
      </x:c>
      <x:c r="N444" s="13" t="str">
        <x:v>Без нагрузки</x:v>
      </x:c>
      <x:c r="O444" s="13" t="str"/>
      <x:c r="P444" s="13" t="str">
        <x:v>milestone_02_footwork_body_position/week_06_2026-10-12/07_SUNDAY.md</x:v>
      </x:c>
      <x:c r="Q444" s="138" t="str">
        <x:v>Markdown</x:v>
      </x:c>
      <x:c r="R444" s="20" t="str"/>
    </x:row>
    <x:row r="445" ht="36" customHeight="1">
      <x:c r="A445" s="19" t="str">
        <x:v>W06-20261018-0444</x:v>
      </x:c>
      <x:c r="B445" s="13" t="n">
        <x:v>6</x:v>
      </x:c>
      <x:c r="C445" s="13" t="str">
        <x:v>Этап 2 — Ноги и положение корпуса</x:v>
      </x:c>
      <x:c r="D445" s="138" t="str">
        <x:v>2026-10-18</x:v>
      </x:c>
      <x:c r="E445" s="13" t="str">
        <x:v>Воскресенье</x:v>
      </x:c>
      <x:c r="F445" s="13" t="str">
        <x:v>Восстановление B — дома</x:v>
      </x:c>
      <x:c r="G445" s="44" t="n">
        <x:v>0</x:v>
      </x:c>
      <x:c r="H445" s="44" t="n">
        <x:v>0.010416666666666666</x:v>
      </x:c>
      <x:c r="I445" s="32" t="n">
        <x:f>ROUND((H445-G445)*1440,0)</x:f>
        <x:v>15</x:v>
      </x:c>
      <x:c r="J445" s="13" t="str">
        <x:v>Прогулка B</x:v>
      </x:c>
      <x:c r="K445" s="13" t="str">
        <x:v>Если не идёшь в зал: 15 минут спокойной прогулки.</x:v>
      </x:c>
      <x:c r="L445" s="13" t="str">
        <x:v>☐ Не начато</x:v>
      </x:c>
      <x:c r="M445" s="13" t="str">
        <x:v>Опционально</x:v>
      </x:c>
      <x:c r="N445" s="13" t="str">
        <x:v>RPE 1–2</x:v>
      </x:c>
      <x:c r="O445" s="13" t="str"/>
      <x:c r="P445" s="13" t="str">
        <x:v>milestone_02_footwork_body_position/week_06_2026-10-12/07_SUNDAY.md</x:v>
      </x:c>
      <x:c r="Q445" s="138" t="str">
        <x:v>Markdown</x:v>
      </x:c>
      <x:c r="R445" s="20" t="str"/>
    </x:row>
    <x:row r="446" ht="36" customHeight="1">
      <x:c r="A446" s="19" t="str">
        <x:v>W06-20261018-0445</x:v>
      </x:c>
      <x:c r="B446" s="13" t="n">
        <x:v>6</x:v>
      </x:c>
      <x:c r="C446" s="13" t="str">
        <x:v>Этап 2 — Ноги и положение корпуса</x:v>
      </x:c>
      <x:c r="D446" s="138" t="str">
        <x:v>2026-10-18</x:v>
      </x:c>
      <x:c r="E446" s="13" t="str">
        <x:v>Воскресенье</x:v>
      </x:c>
      <x:c r="F446" s="13" t="str">
        <x:v>Восстановление B — дома</x:v>
      </x:c>
      <x:c r="G446" s="44" t="n">
        <x:v>0.010416666666666666</x:v>
      </x:c>
      <x:c r="H446" s="44" t="n">
        <x:v>0.015277777777777777</x:v>
      </x:c>
      <x:c r="I446" s="32" t="n">
        <x:f>ROUND((H446-G446)*1440,0)</x:f>
        <x:v>7</x:v>
      </x:c>
      <x:c r="J446" s="13" t="str">
        <x:v>Визуализация B</x:v>
      </x:c>
      <x:c r="K446" s="13" t="str">
        <x:v>7 минут: мысленно повтори тему недели «Flagging» и одну трассу четверга.</x:v>
      </x:c>
      <x:c r="L446" s="13" t="str">
        <x:v>☐ Не начато</x:v>
      </x:c>
      <x:c r="M446" s="13" t="str">
        <x:v>Опционально</x:v>
      </x:c>
      <x:c r="N446" s="13" t="str">
        <x:v>Без нагрузки</x:v>
      </x:c>
      <x:c r="O446" s="13" t="str"/>
      <x:c r="P446" s="13" t="str">
        <x:v>milestone_02_footwork_body_position/week_06_2026-10-12/07_SUNDAY.md</x:v>
      </x:c>
      <x:c r="Q446" s="138" t="str">
        <x:v>Markdown</x:v>
      </x:c>
      <x:c r="R446" s="20" t="str"/>
    </x:row>
    <x:row r="447" ht="36" customHeight="1">
      <x:c r="A447" s="19" t="str">
        <x:v>W06-20261018-0446</x:v>
      </x:c>
      <x:c r="B447" s="13" t="n">
        <x:v>6</x:v>
      </x:c>
      <x:c r="C447" s="13" t="str">
        <x:v>Этап 2 — Ноги и положение корпуса</x:v>
      </x:c>
      <x:c r="D447" s="138" t="str">
        <x:v>2026-10-18</x:v>
      </x:c>
      <x:c r="E447" s="13" t="str">
        <x:v>Воскресенье</x:v>
      </x:c>
      <x:c r="F447" s="13" t="str">
        <x:v>Восстановление B — дома</x:v>
      </x:c>
      <x:c r="G447" s="44" t="n">
        <x:v>0.015277777777777777</x:v>
      </x:c>
      <x:c r="H447" s="44" t="n">
        <x:v>0.017361111111111112</x:v>
      </x:c>
      <x:c r="I447" s="32" t="n">
        <x:f>ROUND((H447-G447)*1440,0)</x:f>
        <x:v>3</x:v>
      </x:c>
      <x:c r="J447" s="13" t="str">
        <x:v>Итог недели B</x:v>
      </x:c>
      <x:c r="K447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447" s="13" t="str">
        <x:v>☐ Не начато</x:v>
      </x:c>
      <x:c r="M447" s="13" t="str">
        <x:v>Опционально</x:v>
      </x:c>
      <x:c r="N447" s="13" t="str">
        <x:v>Без нагрузки</x:v>
      </x:c>
      <x:c r="O447" s="13" t="str"/>
      <x:c r="P447" s="13" t="str">
        <x:v>milestone_02_footwork_body_position/week_06_2026-10-12/07_SUNDAY.md</x:v>
      </x:c>
      <x:c r="Q447" s="138" t="str">
        <x:v>Markdown</x:v>
      </x:c>
      <x:c r="R447" s="20" t="str"/>
    </x:row>
    <x:row r="448" ht="36" customHeight="1">
      <x:c r="A448" s="19" t="str">
        <x:v>W07-20261019-0447</x:v>
      </x:c>
      <x:c r="B448" s="13" t="n">
        <x:v>7</x:v>
      </x:c>
      <x:c r="C448" s="13" t="str">
        <x:v>Этап 2 — Ноги и положение корпуса</x:v>
      </x:c>
      <x:c r="D448" s="138" t="str">
        <x:v>2026-10-19</x:v>
      </x:c>
      <x:c r="E448" s="13" t="str">
        <x:v>Понедельник</x:v>
      </x:c>
      <x:c r="F448" s="13" t="str">
        <x:v>Дом / теория</x:v>
      </x:c>
      <x:c r="G448" s="44" t="n">
        <x:v>0</x:v>
      </x:c>
      <x:c r="H448" s="44" t="n">
        <x:v>0.0020833333333333333</x:v>
      </x:c>
      <x:c r="I448" s="32" t="n">
        <x:f>ROUND((H448-G448)*1440,0)</x:f>
        <x:v>3</x:v>
      </x:c>
      <x:c r="J448" s="13" t="str">
        <x:v>Самопроверка</x:v>
      </x:c>
      <x:c r="K448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448" s="13" t="str">
        <x:v>☐ Не начато</x:v>
      </x:c>
      <x:c r="M448" s="13" t="str">
        <x:v>Обязательно</x:v>
      </x:c>
      <x:c r="N448" s="13" t="str">
        <x:v>Очень легко</x:v>
      </x:c>
      <x:c r="O448" s="13" t="str">
        <x:v>Не диагностируй травму самостоятельно; используй правила из документа безопасности.</x:v>
      </x:c>
      <x:c r="P448" s="13" t="str">
        <x:v>milestone_02_footwork_body_position/week_07_2026-10-19/01_MONDAY.md</x:v>
      </x:c>
      <x:c r="Q448" s="138" t="str">
        <x:v>Markdown</x:v>
      </x:c>
      <x:c r="R448" s="20" t="str"/>
    </x:row>
    <x:row r="449" ht="36" customHeight="1">
      <x:c r="A449" s="19" t="str">
        <x:v>W07-20261019-0448</x:v>
      </x:c>
      <x:c r="B449" s="13" t="n">
        <x:v>7</x:v>
      </x:c>
      <x:c r="C449" s="13" t="str">
        <x:v>Этап 2 — Ноги и положение корпуса</x:v>
      </x:c>
      <x:c r="D449" s="138" t="str">
        <x:v>2026-10-19</x:v>
      </x:c>
      <x:c r="E449" s="13" t="str">
        <x:v>Понедельник</x:v>
      </x:c>
      <x:c r="F449" s="13" t="str">
        <x:v>Дом / теория</x:v>
      </x:c>
      <x:c r="G449" s="44" t="n">
        <x:v>0.0020833333333333333</x:v>
      </x:c>
      <x:c r="H449" s="44" t="n">
        <x:v>0.005555555555555556</x:v>
      </x:c>
      <x:c r="I449" s="32" t="n">
        <x:f>ROUND((H449-G449)*1440,0)</x:f>
        <x:v>5</x:v>
      </x:c>
      <x:c r="J449" s="13" t="str">
        <x:v>Планирование</x:v>
      </x:c>
      <x:c r="K449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«Колено и таз идут над стопой до того, как ты пытаешься выпрямиться.»</x:v>
      </x:c>
      <x:c r="L449" s="13" t="str">
        <x:v>☐ Не начато</x:v>
      </x:c>
      <x:c r="M449" s="13" t="str">
        <x:v>Обязательно</x:v>
      </x:c>
      <x:c r="N449" s="13" t="str">
        <x:v>Без нагрузки</x:v>
      </x:c>
      <x:c r="O449" s="13" t="str"/>
      <x:c r="P449" s="13" t="str">
        <x:v>milestone_02_footwork_body_position/week_07_2026-10-19/01_MONDAY.md</x:v>
      </x:c>
      <x:c r="Q449" s="138" t="str">
        <x:v>Markdown</x:v>
      </x:c>
      <x:c r="R449" s="20" t="str"/>
    </x:row>
    <x:row r="450" ht="36" customHeight="1">
      <x:c r="A450" s="19" t="str">
        <x:v>W07-20261019-0449</x:v>
      </x:c>
      <x:c r="B450" s="13" t="n">
        <x:v>7</x:v>
      </x:c>
      <x:c r="C450" s="13" t="str">
        <x:v>Этап 2 — Ноги и положение корпуса</x:v>
      </x:c>
      <x:c r="D450" s="138" t="str">
        <x:v>2026-10-19</x:v>
      </x:c>
      <x:c r="E450" s="13" t="str">
        <x:v>Понедельник</x:v>
      </x:c>
      <x:c r="F450" s="13" t="str">
        <x:v>Дом / теория</x:v>
      </x:c>
      <x:c r="G450" s="44" t="n">
        <x:v>0.005555555555555556</x:v>
      </x:c>
      <x:c r="H450" s="44" t="n">
        <x:v>0.011111111111111112</x:v>
      </x:c>
      <x:c r="I450" s="32" t="n">
        <x:f>ROUND((H450-G450)*1440,0)</x:f>
        <x:v>8</x:v>
      </x:c>
      <x:c r="J450" s="13" t="str">
        <x:v>Теория</x:v>
      </x:c>
      <x:c r="K450" s="13" t="str">
        <x:v>Посмотри/прочитай [R08: BMC — How to rockover when climbing](https://www.thebmc.co.uk/en/how-to-rockover-when-climbing-video). Задача: Высокая нога, перенос таза над стопой и вставание ногой вместо подтягивания.</x:v>
      </x:c>
      <x:c r="L450" s="13" t="str">
        <x:v>☐ Не начато</x:v>
      </x:c>
      <x:c r="M450" s="13" t="str">
        <x:v>Обязательно</x:v>
      </x:c>
      <x:c r="N450" s="13" t="str">
        <x:v>Без нагрузки</x:v>
      </x:c>
      <x:c r="O450" s="13" t="str"/>
      <x:c r="P450" s="13" t="str">
        <x:v>milestone_02_footwork_body_position/week_07_2026-10-19/01_MONDAY.md</x:v>
      </x:c>
      <x:c r="Q450" s="138" t="str">
        <x:v>Markdown</x:v>
      </x:c>
      <x:c r="R450" s="20" t="str"/>
    </x:row>
    <x:row r="451" ht="36" customHeight="1">
      <x:c r="A451" s="19" t="str">
        <x:v>W07-20261019-0450</x:v>
      </x:c>
      <x:c r="B451" s="13" t="n">
        <x:v>7</x:v>
      </x:c>
      <x:c r="C451" s="13" t="str">
        <x:v>Этап 2 — Ноги и положение корпуса</x:v>
      </x:c>
      <x:c r="D451" s="138" t="str">
        <x:v>2026-10-19</x:v>
      </x:c>
      <x:c r="E451" s="13" t="str">
        <x:v>Понедельник</x:v>
      </x:c>
      <x:c r="F451" s="13" t="str">
        <x:v>Дом / теория</x:v>
      </x:c>
      <x:c r="G451" s="44" t="n">
        <x:v>0.011111111111111112</x:v>
      </x:c>
      <x:c r="H451" s="44" t="n">
        <x:v>0.014583333333333334</x:v>
      </x:c>
      <x:c r="I451" s="32" t="n">
        <x:f>ROUND((H451-G451)*1440,0)</x:f>
        <x:v>5</x:v>
      </x:c>
      <x:c r="J451" s="13" t="str">
        <x:v>Конспект</x:v>
      </x:c>
      <x:c r="K451" s="13" t="str">
        <x:v>Запиши ровно 3 пункта: (1) что делать ногами/тазом; (2) что не делать руками; (3) какой признак успеха проверишь на стене для темы «Высокая нога и rock-over».</x:v>
      </x:c>
      <x:c r="L451" s="13" t="str">
        <x:v>☐ Не начато</x:v>
      </x:c>
      <x:c r="M451" s="13" t="str">
        <x:v>Обязательно</x:v>
      </x:c>
      <x:c r="N451" s="13" t="str">
        <x:v>Без нагрузки</x:v>
      </x:c>
      <x:c r="O451" s="13" t="str"/>
      <x:c r="P451" s="13" t="str">
        <x:v>milestone_02_footwork_body_position/week_07_2026-10-19/01_MONDAY.md</x:v>
      </x:c>
      <x:c r="Q451" s="138" t="str">
        <x:v>Markdown</x:v>
      </x:c>
      <x:c r="R451" s="20" t="str"/>
    </x:row>
    <x:row r="452" ht="36" customHeight="1">
      <x:c r="A452" s="19" t="str">
        <x:v>W07-20261019-0451</x:v>
      </x:c>
      <x:c r="B452" s="13" t="n">
        <x:v>7</x:v>
      </x:c>
      <x:c r="C452" s="13" t="str">
        <x:v>Этап 2 — Ноги и положение корпуса</x:v>
      </x:c>
      <x:c r="D452" s="138" t="str">
        <x:v>2026-10-19</x:v>
      </x:c>
      <x:c r="E452" s="13" t="str">
        <x:v>Понедельник</x:v>
      </x:c>
      <x:c r="F452" s="13" t="str">
        <x:v>Дом / теория</x:v>
      </x:c>
      <x:c r="G452" s="44" t="n">
        <x:v>0.014583333333333334</x:v>
      </x:c>
      <x:c r="H452" s="44" t="n">
        <x:v>0.022916666666666665</x:v>
      </x:c>
      <x:c r="I452" s="32" t="n">
        <x:f>ROUND((H452-G452)*1440,0)</x:f>
        <x:v>12</x:v>
      </x:c>
      <x:c r="J452" s="13" t="str">
        <x:v>Домашняя мобильность</x:v>
      </x:c>
      <x:c r="K452" s="13" t="str">
        <x:v>Выполни комплекс H2 «Баланс и опора ног» по библиотеке упражнений: 12 минут, без дополнительной нагрузки на пальцы.</x:v>
      </x:c>
      <x:c r="L452" s="13" t="str">
        <x:v>☐ Не начато</x:v>
      </x:c>
      <x:c r="M452" s="13" t="str">
        <x:v>Обязательно</x:v>
      </x:c>
      <x:c r="N452" s="13" t="str">
        <x:v>RPE 2–3</x:v>
      </x:c>
      <x:c r="O452" s="13" t="str">
        <x:v>Не уходи в глубокий присед. Стена используется как страховка; упражнение не должно провоцировать правое колено.</x:v>
      </x:c>
      <x:c r="P452" s="13" t="str">
        <x:v>milestone_02_footwork_body_position/week_07_2026-10-19/01_MONDAY.md</x:v>
      </x:c>
      <x:c r="Q452" s="138" t="str">
        <x:v>Markdown</x:v>
      </x:c>
      <x:c r="R452" s="20" t="str"/>
    </x:row>
    <x:row r="453" ht="36" customHeight="1">
      <x:c r="A453" s="19" t="str">
        <x:v>W07-20261019-0452</x:v>
      </x:c>
      <x:c r="B453" s="13" t="n">
        <x:v>7</x:v>
      </x:c>
      <x:c r="C453" s="13" t="str">
        <x:v>Этап 2 — Ноги и положение корпуса</x:v>
      </x:c>
      <x:c r="D453" s="138" t="str">
        <x:v>2026-10-19</x:v>
      </x:c>
      <x:c r="E453" s="13" t="str">
        <x:v>Понедельник</x:v>
      </x:c>
      <x:c r="F453" s="13" t="str">
        <x:v>Дом / теория</x:v>
      </x:c>
      <x:c r="G453" s="44" t="n">
        <x:v>0.022916666666666665</x:v>
      </x:c>
      <x:c r="H453" s="44" t="n">
        <x:v>0.03680555555555556</x:v>
      </x:c>
      <x:c r="I453" s="32" t="n">
        <x:f>ROUND((H453-G453)*1440,0)</x:f>
        <x:v>20</x:v>
      </x:c>
      <x:c r="J453" s="13" t="str">
        <x:v>Физиотерапия</x:v>
      </x:c>
      <x:c r="K453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453" s="13" t="str">
        <x:v>☐ Не начато</x:v>
      </x:c>
      <x:c r="M453" s="13" t="str">
        <x:v>По назначению</x:v>
      </x:c>
      <x:c r="N453" s="13" t="str">
        <x:v>По назначению физиотерапевта</x:v>
      </x:c>
      <x:c r="O453" s="13" t="str">
        <x:v>Любые указания физиотерапевта имеют приоритет над этим планом.</x:v>
      </x:c>
      <x:c r="P453" s="13" t="str">
        <x:v>milestone_02_footwork_body_position/week_07_2026-10-19/01_MONDAY.md</x:v>
      </x:c>
      <x:c r="Q453" s="138" t="str">
        <x:v>Markdown</x:v>
      </x:c>
      <x:c r="R453" s="20" t="str"/>
    </x:row>
    <x:row r="454" ht="36" customHeight="1">
      <x:c r="A454" s="19" t="str">
        <x:v>W07-20261019-0453</x:v>
      </x:c>
      <x:c r="B454" s="13" t="n">
        <x:v>7</x:v>
      </x:c>
      <x:c r="C454" s="13" t="str">
        <x:v>Этап 2 — Ноги и положение корпуса</x:v>
      </x:c>
      <x:c r="D454" s="138" t="str">
        <x:v>2026-10-19</x:v>
      </x:c>
      <x:c r="E454" s="13" t="str">
        <x:v>Понедельник</x:v>
      </x:c>
      <x:c r="F454" s="13" t="str">
        <x:v>Дом / теория</x:v>
      </x:c>
      <x:c r="G454" s="44" t="n">
        <x:v>0.03680555555555556</x:v>
      </x:c>
      <x:c r="H454" s="44" t="n">
        <x:v>0.03888888888888889</x:v>
      </x:c>
      <x:c r="I454" s="32" t="n">
        <x:f>ROUND((H454-G454)*1440,0)</x:f>
        <x:v>3</x:v>
      </x:c>
      <x:c r="J454" s="13" t="str">
        <x:v>Подготовка</x:v>
      </x:c>
      <x:c r="K454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454" s="13" t="str">
        <x:v>☐ Не начато</x:v>
      </x:c>
      <x:c r="M454" s="13" t="str">
        <x:v>Обязательно</x:v>
      </x:c>
      <x:c r="N454" s="13" t="str">
        <x:v>Без нагрузки</x:v>
      </x:c>
      <x:c r="O454" s="13" t="str">
        <x:v>Кольца и турник — только в рамках программы физиотерапевта.</x:v>
      </x:c>
      <x:c r="P454" s="13" t="str">
        <x:v>milestone_02_footwork_body_position/week_07_2026-10-19/01_MONDAY.md</x:v>
      </x:c>
      <x:c r="Q454" s="138" t="str">
        <x:v>Markdown</x:v>
      </x:c>
      <x:c r="R454" s="20" t="str"/>
    </x:row>
    <x:row r="455" ht="36" customHeight="1">
      <x:c r="A455" s="19" t="str">
        <x:v>W07-20261020-0454</x:v>
      </x:c>
      <x:c r="B455" s="13" t="n">
        <x:v>7</x:v>
      </x:c>
      <x:c r="C455" s="13" t="str">
        <x:v>Этап 2 — Ноги и положение корпуса</x:v>
      </x:c>
      <x:c r="D455" s="138" t="str">
        <x:v>2026-10-20</x:v>
      </x:c>
      <x:c r="E455" s="13" t="str">
        <x:v>Вторник</x:v>
      </x:c>
      <x:c r="F455" s="13" t="str">
        <x:v>Тренировка A — техника/объём</x:v>
      </x:c>
      <x:c r="G455" s="44" t="n">
        <x:v>0</x:v>
      </x:c>
      <x:c r="H455" s="44" t="n">
        <x:v>0.0020833333333333333</x:v>
      </x:c>
      <x:c r="I455" s="32" t="n">
        <x:f>ROUND((H455-G455)*1440,0)</x:f>
        <x:v>3</x:v>
      </x:c>
      <x:c r="J455" s="13" t="str">
        <x:v>Самопроверка</x:v>
      </x:c>
      <x:c r="K45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455" s="13" t="str">
        <x:v>☐ Не начато</x:v>
      </x:c>
      <x:c r="M455" s="13" t="str">
        <x:v>Обязательно</x:v>
      </x:c>
      <x:c r="N455" s="13" t="str">
        <x:v>Без нагрузки</x:v>
      </x:c>
      <x:c r="O455" s="13" t="str">
        <x:v>Красный флаг = не начинать пальцевую нагрузку.</x:v>
      </x:c>
      <x:c r="P455" s="13" t="str">
        <x:v>milestone_02_footwork_body_position/week_07_2026-10-19/02_TUESDAY.md</x:v>
      </x:c>
      <x:c r="Q455" s="138" t="str">
        <x:v>Markdown</x:v>
      </x:c>
      <x:c r="R455" s="20" t="str"/>
    </x:row>
    <x:row r="456" ht="36" customHeight="1">
      <x:c r="A456" s="19" t="str">
        <x:v>W07-20261020-0455</x:v>
      </x:c>
      <x:c r="B456" s="13" t="n">
        <x:v>7</x:v>
      </x:c>
      <x:c r="C456" s="13" t="str">
        <x:v>Этап 2 — Ноги и положение корпуса</x:v>
      </x:c>
      <x:c r="D456" s="138" t="str">
        <x:v>2026-10-20</x:v>
      </x:c>
      <x:c r="E456" s="13" t="str">
        <x:v>Вторник</x:v>
      </x:c>
      <x:c r="F456" s="13" t="str">
        <x:v>Тренировка A — техника/объём</x:v>
      </x:c>
      <x:c r="G456" s="44" t="n">
        <x:v>0.0020833333333333333</x:v>
      </x:c>
      <x:c r="H456" s="44" t="n">
        <x:v>0.005555555555555556</x:v>
      </x:c>
      <x:c r="I456" s="32" t="n">
        <x:f>ROUND((H456-G456)*1440,0)</x:f>
        <x:v>5</x:v>
      </x:c>
      <x:c r="J456" s="13" t="str">
        <x:v>Разминка</x:v>
      </x:c>
      <x:c r="K456" s="13" t="str">
        <x:v>Подними температуру: быстрая ходьба, лестница или лёгкий велотренажёр 5 минут.</x:v>
      </x:c>
      <x:c r="L456" s="13" t="str">
        <x:v>☐ Не начато</x:v>
      </x:c>
      <x:c r="M456" s="13" t="str">
        <x:v>Обязательно</x:v>
      </x:c>
      <x:c r="N456" s="13" t="str">
        <x:v>RPE 2–3</x:v>
      </x:c>
      <x:c r="O456" s="13" t="str"/>
      <x:c r="P456" s="13" t="str">
        <x:v>milestone_02_footwork_body_position/week_07_2026-10-19/02_TUESDAY.md</x:v>
      </x:c>
      <x:c r="Q456" s="138" t="str">
        <x:v>Markdown</x:v>
      </x:c>
      <x:c r="R456" s="20" t="str"/>
    </x:row>
    <x:row r="457" ht="36" customHeight="1">
      <x:c r="A457" s="19" t="str">
        <x:v>W07-20261020-0456</x:v>
      </x:c>
      <x:c r="B457" s="13" t="n">
        <x:v>7</x:v>
      </x:c>
      <x:c r="C457" s="13" t="str">
        <x:v>Этап 2 — Ноги и положение корпуса</x:v>
      </x:c>
      <x:c r="D457" s="138" t="str">
        <x:v>2026-10-20</x:v>
      </x:c>
      <x:c r="E457" s="13" t="str">
        <x:v>Вторник</x:v>
      </x:c>
      <x:c r="F457" s="13" t="str">
        <x:v>Тренировка A — техника/объём</x:v>
      </x:c>
      <x:c r="G457" s="44" t="n">
        <x:v>0.005555555555555556</x:v>
      </x:c>
      <x:c r="H457" s="44" t="n">
        <x:v>0.009027777777777777</x:v>
      </x:c>
      <x:c r="I457" s="32" t="n">
        <x:f>ROUND((H457-G457)*1440,0)</x:f>
        <x:v>5</x:v>
      </x:c>
      <x:c r="J457" s="13" t="str">
        <x:v>Разминка</x:v>
      </x:c>
      <x:c r="K45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457" s="13" t="str">
        <x:v>☐ Не начато</x:v>
      </x:c>
      <x:c r="M457" s="13" t="str">
        <x:v>Обязательно</x:v>
      </x:c>
      <x:c r="N457" s="13" t="str">
        <x:v>Очень легко</x:v>
      </x:c>
      <x:c r="O457" s="13" t="str">
        <x:v>Не делай press/отжимания и движения, которые раздражают плечо.</x:v>
      </x:c>
      <x:c r="P457" s="13" t="str">
        <x:v>milestone_02_footwork_body_position/week_07_2026-10-19/02_TUESDAY.md</x:v>
      </x:c>
      <x:c r="Q457" s="138" t="str">
        <x:v>Markdown</x:v>
      </x:c>
      <x:c r="R457" s="20" t="str"/>
    </x:row>
    <x:row r="458" ht="36" customHeight="1">
      <x:c r="A458" s="19" t="str">
        <x:v>W07-20261020-0457</x:v>
      </x:c>
      <x:c r="B458" s="13" t="n">
        <x:v>7</x:v>
      </x:c>
      <x:c r="C458" s="13" t="str">
        <x:v>Этап 2 — Ноги и положение корпуса</x:v>
      </x:c>
      <x:c r="D458" s="138" t="str">
        <x:v>2026-10-20</x:v>
      </x:c>
      <x:c r="E458" s="13" t="str">
        <x:v>Вторник</x:v>
      </x:c>
      <x:c r="F458" s="13" t="str">
        <x:v>Тренировка A — техника/объём</x:v>
      </x:c>
      <x:c r="G458" s="44" t="n">
        <x:v>0.009027777777777777</x:v>
      </x:c>
      <x:c r="H458" s="44" t="n">
        <x:v>0.011805555555555555</x:v>
      </x:c>
      <x:c r="I458" s="32" t="n">
        <x:f>ROUND((H458-G458)*1440,0)</x:f>
        <x:v>4</x:v>
      </x:c>
      <x:c r="J458" s="13" t="str">
        <x:v>Разминка пальцев</x:v>
      </x:c>
      <x:c r="K45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458" s="13" t="str">
        <x:v>☐ Не начато</x:v>
      </x:c>
      <x:c r="M458" s="13" t="str">
        <x:v>Обязательно</x:v>
      </x:c>
      <x:c r="N458" s="13" t="str">
        <x:v>Очень легко</x:v>
      </x:c>
      <x:c r="O458" s="13" t="str"/>
      <x:c r="P458" s="13" t="str">
        <x:v>milestone_02_footwork_body_position/week_07_2026-10-19/02_TUESDAY.md</x:v>
      </x:c>
      <x:c r="Q458" s="138" t="str">
        <x:v>Markdown</x:v>
      </x:c>
      <x:c r="R458" s="20" t="str"/>
    </x:row>
    <x:row r="459" ht="36" customHeight="1">
      <x:c r="A459" s="19" t="str">
        <x:v>W07-20261020-0458</x:v>
      </x:c>
      <x:c r="B459" s="13" t="n">
        <x:v>7</x:v>
      </x:c>
      <x:c r="C459" s="13" t="str">
        <x:v>Этап 2 — Ноги и положение корпуса</x:v>
      </x:c>
      <x:c r="D459" s="138" t="str">
        <x:v>2026-10-20</x:v>
      </x:c>
      <x:c r="E459" s="13" t="str">
        <x:v>Вторник</x:v>
      </x:c>
      <x:c r="F459" s="13" t="str">
        <x:v>Тренировка A — техника/объём</x:v>
      </x:c>
      <x:c r="G459" s="44" t="n">
        <x:v>0.011805555555555555</x:v>
      </x:c>
      <x:c r="H459" s="44" t="n">
        <x:v>0.014583333333333334</x:v>
      </x:c>
      <x:c r="I459" s="32" t="n">
        <x:f>ROUND((H459-G459)*1440,0)</x:f>
        <x:v>4</x:v>
      </x:c>
      <x:c r="J459" s="13" t="str">
        <x:v>Разминочное лазание</x:v>
      </x:c>
      <x:c r="K459" s="13" t="str">
        <x:v>Пройди 2 очень лёгкие трассы уровня 1–2; двигайся медленно, спускайся по зацепам.</x:v>
      </x:c>
      <x:c r="L459" s="13" t="str">
        <x:v>☐ Не начато</x:v>
      </x:c>
      <x:c r="M459" s="13" t="str">
        <x:v>Обязательно</x:v>
      </x:c>
      <x:c r="N459" s="13" t="str">
        <x:v>RPE 2–3</x:v>
      </x:c>
      <x:c r="O459" s="13" t="str">
        <x:v>Финиш с обязательным болезненным mantle/press пропусти.</x:v>
      </x:c>
      <x:c r="P459" s="13" t="str">
        <x:v>milestone_02_footwork_body_position/week_07_2026-10-19/02_TUESDAY.md</x:v>
      </x:c>
      <x:c r="Q459" s="138" t="str">
        <x:v>Markdown</x:v>
      </x:c>
      <x:c r="R459" s="20" t="str"/>
    </x:row>
    <x:row r="460" ht="36" customHeight="1">
      <x:c r="A460" s="19" t="str">
        <x:v>W07-20261020-0459</x:v>
      </x:c>
      <x:c r="B460" s="13" t="n">
        <x:v>7</x:v>
      </x:c>
      <x:c r="C460" s="13" t="str">
        <x:v>Этап 2 — Ноги и положение корпуса</x:v>
      </x:c>
      <x:c r="D460" s="138" t="str">
        <x:v>2026-10-20</x:v>
      </x:c>
      <x:c r="E460" s="13" t="str">
        <x:v>Вторник</x:v>
      </x:c>
      <x:c r="F460" s="13" t="str">
        <x:v>Тренировка A — техника/объём</x:v>
      </x:c>
      <x:c r="G460" s="44" t="n">
        <x:v>0.014583333333333334</x:v>
      </x:c>
      <x:c r="H460" s="44" t="n">
        <x:v>0.017361111111111112</x:v>
      </x:c>
      <x:c r="I460" s="32" t="n">
        <x:f>ROUND((H460-G460)*1440,0)</x:f>
        <x:v>4</x:v>
      </x:c>
      <x:c r="J460" s="13" t="str">
        <x:v>Разминочное лазание</x:v>
      </x:c>
      <x:c r="K460" s="13" t="str">
        <x:v>Пройди 2 трассы уровня 2–3, затем сделай 2–3 движения на комфортной четвёрке. Между ними 45–60 секунд.</x:v>
      </x:c>
      <x:c r="L460" s="13" t="str">
        <x:v>☐ Не начато</x:v>
      </x:c>
      <x:c r="M460" s="13" t="str">
        <x:v>Обязательно</x:v>
      </x:c>
      <x:c r="N460" s="13" t="str">
        <x:v>RPE 3–4</x:v>
      </x:c>
      <x:c r="O460" s="13" t="str">
        <x:v>Разминка не должна утомить пальцы.</x:v>
      </x:c>
      <x:c r="P460" s="13" t="str">
        <x:v>milestone_02_footwork_body_position/week_07_2026-10-19/02_TUESDAY.md</x:v>
      </x:c>
      <x:c r="Q460" s="138" t="str">
        <x:v>Markdown</x:v>
      </x:c>
      <x:c r="R460" s="20" t="str"/>
    </x:row>
    <x:row r="461" ht="36" customHeight="1">
      <x:c r="A461" s="19" t="str">
        <x:v>W07-20261020-0460</x:v>
      </x:c>
      <x:c r="B461" s="13" t="n">
        <x:v>7</x:v>
      </x:c>
      <x:c r="C461" s="13" t="str">
        <x:v>Этап 2 — Ноги и положение корпуса</x:v>
      </x:c>
      <x:c r="D461" s="138" t="str">
        <x:v>2026-10-20</x:v>
      </x:c>
      <x:c r="E461" s="13" t="str">
        <x:v>Вторник</x:v>
      </x:c>
      <x:c r="F461" s="13" t="str">
        <x:v>Тренировка A — техника/объём</x:v>
      </x:c>
      <x:c r="G461" s="44" t="n">
        <x:v>0.017361111111111112</x:v>
      </x:c>
      <x:c r="H461" s="44" t="n">
        <x:v>0.02013888888888889</x:v>
      </x:c>
      <x:c r="I461" s="32" t="n">
        <x:f>ROUND((H461-G461)*1440,0)</x:f>
        <x:v>4</x:v>
      </x:c>
      <x:c r="J461" s="13" t="str">
        <x:v>Выбор трасс</x:v>
      </x:c>
      <x:c r="K461" s="13" t="str">
        <x:v>Найди трассы для упражнения: 3 трассы 2–3 с крупной высокой ногой и хорошими руками. Отрабатывать медленно, без рывка.</x:v>
      </x:c>
      <x:c r="L461" s="13" t="str">
        <x:v>☐ Не начато</x:v>
      </x:c>
      <x:c r="M461" s="13" t="str">
        <x:v>Обязательно</x:v>
      </x:c>
      <x:c r="N461" s="13" t="str">
        <x:v>Без нагрузки</x:v>
      </x:c>
      <x:c r="O461" s="13" t="str">
        <x:v>Правое колено: уменьшить высоту шага или пропустить движение при боли/скручивании. Плечо: не дожимать rock-over рукой.</x:v>
      </x:c>
      <x:c r="P461" s="13" t="str">
        <x:v>milestone_02_footwork_body_position/week_07_2026-10-19/02_TUESDAY.md</x:v>
      </x:c>
      <x:c r="Q461" s="138" t="str">
        <x:v>Markdown</x:v>
      </x:c>
      <x:c r="R461" s="20" t="str"/>
    </x:row>
    <x:row r="462" ht="36" customHeight="1">
      <x:c r="A462" s="19" t="str">
        <x:v>W07-20261020-0461</x:v>
      </x:c>
      <x:c r="B462" s="13" t="n">
        <x:v>7</x:v>
      </x:c>
      <x:c r="C462" s="13" t="str">
        <x:v>Этап 2 — Ноги и положение корпуса</x:v>
      </x:c>
      <x:c r="D462" s="138" t="str">
        <x:v>2026-10-20</x:v>
      </x:c>
      <x:c r="E462" s="13" t="str">
        <x:v>Вторник</x:v>
      </x:c>
      <x:c r="F462" s="13" t="str">
        <x:v>Тренировка A — техника/объём</x:v>
      </x:c>
      <x:c r="G462" s="44" t="n">
        <x:v>0.02013888888888889</x:v>
      </x:c>
      <x:c r="H462" s="44" t="n">
        <x:v>0.03194444444444444</x:v>
      </x:c>
      <x:c r="I462" s="32" t="n">
        <x:f>ROUND((H462-G462)*1440,0)</x:f>
        <x:v>17</x:v>
      </x:c>
      <x:c r="J462" s="13" t="str">
        <x:v>Технический блок</x:v>
      </x:c>
      <x:c r="K462" s="13" t="str">
        <x:v>Отработай «Высокая нога и rock-over». Шаги: Поставь носок точно, не подтягивая себя выше руками. Подведи колено и таз в комфортный диапазон. Перенеси таз над стопой; пятка может слегка опуститься.</x:v>
      </x:c>
      <x:c r="L462" s="13" t="str">
        <x:v>☐ Не начато</x:v>
      </x:c>
      <x:c r="M462" s="13" t="str">
        <x:v>Обязательно</x:v>
      </x:c>
      <x:c r="N462" s="13" t="str">
        <x:v>RPE 3–5</x:v>
      </x:c>
      <x:c r="O462" s="13" t="str">
        <x:v>Правую высокую ногу уменьшить или заменить при боли. Не дожимать движение болезненным press/mantle.</x:v>
      </x:c>
      <x:c r="P462" s="13" t="str">
        <x:v>milestone_02_footwork_body_position/week_07_2026-10-19/02_TUESDAY.md</x:v>
      </x:c>
      <x:c r="Q462" s="138" t="str">
        <x:v>Markdown</x:v>
      </x:c>
      <x:c r="R462" s="20" t="str"/>
    </x:row>
    <x:row r="463" ht="36" customHeight="1">
      <x:c r="A463" s="19" t="str">
        <x:v>W07-20261020-0462</x:v>
      </x:c>
      <x:c r="B463" s="13" t="n">
        <x:v>7</x:v>
      </x:c>
      <x:c r="C463" s="13" t="str">
        <x:v>Этап 2 — Ноги и положение корпуса</x:v>
      </x:c>
      <x:c r="D463" s="138" t="str">
        <x:v>2026-10-20</x:v>
      </x:c>
      <x:c r="E463" s="13" t="str">
        <x:v>Вторник</x:v>
      </x:c>
      <x:c r="F463" s="13" t="str">
        <x:v>Тренировка A — техника/объём</x:v>
      </x:c>
      <x:c r="G463" s="44" t="n">
        <x:v>0.03194444444444444</x:v>
      </x:c>
      <x:c r="H463" s="44" t="n">
        <x:v>0.035416666666666666</x:v>
      </x:c>
      <x:c r="I463" s="32" t="n">
        <x:f>ROUND((H463-G463)*1440,0)</x:f>
        <x:v>5</x:v>
      </x:c>
      <x:c r="J463" s="13" t="str">
        <x:v>Обратная связь</x:v>
      </x:c>
      <x:c r="K463" s="13" t="str">
        <x:v>Повтори лучшую лёгкую трассу и проверь критерий успеха: Таз оказывается над стопой до подъёма; руки не делают основную работу.</x:v>
      </x:c>
      <x:c r="L463" s="13" t="str">
        <x:v>☐ Не начато</x:v>
      </x:c>
      <x:c r="M463" s="13" t="str">
        <x:v>Обязательно</x:v>
      </x:c>
      <x:c r="N463" s="13" t="str">
        <x:v>RPE 4–5</x:v>
      </x:c>
      <x:c r="O463" s="13" t="str"/>
      <x:c r="P463" s="13" t="str">
        <x:v>milestone_02_footwork_body_position/week_07_2026-10-19/02_TUESDAY.md</x:v>
      </x:c>
      <x:c r="Q463" s="138" t="str">
        <x:v>Markdown</x:v>
      </x:c>
      <x:c r="R463" s="20" t="str"/>
    </x:row>
    <x:row r="464" ht="36" customHeight="1">
      <x:c r="A464" s="19" t="str">
        <x:v>W07-20261020-0463</x:v>
      </x:c>
      <x:c r="B464" s="13" t="n">
        <x:v>7</x:v>
      </x:c>
      <x:c r="C464" s="13" t="str">
        <x:v>Этап 2 — Ноги и положение корпуса</x:v>
      </x:c>
      <x:c r="D464" s="138" t="str">
        <x:v>2026-10-20</x:v>
      </x:c>
      <x:c r="E464" s="13" t="str">
        <x:v>Вторник</x:v>
      </x:c>
      <x:c r="F464" s="13" t="str">
        <x:v>Тренировка A — техника/объём</x:v>
      </x:c>
      <x:c r="G464" s="44" t="n">
        <x:v>0.035416666666666666</x:v>
      </x:c>
      <x:c r="H464" s="44" t="n">
        <x:v>0.04583333333333333</x:v>
      </x:c>
      <x:c r="I464" s="32" t="n">
        <x:f>ROUND((H464-G464)*1440,0)</x:f>
        <x:v>15</x:v>
      </x:c>
      <x:c r="J464" s="13" t="str">
        <x:v>Качественный объём</x:v>
      </x:c>
      <x:c r="K464" s="13" t="str">
        <x:v>Попробуй 2–3 четвёрки, максимум 2 попытки на каждую, отдых 2:00. На неудаче назови техническую причину.</x:v>
      </x:c>
      <x:c r="L464" s="13" t="str">
        <x:v>☐ Не начато</x:v>
      </x:c>
      <x:c r="M464" s="13" t="str">
        <x:v>Обязательно</x:v>
      </x:c>
      <x:c r="N464" s="13" t="str">
        <x:v>RPE 6–7</x:v>
      </x:c>
      <x:c r="O464" s="13" t="str">
        <x:v>Не выбирать подряд три трассы на одинаково маленьких кромках.</x:v>
      </x:c>
      <x:c r="P464" s="13" t="str">
        <x:v>milestone_02_footwork_body_position/week_07_2026-10-19/02_TUESDAY.md</x:v>
      </x:c>
      <x:c r="Q464" s="138" t="str">
        <x:v>Markdown</x:v>
      </x:c>
      <x:c r="R464" s="20" t="str"/>
    </x:row>
    <x:row r="465" ht="36" customHeight="1">
      <x:c r="A465" s="19" t="str">
        <x:v>W07-20261020-0464</x:v>
      </x:c>
      <x:c r="B465" s="13" t="n">
        <x:v>7</x:v>
      </x:c>
      <x:c r="C465" s="13" t="str">
        <x:v>Этап 2 — Ноги и положение корпуса</x:v>
      </x:c>
      <x:c r="D465" s="138" t="str">
        <x:v>2026-10-20</x:v>
      </x:c>
      <x:c r="E465" s="13" t="str">
        <x:v>Вторник</x:v>
      </x:c>
      <x:c r="F465" s="13" t="str">
        <x:v>Тренировка A — техника/объём</x:v>
      </x:c>
      <x:c r="G465" s="44" t="n">
        <x:v>0.04583333333333333</x:v>
      </x:c>
      <x:c r="H465" s="44" t="n">
        <x:v>0.052083333333333336</x:v>
      </x:c>
      <x:c r="I465" s="32" t="n">
        <x:f>ROUND((H465-G465)*1440,0)</x:f>
        <x:v>9</x:v>
      </x:c>
      <x:c r="J465" s="13" t="str">
        <x:v>Рабочая пятёрка</x:v>
      </x:c>
      <x:c r="K465" s="13" t="str">
        <x:v>Одна пятёрка, максимум 2 попытки, отдых 3:00. Цель — применить тему недели, а не обязательно закрыть.</x:v>
      </x:c>
      <x:c r="L465" s="13" t="str">
        <x:v>☐ Не начато</x:v>
      </x:c>
      <x:c r="M465" s="13" t="str">
        <x:v>Обязательно</x:v>
      </x:c>
      <x:c r="N465" s="13" t="str">
        <x:v>RPE 7–8</x:v>
      </x:c>
      <x:c r="O465" s="13" t="str">
        <x:v>Правое колено: уменьшить высоту шага или пропустить движение при боли/скручивании. Плечо: не дожимать rock-over рукой.</x:v>
      </x:c>
      <x:c r="P465" s="13" t="str">
        <x:v>milestone_02_footwork_body_position/week_07_2026-10-19/02_TUESDAY.md</x:v>
      </x:c>
      <x:c r="Q465" s="138" t="str">
        <x:v>Markdown</x:v>
      </x:c>
      <x:c r="R465" s="20" t="str"/>
    </x:row>
    <x:row r="466" ht="36" customHeight="1">
      <x:c r="A466" s="19" t="str">
        <x:v>W07-20261020-0465</x:v>
      </x:c>
      <x:c r="B466" s="13" t="n">
        <x:v>7</x:v>
      </x:c>
      <x:c r="C466" s="13" t="str">
        <x:v>Этап 2 — Ноги и положение корпуса</x:v>
      </x:c>
      <x:c r="D466" s="138" t="str">
        <x:v>2026-10-20</x:v>
      </x:c>
      <x:c r="E466" s="13" t="str">
        <x:v>Вторник</x:v>
      </x:c>
      <x:c r="F466" s="13" t="str">
        <x:v>Тренировка A — техника/объём</x:v>
      </x:c>
      <x:c r="G466" s="44" t="n">
        <x:v>0.052083333333333336</x:v>
      </x:c>
      <x:c r="H466" s="44" t="n">
        <x:v>0.058333333333333334</x:v>
      </x:c>
      <x:c r="I466" s="32" t="n">
        <x:f>ROUND((H466-G466)*1440,0)</x:f>
        <x:v>9</x:v>
      </x:c>
      <x:c r="J466" s="13" t="str">
        <x:v>Лёгкая выносливость</x:v>
      </x:c>
      <x:c r="K466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466" s="13" t="str">
        <x:v>☐ Не начато</x:v>
      </x:c>
      <x:c r="M466" s="13" t="str">
        <x:v>Обязательно</x:v>
      </x:c>
      <x:c r="N466" s="13" t="str">
        <x:v>Памп максимум 4/10</x:v>
      </x:c>
      <x:c r="O466" s="13" t="str">
        <x:v>Остановиться при неточной постановке ног или разжимании пальцев.</x:v>
      </x:c>
      <x:c r="P466" s="13" t="str">
        <x:v>milestone_02_footwork_body_position/week_07_2026-10-19/02_TUESDAY.md</x:v>
      </x:c>
      <x:c r="Q466" s="138" t="str">
        <x:v>Markdown</x:v>
      </x:c>
      <x:c r="R466" s="20" t="str"/>
    </x:row>
    <x:row r="467" ht="36" customHeight="1">
      <x:c r="A467" s="19" t="str">
        <x:v>W07-20261020-0466</x:v>
      </x:c>
      <x:c r="B467" s="13" t="n">
        <x:v>7</x:v>
      </x:c>
      <x:c r="C467" s="13" t="str">
        <x:v>Этап 2 — Ноги и положение корпуса</x:v>
      </x:c>
      <x:c r="D467" s="138" t="str">
        <x:v>2026-10-20</x:v>
      </x:c>
      <x:c r="E467" s="13" t="str">
        <x:v>Вторник</x:v>
      </x:c>
      <x:c r="F467" s="13" t="str">
        <x:v>Тренировка A — техника/объём</x:v>
      </x:c>
      <x:c r="G467" s="44" t="n">
        <x:v>0.058333333333333334</x:v>
      </x:c>
      <x:c r="H467" s="44" t="n">
        <x:v>0.06041666666666667</x:v>
      </x:c>
      <x:c r="I467" s="32" t="n">
        <x:f>ROUND((H467-G467)*1440,0)</x:f>
        <x:v>3</x:v>
      </x:c>
      <x:c r="J467" s="13" t="str">
        <x:v>Завершение</x:v>
      </x:c>
      <x:c r="K467" s="13" t="str">
        <x:v>Очень лёгкий спуск/ходьба и спокойное встряхивание кистей.</x:v>
      </x:c>
      <x:c r="L467" s="13" t="str">
        <x:v>☐ Не начато</x:v>
      </x:c>
      <x:c r="M467" s="13" t="str">
        <x:v>Обязательно</x:v>
      </x:c>
      <x:c r="N467" s="13" t="str">
        <x:v>RPE 1–2</x:v>
      </x:c>
      <x:c r="O467" s="13" t="str"/>
      <x:c r="P467" s="13" t="str">
        <x:v>milestone_02_footwork_body_position/week_07_2026-10-19/02_TUESDAY.md</x:v>
      </x:c>
      <x:c r="Q467" s="138" t="str">
        <x:v>Markdown</x:v>
      </x:c>
      <x:c r="R467" s="20" t="str"/>
    </x:row>
    <x:row r="468" ht="36" customHeight="1">
      <x:c r="A468" s="19" t="str">
        <x:v>W07-20261020-0467</x:v>
      </x:c>
      <x:c r="B468" s="13" t="n">
        <x:v>7</x:v>
      </x:c>
      <x:c r="C468" s="13" t="str">
        <x:v>Этап 2 — Ноги и положение корпуса</x:v>
      </x:c>
      <x:c r="D468" s="138" t="str">
        <x:v>2026-10-20</x:v>
      </x:c>
      <x:c r="E468" s="13" t="str">
        <x:v>Вторник</x:v>
      </x:c>
      <x:c r="F468" s="13" t="str">
        <x:v>Тренировка A — техника/объём</x:v>
      </x:c>
      <x:c r="G468" s="44" t="n">
        <x:v>0.06041666666666667</x:v>
      </x:c>
      <x:c r="H468" s="44" t="n">
        <x:v>0.0625</x:v>
      </x:c>
      <x:c r="I468" s="32" t="n">
        <x:f>ROUND((H468-G468)*1440,0)</x:f>
        <x:v>3</x:v>
      </x:c>
      <x:c r="J468" s="13" t="str">
        <x:v>Журнал</x:v>
      </x:c>
      <x:c r="K468" s="13" t="str">
        <x:v>Запиши: На видео проверить: таз действительно оказался над стопой до подъёма? Также отметь минуту первой просадки хвата.</x:v>
      </x:c>
      <x:c r="L468" s="13" t="str">
        <x:v>☐ Не начато</x:v>
      </x:c>
      <x:c r="M468" s="13" t="str">
        <x:v>Обязательно</x:v>
      </x:c>
      <x:c r="N468" s="13" t="str">
        <x:v>Без нагрузки</x:v>
      </x:c>
      <x:c r="O468" s="13" t="str"/>
      <x:c r="P468" s="13" t="str">
        <x:v>milestone_02_footwork_body_position/week_07_2026-10-19/02_TUESDAY.md</x:v>
      </x:c>
      <x:c r="Q468" s="138" t="str">
        <x:v>Markdown</x:v>
      </x:c>
      <x:c r="R468" s="20" t="str"/>
    </x:row>
    <x:row r="469" ht="36" customHeight="1">
      <x:c r="A469" s="19" t="str">
        <x:v>W07-20261021-0468</x:v>
      </x:c>
      <x:c r="B469" s="13" t="n">
        <x:v>7</x:v>
      </x:c>
      <x:c r="C469" s="13" t="str">
        <x:v>Этап 2 — Ноги и положение корпуса</x:v>
      </x:c>
      <x:c r="D469" s="138" t="str">
        <x:v>2026-10-21</x:v>
      </x:c>
      <x:c r="E469" s="13" t="str">
        <x:v>Среда</x:v>
      </x:c>
      <x:c r="F469" s="13" t="str">
        <x:v>Восстановление / видео</x:v>
      </x:c>
      <x:c r="G469" s="44" t="n">
        <x:v>0</x:v>
      </x:c>
      <x:c r="H469" s="44" t="n">
        <x:v>0.006944444444444444</x:v>
      </x:c>
      <x:c r="I469" s="32" t="n">
        <x:f>ROUND((H469-G469)*1440,0)</x:f>
        <x:v>10</x:v>
      </x:c>
      <x:c r="J469" s="13" t="str">
        <x:v>Восстановление</x:v>
      </x:c>
      <x:c r="K469" s="13" t="str">
        <x:v>10 минут спокойной ходьбы. Руки расслаблены; это не тренировка выносливости.</x:v>
      </x:c>
      <x:c r="L469" s="13" t="str">
        <x:v>☐ Не начато</x:v>
      </x:c>
      <x:c r="M469" s="13" t="str">
        <x:v>Обязательно</x:v>
      </x:c>
      <x:c r="N469" s="13" t="str">
        <x:v>RPE 1–2</x:v>
      </x:c>
      <x:c r="O469" s="13" t="str"/>
      <x:c r="P469" s="13" t="str">
        <x:v>milestone_02_footwork_body_position/week_07_2026-10-19/03_WEDNESDAY.md</x:v>
      </x:c>
      <x:c r="Q469" s="138" t="str">
        <x:v>Markdown</x:v>
      </x:c>
      <x:c r="R469" s="20" t="str"/>
    </x:row>
    <x:row r="470" ht="36" customHeight="1">
      <x:c r="A470" s="19" t="str">
        <x:v>W07-20261021-0469</x:v>
      </x:c>
      <x:c r="B470" s="13" t="n">
        <x:v>7</x:v>
      </x:c>
      <x:c r="C470" s="13" t="str">
        <x:v>Этап 2 — Ноги и положение корпуса</x:v>
      </x:c>
      <x:c r="D470" s="138" t="str">
        <x:v>2026-10-21</x:v>
      </x:c>
      <x:c r="E470" s="13" t="str">
        <x:v>Среда</x:v>
      </x:c>
      <x:c r="F470" s="13" t="str">
        <x:v>Восстановление / видео</x:v>
      </x:c>
      <x:c r="G470" s="44" t="n">
        <x:v>0.006944444444444444</x:v>
      </x:c>
      <x:c r="H470" s="44" t="n">
        <x:v>0.009027777777777777</x:v>
      </x:c>
      <x:c r="I470" s="32" t="n">
        <x:f>ROUND((H470-G470)*1440,0)</x:f>
        <x:v>3</x:v>
      </x:c>
      <x:c r="J470" s="13" t="str">
        <x:v>Самопроверка</x:v>
      </x:c>
      <x:c r="K470" s="13" t="str">
        <x:v>Оцени реакцию после вторника: плечо, пальцы, правое колено 0–10. Запиши, что изменилось относительно вчерашнего утра.</x:v>
      </x:c>
      <x:c r="L470" s="13" t="str">
        <x:v>☐ Не начато</x:v>
      </x:c>
      <x:c r="M470" s="13" t="str">
        <x:v>Обязательно</x:v>
      </x:c>
      <x:c r="N470" s="13" t="str">
        <x:v>Без нагрузки</x:v>
      </x:c>
      <x:c r="O470" s="13" t="str">
        <x:v>Острая локальная боль пальца или ухудшение плеча = не делать четверговую пальцевую нагрузку.</x:v>
      </x:c>
      <x:c r="P470" s="13" t="str">
        <x:v>milestone_02_footwork_body_position/week_07_2026-10-19/03_WEDNESDAY.md</x:v>
      </x:c>
      <x:c r="Q470" s="138" t="str">
        <x:v>Markdown</x:v>
      </x:c>
      <x:c r="R470" s="20" t="str"/>
    </x:row>
    <x:row r="471" ht="36" customHeight="1">
      <x:c r="A471" s="19" t="str">
        <x:v>W07-20261021-0470</x:v>
      </x:c>
      <x:c r="B471" s="13" t="n">
        <x:v>7</x:v>
      </x:c>
      <x:c r="C471" s="13" t="str">
        <x:v>Этап 2 — Ноги и положение корпуса</x:v>
      </x:c>
      <x:c r="D471" s="138" t="str">
        <x:v>2026-10-21</x:v>
      </x:c>
      <x:c r="E471" s="13" t="str">
        <x:v>Среда</x:v>
      </x:c>
      <x:c r="F471" s="13" t="str">
        <x:v>Восстановление / видео</x:v>
      </x:c>
      <x:c r="G471" s="44" t="n">
        <x:v>0.009027777777777777</x:v>
      </x:c>
      <x:c r="H471" s="44" t="n">
        <x:v>0.01597222222222222</x:v>
      </x:c>
      <x:c r="I471" s="32" t="n">
        <x:f>ROUND((H471-G471)*1440,0)</x:f>
        <x:v>10</x:v>
      </x:c>
      <x:c r="J471" s="13" t="str">
        <x:v>Видеоразбор</x:v>
      </x:c>
      <x:c r="K471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471" s="13" t="str">
        <x:v>☐ Не начато</x:v>
      </x:c>
      <x:c r="M471" s="13" t="str">
        <x:v>Обязательно</x:v>
      </x:c>
      <x:c r="N471" s="13" t="str">
        <x:v>Без нагрузки</x:v>
      </x:c>
      <x:c r="O471" s="13" t="str"/>
      <x:c r="P471" s="13" t="str">
        <x:v>milestone_02_footwork_body_position/week_07_2026-10-19/03_WEDNESDAY.md</x:v>
      </x:c>
      <x:c r="Q471" s="138" t="str">
        <x:v>Markdown</x:v>
      </x:c>
      <x:c r="R471" s="20" t="str"/>
    </x:row>
    <x:row r="472" ht="36" customHeight="1">
      <x:c r="A472" s="19" t="str">
        <x:v>W07-20261021-0471</x:v>
      </x:c>
      <x:c r="B472" s="13" t="n">
        <x:v>7</x:v>
      </x:c>
      <x:c r="C472" s="13" t="str">
        <x:v>Этап 2 — Ноги и положение корпуса</x:v>
      </x:c>
      <x:c r="D472" s="138" t="str">
        <x:v>2026-10-21</x:v>
      </x:c>
      <x:c r="E472" s="13" t="str">
        <x:v>Среда</x:v>
      </x:c>
      <x:c r="F472" s="13" t="str">
        <x:v>Восстановление / видео</x:v>
      </x:c>
      <x:c r="G472" s="44" t="n">
        <x:v>0.01597222222222222</x:v>
      </x:c>
      <x:c r="H472" s="44" t="n">
        <x:v>0.01875</x:v>
      </x:c>
      <x:c r="I472" s="32" t="n">
        <x:f>ROUND((H472-G472)*1440,0)</x:f>
        <x:v>4</x:v>
      </x:c>
      <x:c r="J472" s="13" t="str">
        <x:v>Конспект</x:v>
      </x:c>
      <x:c r="K472" s="13" t="str">
        <x:v>Запиши одну правку на четверг в формате «В следующей попытке я…». Используй cue: «Колено и таз идут над стопой до того, как ты пытаешься выпрямиться.».</x:v>
      </x:c>
      <x:c r="L472" s="13" t="str">
        <x:v>☐ Не начато</x:v>
      </x:c>
      <x:c r="M472" s="13" t="str">
        <x:v>Обязательно</x:v>
      </x:c>
      <x:c r="N472" s="13" t="str">
        <x:v>Без нагрузки</x:v>
      </x:c>
      <x:c r="O472" s="13" t="str"/>
      <x:c r="P472" s="13" t="str">
        <x:v>milestone_02_footwork_body_position/week_07_2026-10-19/03_WEDNESDAY.md</x:v>
      </x:c>
      <x:c r="Q472" s="138" t="str">
        <x:v>Markdown</x:v>
      </x:c>
      <x:c r="R472" s="20" t="str"/>
    </x:row>
    <x:row r="473" ht="36" customHeight="1">
      <x:c r="A473" s="19" t="str">
        <x:v>W07-20261021-0472</x:v>
      </x:c>
      <x:c r="B473" s="13" t="n">
        <x:v>7</x:v>
      </x:c>
      <x:c r="C473" s="13" t="str">
        <x:v>Этап 2 — Ноги и положение корпуса</x:v>
      </x:c>
      <x:c r="D473" s="138" t="str">
        <x:v>2026-10-21</x:v>
      </x:c>
      <x:c r="E473" s="13" t="str">
        <x:v>Среда</x:v>
      </x:c>
      <x:c r="F473" s="13" t="str">
        <x:v>Восстановление / видео</x:v>
      </x:c>
      <x:c r="G473" s="44" t="n">
        <x:v>0.01875</x:v>
      </x:c>
      <x:c r="H473" s="44" t="n">
        <x:v>0.027083333333333334</x:v>
      </x:c>
      <x:c r="I473" s="32" t="n">
        <x:f>ROUND((H473-G473)*1440,0)</x:f>
        <x:v>12</x:v>
      </x:c>
      <x:c r="J473" s="13" t="str">
        <x:v>Домашняя мобильность</x:v>
      </x:c>
      <x:c r="K473" s="13" t="str">
        <x:v>Выполни комплекс H3 «Мобильность таза и контроль корпуса», 12 минут. Ни турника, ни колец для дополнительного хвата.</x:v>
      </x:c>
      <x:c r="L473" s="13" t="str">
        <x:v>☐ Не начато</x:v>
      </x:c>
      <x:c r="M473" s="13" t="str">
        <x:v>Обязательно</x:v>
      </x:c>
      <x:c r="N473" s="13" t="str">
        <x:v>RPE 2–3</x:v>
      </x:c>
      <x:c r="O473" s="13" t="str">
        <x:v>Никаких скручиваний через боль. Плечом не отталкивайся от стены; касание только для равновесия.</x:v>
      </x:c>
      <x:c r="P473" s="13" t="str">
        <x:v>milestone_02_footwork_body_position/week_07_2026-10-19/03_WEDNESDAY.md</x:v>
      </x:c>
      <x:c r="Q473" s="138" t="str">
        <x:v>Markdown</x:v>
      </x:c>
      <x:c r="R473" s="20" t="str"/>
    </x:row>
    <x:row r="474" ht="36" customHeight="1">
      <x:c r="A474" s="19" t="str">
        <x:v>W07-20261021-0473</x:v>
      </x:c>
      <x:c r="B474" s="13" t="n">
        <x:v>7</x:v>
      </x:c>
      <x:c r="C474" s="13" t="str">
        <x:v>Этап 2 — Ноги и положение корпуса</x:v>
      </x:c>
      <x:c r="D474" s="138" t="str">
        <x:v>2026-10-21</x:v>
      </x:c>
      <x:c r="E474" s="13" t="str">
        <x:v>Среда</x:v>
      </x:c>
      <x:c r="F474" s="13" t="str">
        <x:v>Восстановление / видео</x:v>
      </x:c>
      <x:c r="G474" s="44" t="n">
        <x:v>0.027083333333333334</x:v>
      </x:c>
      <x:c r="H474" s="44" t="n">
        <x:v>0.04097222222222222</x:v>
      </x:c>
      <x:c r="I474" s="32" t="n">
        <x:f>ROUND((H474-G474)*1440,0)</x:f>
        <x:v>20</x:v>
      </x:c>
      <x:c r="J474" s="13" t="str">
        <x:v>Физиотерапия</x:v>
      </x:c>
      <x:c r="K474" s="13" t="str">
        <x:v>Выполни свой назначенный физиотерапевтом комплекс, если среда входит в его расписание.</x:v>
      </x:c>
      <x:c r="L474" s="13" t="str">
        <x:v>☐ Не начато</x:v>
      </x:c>
      <x:c r="M474" s="13" t="str">
        <x:v>По назначению</x:v>
      </x:c>
      <x:c r="N474" s="13" t="str">
        <x:v>По назначению</x:v>
      </x:c>
      <x:c r="O474" s="13" t="str">
        <x:v>Назначения физиотерапевта имеют приоритет.</x:v>
      </x:c>
      <x:c r="P474" s="13" t="str">
        <x:v>milestone_02_footwork_body_position/week_07_2026-10-19/03_WEDNESDAY.md</x:v>
      </x:c>
      <x:c r="Q474" s="138" t="str">
        <x:v>Markdown</x:v>
      </x:c>
      <x:c r="R474" s="20" t="str"/>
    </x:row>
    <x:row r="475" ht="36" customHeight="1">
      <x:c r="A475" s="19" t="str">
        <x:v>W07-20261021-0474</x:v>
      </x:c>
      <x:c r="B475" s="13" t="n">
        <x:v>7</x:v>
      </x:c>
      <x:c r="C475" s="13" t="str">
        <x:v>Этап 2 — Ноги и положение корпуса</x:v>
      </x:c>
      <x:c r="D475" s="138" t="str">
        <x:v>2026-10-21</x:v>
      </x:c>
      <x:c r="E475" s="13" t="str">
        <x:v>Среда</x:v>
      </x:c>
      <x:c r="F475" s="13" t="str">
        <x:v>Восстановление / видео</x:v>
      </x:c>
      <x:c r="G475" s="44" t="n">
        <x:v>0.04097222222222222</x:v>
      </x:c>
      <x:c r="H475" s="44" t="n">
        <x:v>0.043055555555555555</x:v>
      </x:c>
      <x:c r="I475" s="32" t="n">
        <x:f>ROUND((H475-G475)*1440,0)</x:f>
        <x:v>3</x:v>
      </x:c>
      <x:c r="J475" s="13" t="str">
        <x:v>Запрет лишней нагрузки</x:v>
      </x:c>
      <x:c r="K475" s="13" t="str">
        <x:v>Поставь отметку: сегодня не было висов, подтягиваний «на проверку», эспандера-сжимателя или тяжёлого ношения.</x:v>
      </x:c>
      <x:c r="L475" s="13" t="str">
        <x:v>☐ Не начато</x:v>
      </x:c>
      <x:c r="M475" s="13" t="str">
        <x:v>Обязательно</x:v>
      </x:c>
      <x:c r="N475" s="13" t="str">
        <x:v>Восстановление</x:v>
      </x:c>
      <x:c r="O475" s="13" t="str"/>
      <x:c r="P475" s="13" t="str">
        <x:v>milestone_02_footwork_body_position/week_07_2026-10-19/03_WEDNESDAY.md</x:v>
      </x:c>
      <x:c r="Q475" s="138" t="str">
        <x:v>Markdown</x:v>
      </x:c>
      <x:c r="R475" s="20" t="str"/>
    </x:row>
    <x:row r="476" ht="36" customHeight="1">
      <x:c r="A476" s="19" t="str">
        <x:v>W07-20261022-0475</x:v>
      </x:c>
      <x:c r="B476" s="13" t="n">
        <x:v>7</x:v>
      </x:c>
      <x:c r="C476" s="13" t="str">
        <x:v>Этап 2 — Ноги и положение корпуса</x:v>
      </x:c>
      <x:c r="D476" s="138" t="str">
        <x:v>2026-10-22</x:v>
      </x:c>
      <x:c r="E476" s="13" t="str">
        <x:v>Четверг</x:v>
      </x:c>
      <x:c r="F476" s="13" t="str">
        <x:v>Тренировка B — пальцы/проект</x:v>
      </x:c>
      <x:c r="G476" s="44" t="n">
        <x:v>0</x:v>
      </x:c>
      <x:c r="H476" s="44" t="n">
        <x:v>0.0020833333333333333</x:v>
      </x:c>
      <x:c r="I476" s="32" t="n">
        <x:f>ROUND((H476-G476)*1440,0)</x:f>
        <x:v>3</x:v>
      </x:c>
      <x:c r="J476" s="13" t="str">
        <x:v>Самопроверка</x:v>
      </x:c>
      <x:c r="K476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476" s="13" t="str">
        <x:v>☐ Не начато</x:v>
      </x:c>
      <x:c r="M476" s="13" t="str">
        <x:v>Обязательно</x:v>
      </x:c>
      <x:c r="N476" s="13" t="str">
        <x:v>Без нагрузки</x:v>
      </x:c>
      <x:c r="O476" s="13" t="str">
        <x:v>Красный флаг = не начинать пальцевую нагрузку.</x:v>
      </x:c>
      <x:c r="P476" s="13" t="str">
        <x:v>milestone_02_footwork_body_position/week_07_2026-10-19/04_THURSDAY.md</x:v>
      </x:c>
      <x:c r="Q476" s="138" t="str">
        <x:v>Markdown</x:v>
      </x:c>
      <x:c r="R476" s="20" t="str"/>
    </x:row>
    <x:row r="477" ht="36" customHeight="1">
      <x:c r="A477" s="19" t="str">
        <x:v>W07-20261022-0476</x:v>
      </x:c>
      <x:c r="B477" s="13" t="n">
        <x:v>7</x:v>
      </x:c>
      <x:c r="C477" s="13" t="str">
        <x:v>Этап 2 — Ноги и положение корпуса</x:v>
      </x:c>
      <x:c r="D477" s="138" t="str">
        <x:v>2026-10-22</x:v>
      </x:c>
      <x:c r="E477" s="13" t="str">
        <x:v>Четверг</x:v>
      </x:c>
      <x:c r="F477" s="13" t="str">
        <x:v>Тренировка B — пальцы/проект</x:v>
      </x:c>
      <x:c r="G477" s="44" t="n">
        <x:v>0.0020833333333333333</x:v>
      </x:c>
      <x:c r="H477" s="44" t="n">
        <x:v>0.005555555555555556</x:v>
      </x:c>
      <x:c r="I477" s="32" t="n">
        <x:f>ROUND((H477-G477)*1440,0)</x:f>
        <x:v>5</x:v>
      </x:c>
      <x:c r="J477" s="13" t="str">
        <x:v>Разминка</x:v>
      </x:c>
      <x:c r="K477" s="13" t="str">
        <x:v>Подними температуру: быстрая ходьба, лестница или лёгкий велотренажёр 5 минут.</x:v>
      </x:c>
      <x:c r="L477" s="13" t="str">
        <x:v>☐ Не начато</x:v>
      </x:c>
      <x:c r="M477" s="13" t="str">
        <x:v>Обязательно</x:v>
      </x:c>
      <x:c r="N477" s="13" t="str">
        <x:v>RPE 2–3</x:v>
      </x:c>
      <x:c r="O477" s="13" t="str"/>
      <x:c r="P477" s="13" t="str">
        <x:v>milestone_02_footwork_body_position/week_07_2026-10-19/04_THURSDAY.md</x:v>
      </x:c>
      <x:c r="Q477" s="138" t="str">
        <x:v>Markdown</x:v>
      </x:c>
      <x:c r="R477" s="20" t="str"/>
    </x:row>
    <x:row r="478" ht="36" customHeight="1">
      <x:c r="A478" s="19" t="str">
        <x:v>W07-20261022-0477</x:v>
      </x:c>
      <x:c r="B478" s="13" t="n">
        <x:v>7</x:v>
      </x:c>
      <x:c r="C478" s="13" t="str">
        <x:v>Этап 2 — Ноги и положение корпуса</x:v>
      </x:c>
      <x:c r="D478" s="138" t="str">
        <x:v>2026-10-22</x:v>
      </x:c>
      <x:c r="E478" s="13" t="str">
        <x:v>Четверг</x:v>
      </x:c>
      <x:c r="F478" s="13" t="str">
        <x:v>Тренировка B — пальцы/проект</x:v>
      </x:c>
      <x:c r="G478" s="44" t="n">
        <x:v>0.005555555555555556</x:v>
      </x:c>
      <x:c r="H478" s="44" t="n">
        <x:v>0.009027777777777777</x:v>
      </x:c>
      <x:c r="I478" s="32" t="n">
        <x:f>ROUND((H478-G478)*1440,0)</x:f>
        <x:v>5</x:v>
      </x:c>
      <x:c r="J478" s="13" t="str">
        <x:v>Разминка</x:v>
      </x:c>
      <x:c r="K478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478" s="13" t="str">
        <x:v>☐ Не начато</x:v>
      </x:c>
      <x:c r="M478" s="13" t="str">
        <x:v>Обязательно</x:v>
      </x:c>
      <x:c r="N478" s="13" t="str">
        <x:v>Очень легко</x:v>
      </x:c>
      <x:c r="O478" s="13" t="str">
        <x:v>Не делай press/отжимания и движения, которые раздражают плечо.</x:v>
      </x:c>
      <x:c r="P478" s="13" t="str">
        <x:v>milestone_02_footwork_body_position/week_07_2026-10-19/04_THURSDAY.md</x:v>
      </x:c>
      <x:c r="Q478" s="138" t="str">
        <x:v>Markdown</x:v>
      </x:c>
      <x:c r="R478" s="20" t="str"/>
    </x:row>
    <x:row r="479" ht="36" customHeight="1">
      <x:c r="A479" s="19" t="str">
        <x:v>W07-20261022-0478</x:v>
      </x:c>
      <x:c r="B479" s="13" t="n">
        <x:v>7</x:v>
      </x:c>
      <x:c r="C479" s="13" t="str">
        <x:v>Этап 2 — Ноги и положение корпуса</x:v>
      </x:c>
      <x:c r="D479" s="138" t="str">
        <x:v>2026-10-22</x:v>
      </x:c>
      <x:c r="E479" s="13" t="str">
        <x:v>Четверг</x:v>
      </x:c>
      <x:c r="F479" s="13" t="str">
        <x:v>Тренировка B — пальцы/проект</x:v>
      </x:c>
      <x:c r="G479" s="44" t="n">
        <x:v>0.009027777777777777</x:v>
      </x:c>
      <x:c r="H479" s="44" t="n">
        <x:v>0.011805555555555555</x:v>
      </x:c>
      <x:c r="I479" s="32" t="n">
        <x:f>ROUND((H479-G479)*1440,0)</x:f>
        <x:v>4</x:v>
      </x:c>
      <x:c r="J479" s="13" t="str">
        <x:v>Разминка пальцев</x:v>
      </x:c>
      <x:c r="K479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479" s="13" t="str">
        <x:v>☐ Не начато</x:v>
      </x:c>
      <x:c r="M479" s="13" t="str">
        <x:v>Обязательно</x:v>
      </x:c>
      <x:c r="N479" s="13" t="str">
        <x:v>Очень легко</x:v>
      </x:c>
      <x:c r="O479" s="13" t="str"/>
      <x:c r="P479" s="13" t="str">
        <x:v>milestone_02_footwork_body_position/week_07_2026-10-19/04_THURSDAY.md</x:v>
      </x:c>
      <x:c r="Q479" s="138" t="str">
        <x:v>Markdown</x:v>
      </x:c>
      <x:c r="R479" s="20" t="str"/>
    </x:row>
    <x:row r="480" ht="36" customHeight="1">
      <x:c r="A480" s="19" t="str">
        <x:v>W07-20261022-0479</x:v>
      </x:c>
      <x:c r="B480" s="13" t="n">
        <x:v>7</x:v>
      </x:c>
      <x:c r="C480" s="13" t="str">
        <x:v>Этап 2 — Ноги и положение корпуса</x:v>
      </x:c>
      <x:c r="D480" s="138" t="str">
        <x:v>2026-10-22</x:v>
      </x:c>
      <x:c r="E480" s="13" t="str">
        <x:v>Четверг</x:v>
      </x:c>
      <x:c r="F480" s="13" t="str">
        <x:v>Тренировка B — пальцы/проект</x:v>
      </x:c>
      <x:c r="G480" s="44" t="n">
        <x:v>0.011805555555555555</x:v>
      </x:c>
      <x:c r="H480" s="44" t="n">
        <x:v>0.014583333333333334</x:v>
      </x:c>
      <x:c r="I480" s="32" t="n">
        <x:f>ROUND((H480-G480)*1440,0)</x:f>
        <x:v>4</x:v>
      </x:c>
      <x:c r="J480" s="13" t="str">
        <x:v>Разминочное лазание</x:v>
      </x:c>
      <x:c r="K480" s="13" t="str">
        <x:v>Пройди 2 очень лёгкие трассы уровня 1–2; двигайся медленно, спускайся по зацепам.</x:v>
      </x:c>
      <x:c r="L480" s="13" t="str">
        <x:v>☐ Не начато</x:v>
      </x:c>
      <x:c r="M480" s="13" t="str">
        <x:v>Обязательно</x:v>
      </x:c>
      <x:c r="N480" s="13" t="str">
        <x:v>RPE 2–3</x:v>
      </x:c>
      <x:c r="O480" s="13" t="str">
        <x:v>Финиш с обязательным болезненным mantle/press пропусти.</x:v>
      </x:c>
      <x:c r="P480" s="13" t="str">
        <x:v>milestone_02_footwork_body_position/week_07_2026-10-19/04_THURSDAY.md</x:v>
      </x:c>
      <x:c r="Q480" s="138" t="str">
        <x:v>Markdown</x:v>
      </x:c>
      <x:c r="R480" s="20" t="str"/>
    </x:row>
    <x:row r="481" ht="36" customHeight="1">
      <x:c r="A481" s="19" t="str">
        <x:v>W07-20261022-0480</x:v>
      </x:c>
      <x:c r="B481" s="13" t="n">
        <x:v>7</x:v>
      </x:c>
      <x:c r="C481" s="13" t="str">
        <x:v>Этап 2 — Ноги и положение корпуса</x:v>
      </x:c>
      <x:c r="D481" s="138" t="str">
        <x:v>2026-10-22</x:v>
      </x:c>
      <x:c r="E481" s="13" t="str">
        <x:v>Четверг</x:v>
      </x:c>
      <x:c r="F481" s="13" t="str">
        <x:v>Тренировка B — пальцы/проект</x:v>
      </x:c>
      <x:c r="G481" s="44" t="n">
        <x:v>0.014583333333333334</x:v>
      </x:c>
      <x:c r="H481" s="44" t="n">
        <x:v>0.017361111111111112</x:v>
      </x:c>
      <x:c r="I481" s="32" t="n">
        <x:f>ROUND((H481-G481)*1440,0)</x:f>
        <x:v>4</x:v>
      </x:c>
      <x:c r="J481" s="13" t="str">
        <x:v>Разминочное лазание</x:v>
      </x:c>
      <x:c r="K481" s="13" t="str">
        <x:v>Пройди 2 трассы уровня 2–3, затем сделай 2–3 движения на комфортной четвёрке. Между ними 45–60 секунд.</x:v>
      </x:c>
      <x:c r="L481" s="13" t="str">
        <x:v>☐ Не начато</x:v>
      </x:c>
      <x:c r="M481" s="13" t="str">
        <x:v>Обязательно</x:v>
      </x:c>
      <x:c r="N481" s="13" t="str">
        <x:v>RPE 3–4</x:v>
      </x:c>
      <x:c r="O481" s="13" t="str">
        <x:v>Разминка не должна утомить пальцы.</x:v>
      </x:c>
      <x:c r="P481" s="13" t="str">
        <x:v>milestone_02_footwork_body_position/week_07_2026-10-19/04_THURSDAY.md</x:v>
      </x:c>
      <x:c r="Q481" s="138" t="str">
        <x:v>Markdown</x:v>
      </x:c>
      <x:c r="R481" s="20" t="str"/>
    </x:row>
    <x:row r="482" ht="36" customHeight="1">
      <x:c r="A482" s="19" t="str">
        <x:v>W07-20261022-0481</x:v>
      </x:c>
      <x:c r="B482" s="13" t="n">
        <x:v>7</x:v>
      </x:c>
      <x:c r="C482" s="13" t="str">
        <x:v>Этап 2 — Ноги и положение корпуса</x:v>
      </x:c>
      <x:c r="D482" s="138" t="str">
        <x:v>2026-10-22</x:v>
      </x:c>
      <x:c r="E482" s="13" t="str">
        <x:v>Четверг</x:v>
      </x:c>
      <x:c r="F482" s="13" t="str">
        <x:v>Тренировка B — пальцы/проект</x:v>
      </x:c>
      <x:c r="G482" s="44" t="n">
        <x:v>0.017361111111111112</x:v>
      </x:c>
      <x:c r="H482" s="44" t="n">
        <x:v>0.019444444444444445</x:v>
      </x:c>
      <x:c r="I482" s="32" t="n">
        <x:f>ROUND((H482-G482)*1440,0)</x:f>
        <x:v>3</x:v>
      </x:c>
      <x:c r="J482" s="13" t="str">
        <x:v>Фингерборд — готовность</x:v>
      </x:c>
      <x:c r="K482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482" s="13" t="str">
        <x:v>☐ Не начато</x:v>
      </x:c>
      <x:c r="M482" s="13" t="str">
        <x:v>Обязательно</x:v>
      </x:c>
      <x:c r="N482" s="13" t="str">
        <x:v>Подготовка</x:v>
      </x:c>
      <x:c r="O482" s="13" t="str">
        <x:v>Плечо полностью спокойно; full crimp, карманы, одна рука и допвес запрещены.</x:v>
      </x:c>
      <x:c r="P482" s="13" t="str">
        <x:v>milestone_02_footwork_body_position/week_07_2026-10-19/04_THURSDAY.md</x:v>
      </x:c>
      <x:c r="Q482" s="138" t="str">
        <x:v>Markdown</x:v>
      </x:c>
      <x:c r="R482" s="20" t="str"/>
    </x:row>
    <x:row r="483" ht="36" customHeight="1">
      <x:c r="A483" s="19" t="str">
        <x:v>W07-20261022-0482</x:v>
      </x:c>
      <x:c r="B483" s="13" t="n">
        <x:v>7</x:v>
      </x:c>
      <x:c r="C483" s="13" t="str">
        <x:v>Этап 2 — Ноги и положение корпуса</x:v>
      </x:c>
      <x:c r="D483" s="138" t="str">
        <x:v>2026-10-22</x:v>
      </x:c>
      <x:c r="E483" s="13" t="str">
        <x:v>Четверг</x:v>
      </x:c>
      <x:c r="F483" s="13" t="str">
        <x:v>Тренировка B — пальцы/проект</x:v>
      </x:c>
      <x:c r="G483" s="44" t="n">
        <x:v>0.019444444444444445</x:v>
      </x:c>
      <x:c r="H483" s="44" t="n">
        <x:v>0.029861111111111113</x:v>
      </x:c>
      <x:c r="I483" s="32" t="n">
        <x:f>ROUND((H483-G483)*1440,0)</x:f>
        <x:v>15</x:v>
      </x:c>
      <x:c r="J483" s="13" t="str">
        <x:v>Фингерборд</x:v>
      </x:c>
      <x:c r="K483" s="13" t="str">
        <x:v>Выполни протокол: 5 × 7 сек, ноги помогают, RPE 6–7, отдых 2:00. Запусти таймер. Каждый вис прекращай с указанным запасом; форма кисти не меняется.</x:v>
      </x:c>
      <x:c r="L483" s="13" t="str">
        <x:v>☐ Не начато</x:v>
      </x:c>
      <x:c r="M483" s="13" t="str">
        <x:v>Обязательно</x:v>
      </x:c>
      <x:c r="N483" s="13" t="str">
        <x:v>5 × 7 сек, ноги помогают, RPE 6–7, отдых 2:00</x:v>
      </x:c>
      <x:c r="O483" s="13" t="str">
        <x:v>Острая боль, дрожь формы, падение RPE-контроля или боль плеча = закончить блок.</x:v>
      </x:c>
      <x:c r="P483" s="13" t="str">
        <x:v>milestone_02_footwork_body_position/week_07_2026-10-19/04_THURSDAY.md</x:v>
      </x:c>
      <x:c r="Q483" s="138" t="str">
        <x:v>Markdown</x:v>
      </x:c>
      <x:c r="R483" s="20" t="str"/>
    </x:row>
    <x:row r="484" ht="36" customHeight="1">
      <x:c r="A484" s="19" t="str">
        <x:v>W07-20261022-0483</x:v>
      </x:c>
      <x:c r="B484" s="13" t="n">
        <x:v>7</x:v>
      </x:c>
      <x:c r="C484" s="13" t="str">
        <x:v>Этап 2 — Ноги и положение корпуса</x:v>
      </x:c>
      <x:c r="D484" s="138" t="str">
        <x:v>2026-10-22</x:v>
      </x:c>
      <x:c r="E484" s="13" t="str">
        <x:v>Четверг</x:v>
      </x:c>
      <x:c r="F484" s="13" t="str">
        <x:v>Тренировка B — пальцы/проект</x:v>
      </x:c>
      <x:c r="G484" s="44" t="n">
        <x:v>0.029861111111111113</x:v>
      </x:c>
      <x:c r="H484" s="44" t="n">
        <x:v>0.03194444444444444</x:v>
      </x:c>
      <x:c r="I484" s="32" t="n">
        <x:f>ROUND((H484-G484)*1440,0)</x:f>
        <x:v>3</x:v>
      </x:c>
      <x:c r="J484" s="13" t="str">
        <x:v>Фингерборд — запись</x:v>
      </x:c>
      <x:c r="K484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484" s="13" t="str">
        <x:v>☐ Не начато</x:v>
      </x:c>
      <x:c r="M484" s="13" t="str">
        <x:v>Обязательно</x:v>
      </x:c>
      <x:c r="N484" s="13" t="str">
        <x:v>Без нагрузки</x:v>
      </x:c>
      <x:c r="O484" s="13" t="str"/>
      <x:c r="P484" s="13" t="str">
        <x:v>milestone_02_footwork_body_position/week_07_2026-10-19/04_THURSDAY.md</x:v>
      </x:c>
      <x:c r="Q484" s="138" t="str">
        <x:v>Markdown</x:v>
      </x:c>
      <x:c r="R484" s="20" t="str"/>
    </x:row>
    <x:row r="485" ht="36" customHeight="1">
      <x:c r="A485" s="19" t="str">
        <x:v>W07-20261022-0484</x:v>
      </x:c>
      <x:c r="B485" s="13" t="n">
        <x:v>7</x:v>
      </x:c>
      <x:c r="C485" s="13" t="str">
        <x:v>Этап 2 — Ноги и положение корпуса</x:v>
      </x:c>
      <x:c r="D485" s="138" t="str">
        <x:v>2026-10-22</x:v>
      </x:c>
      <x:c r="E485" s="13" t="str">
        <x:v>Четверг</x:v>
      </x:c>
      <x:c r="F485" s="13" t="str">
        <x:v>Тренировка B — пальцы/проект</x:v>
      </x:c>
      <x:c r="G485" s="44" t="n">
        <x:v>0.03194444444444444</x:v>
      </x:c>
      <x:c r="H485" s="44" t="n">
        <x:v>0.035416666666666666</x:v>
      </x:c>
      <x:c r="I485" s="32" t="n">
        <x:f>ROUND((H485-G485)*1440,0)</x:f>
        <x:v>5</x:v>
      </x:c>
      <x:c r="J485" s="13" t="str">
        <x:v>Отдых</x:v>
      </x:c>
      <x:c r="K485" s="13" t="str">
        <x:v>5 минут полного отдыха: ходьба, вода, без лазания и без тестового виса.</x:v>
      </x:c>
      <x:c r="L485" s="13" t="str">
        <x:v>☐ Не начато</x:v>
      </x:c>
      <x:c r="M485" s="13" t="str">
        <x:v>Обязательно</x:v>
      </x:c>
      <x:c r="N485" s="13" t="str">
        <x:v>Восстановление</x:v>
      </x:c>
      <x:c r="O485" s="13" t="str"/>
      <x:c r="P485" s="13" t="str">
        <x:v>milestone_02_footwork_body_position/week_07_2026-10-19/04_THURSDAY.md</x:v>
      </x:c>
      <x:c r="Q485" s="138" t="str">
        <x:v>Markdown</x:v>
      </x:c>
      <x:c r="R485" s="20" t="str"/>
    </x:row>
    <x:row r="486" ht="36" customHeight="1">
      <x:c r="A486" s="19" t="str">
        <x:v>W07-20261022-0485</x:v>
      </x:c>
      <x:c r="B486" s="13" t="n">
        <x:v>7</x:v>
      </x:c>
      <x:c r="C486" s="13" t="str">
        <x:v>Этап 2 — Ноги и положение корпуса</x:v>
      </x:c>
      <x:c r="D486" s="138" t="str">
        <x:v>2026-10-22</x:v>
      </x:c>
      <x:c r="E486" s="13" t="str">
        <x:v>Четверг</x:v>
      </x:c>
      <x:c r="F486" s="13" t="str">
        <x:v>Тренировка B — пальцы/проект</x:v>
      </x:c>
      <x:c r="G486" s="44" t="n">
        <x:v>0.035416666666666666</x:v>
      </x:c>
      <x:c r="H486" s="44" t="n">
        <x:v>0.03819444444444445</x:v>
      </x:c>
      <x:c r="I486" s="32" t="n">
        <x:f>ROUND((H486-G486)*1440,0)</x:f>
        <x:v>4</x:v>
      </x:c>
      <x:c r="J486" s="13" t="str">
        <x:v>Выбор проекта</x:v>
      </x:c>
      <x:c r="K486" s="13" t="str">
        <x:v>Выбери трассу по критериям недели: Пятёрка с высоким шагом; плюс максимум 2 ознакомительные попытки на «дружелюбной» шестёрке с крупными зацепами.</x:v>
      </x:c>
      <x:c r="L486" s="13" t="str">
        <x:v>☐ Не начато</x:v>
      </x:c>
      <x:c r="M486" s="13" t="str">
        <x:v>Обязательно</x:v>
      </x:c>
      <x:c r="N486" s="13" t="str">
        <x:v>Без нагрузки</x:v>
      </x:c>
      <x:c r="O486" s="13" t="str">
        <x:v>Правое колено: уменьшить высоту шага или пропустить движение при боли/скручивании. Плечо: не дожимать rock-over рукой.</x:v>
      </x:c>
      <x:c r="P486" s="13" t="str">
        <x:v>milestone_02_footwork_body_position/week_07_2026-10-19/04_THURSDAY.md</x:v>
      </x:c>
      <x:c r="Q486" s="138" t="str">
        <x:v>Markdown</x:v>
      </x:c>
      <x:c r="R486" s="20" t="str"/>
    </x:row>
    <x:row r="487" ht="36" customHeight="1">
      <x:c r="A487" s="19" t="str">
        <x:v>W07-20261022-0486</x:v>
      </x:c>
      <x:c r="B487" s="13" t="n">
        <x:v>7</x:v>
      </x:c>
      <x:c r="C487" s="13" t="str">
        <x:v>Этап 2 — Ноги и положение корпуса</x:v>
      </x:c>
      <x:c r="D487" s="138" t="str">
        <x:v>2026-10-22</x:v>
      </x:c>
      <x:c r="E487" s="13" t="str">
        <x:v>Четверг</x:v>
      </x:c>
      <x:c r="F487" s="13" t="str">
        <x:v>Тренировка B — пальцы/проект</x:v>
      </x:c>
      <x:c r="G487" s="44" t="n">
        <x:v>0.03819444444444445</x:v>
      </x:c>
      <x:c r="H487" s="44" t="n">
        <x:v>0.041666666666666664</x:v>
      </x:c>
      <x:c r="I487" s="32" t="n">
        <x:f>ROUND((H487-G487)*1440,0)</x:f>
        <x:v>5</x:v>
      </x:c>
      <x:c r="J487" s="13" t="str">
        <x:v>Проект — попытка 1</x:v>
      </x:c>
      <x:c r="K487" s="13" t="str">
        <x:v>Сделай первую полную диагностическую попытку. После падения не повторяй сразу: назови точную причину.</x:v>
      </x:c>
      <x:c r="L487" s="13" t="str">
        <x:v>☐ Не начато</x:v>
      </x:c>
      <x:c r="M487" s="13" t="str">
        <x:v>Обязательно</x:v>
      </x:c>
      <x:c r="N487" s="13" t="str">
        <x:v>RPE 7–8</x:v>
      </x:c>
      <x:c r="O487" s="13" t="str">
        <x:v>Прекратить движение при боли, а не после падения.</x:v>
      </x:c>
      <x:c r="P487" s="13" t="str">
        <x:v>milestone_02_footwork_body_position/week_07_2026-10-19/04_THURSDAY.md</x:v>
      </x:c>
      <x:c r="Q487" s="138" t="str">
        <x:v>Markdown</x:v>
      </x:c>
      <x:c r="R487" s="20" t="str"/>
    </x:row>
    <x:row r="488" ht="36" customHeight="1">
      <x:c r="A488" s="19" t="str">
        <x:v>W07-20261022-0487</x:v>
      </x:c>
      <x:c r="B488" s="13" t="n">
        <x:v>7</x:v>
      </x:c>
      <x:c r="C488" s="13" t="str">
        <x:v>Этап 2 — Ноги и положение корпуса</x:v>
      </x:c>
      <x:c r="D488" s="138" t="str">
        <x:v>2026-10-22</x:v>
      </x:c>
      <x:c r="E488" s="13" t="str">
        <x:v>Четверг</x:v>
      </x:c>
      <x:c r="F488" s="13" t="str">
        <x:v>Тренировка B — пальцы/проект</x:v>
      </x:c>
      <x:c r="G488" s="44" t="n">
        <x:v>0.041666666666666664</x:v>
      </x:c>
      <x:c r="H488" s="44" t="n">
        <x:v>0.04513888888888889</x:v>
      </x:c>
      <x:c r="I488" s="32" t="n">
        <x:f>ROUND((H488-G488)*1440,0)</x:f>
        <x:v>5</x:v>
      </x:c>
      <x:c r="J488" s="13" t="str">
        <x:v>Отдых / гипотеза</x:v>
      </x:c>
      <x:c r="K488" s="13" t="str">
        <x:v>Отдых 4–5 минут. Запиши одну гипотезу: стопа, положение таза, хват или темп.</x:v>
      </x:c>
      <x:c r="L488" s="13" t="str">
        <x:v>☐ Не начато</x:v>
      </x:c>
      <x:c r="M488" s="13" t="str">
        <x:v>Обязательно</x:v>
      </x:c>
      <x:c r="N488" s="13" t="str">
        <x:v>Восстановление</x:v>
      </x:c>
      <x:c r="O488" s="13" t="str"/>
      <x:c r="P488" s="13" t="str">
        <x:v>milestone_02_footwork_body_position/week_07_2026-10-19/04_THURSDAY.md</x:v>
      </x:c>
      <x:c r="Q488" s="138" t="str">
        <x:v>Markdown</x:v>
      </x:c>
      <x:c r="R488" s="20" t="str"/>
    </x:row>
    <x:row r="489" ht="36" customHeight="1">
      <x:c r="A489" s="19" t="str">
        <x:v>W07-20261022-0488</x:v>
      </x:c>
      <x:c r="B489" s="13" t="n">
        <x:v>7</x:v>
      </x:c>
      <x:c r="C489" s="13" t="str">
        <x:v>Этап 2 — Ноги и положение корпуса</x:v>
      </x:c>
      <x:c r="D489" s="138" t="str">
        <x:v>2026-10-22</x:v>
      </x:c>
      <x:c r="E489" s="13" t="str">
        <x:v>Четверг</x:v>
      </x:c>
      <x:c r="F489" s="13" t="str">
        <x:v>Тренировка B — пальцы/проект</x:v>
      </x:c>
      <x:c r="G489" s="44" t="n">
        <x:v>0.04513888888888889</x:v>
      </x:c>
      <x:c r="H489" s="44" t="n">
        <x:v>0.049305555555555554</x:v>
      </x:c>
      <x:c r="I489" s="32" t="n">
        <x:f>ROUND((H489-G489)*1440,0)</x:f>
        <x:v>6</x:v>
      </x:c>
      <x:c r="J489" s="13" t="str">
        <x:v>Проект — попытки 2–3</x:v>
      </x:c>
      <x:c r="K489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489" s="13" t="str">
        <x:v>☐ Не начато</x:v>
      </x:c>
      <x:c r="M489" s="13" t="str">
        <x:v>Обязательно</x:v>
      </x:c>
      <x:c r="N489" s="13" t="str">
        <x:v>RPE 7–8, без отказа</x:v>
      </x:c>
      <x:c r="O489" s="13" t="str">
        <x:v>Не смотреть beta заранее: сначала собственная гипотеза.</x:v>
      </x:c>
      <x:c r="P489" s="13" t="str">
        <x:v>milestone_02_footwork_body_position/week_07_2026-10-19/04_THURSDAY.md</x:v>
      </x:c>
      <x:c r="Q489" s="138" t="str">
        <x:v>Markdown</x:v>
      </x:c>
      <x:c r="R489" s="20" t="str"/>
    </x:row>
    <x:row r="490" ht="36" customHeight="1">
      <x:c r="A490" s="19" t="str">
        <x:v>W07-20261022-0489</x:v>
      </x:c>
      <x:c r="B490" s="13" t="n">
        <x:v>7</x:v>
      </x:c>
      <x:c r="C490" s="13" t="str">
        <x:v>Этап 2 — Ноги и положение корпуса</x:v>
      </x:c>
      <x:c r="D490" s="138" t="str">
        <x:v>2026-10-22</x:v>
      </x:c>
      <x:c r="E490" s="13" t="str">
        <x:v>Четверг</x:v>
      </x:c>
      <x:c r="F490" s="13" t="str">
        <x:v>Тренировка B — пальцы/проект</x:v>
      </x:c>
      <x:c r="G490" s="44" t="n">
        <x:v>0.049305555555555554</x:v>
      </x:c>
      <x:c r="H490" s="44" t="n">
        <x:v>0.05277777777777778</x:v>
      </x:c>
      <x:c r="I490" s="32" t="n">
        <x:f>ROUND((H490-G490)*1440,0)</x:f>
        <x:v>5</x:v>
      </x:c>
      <x:c r="J490" s="13" t="str">
        <x:v>Проект — заключительная попытка</x:v>
      </x:c>
      <x:c r="K490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490" s="13" t="str">
        <x:v>☐ Не начато</x:v>
      </x:c>
      <x:c r="M490" s="13" t="str">
        <x:v>Обязательно</x:v>
      </x:c>
      <x:c r="N490" s="13" t="str">
        <x:v>RPE 8, с запасом</x:v>
      </x:c>
      <x:c r="O490" s="13" t="str">
        <x:v>Правое колено: уменьшить высоту шага или пропустить движение при боли/скручивании. Плечо: не дожимать rock-over рукой.</x:v>
      </x:c>
      <x:c r="P490" s="13" t="str">
        <x:v>milestone_02_footwork_body_position/week_07_2026-10-19/04_THURSDAY.md</x:v>
      </x:c>
      <x:c r="Q490" s="138" t="str">
        <x:v>Markdown</x:v>
      </x:c>
      <x:c r="R490" s="20" t="str"/>
    </x:row>
    <x:row r="491" ht="36" customHeight="1">
      <x:c r="A491" s="19" t="str">
        <x:v>W07-20261022-0490</x:v>
      </x:c>
      <x:c r="B491" s="13" t="n">
        <x:v>7</x:v>
      </x:c>
      <x:c r="C491" s="13" t="str">
        <x:v>Этап 2 — Ноги и положение корпуса</x:v>
      </x:c>
      <x:c r="D491" s="138" t="str">
        <x:v>2026-10-22</x:v>
      </x:c>
      <x:c r="E491" s="13" t="str">
        <x:v>Четверг</x:v>
      </x:c>
      <x:c r="F491" s="13" t="str">
        <x:v>Тренировка B — пальцы/проект</x:v>
      </x:c>
      <x:c r="G491" s="44" t="n">
        <x:v>0.05277777777777778</x:v>
      </x:c>
      <x:c r="H491" s="44" t="n">
        <x:v>0.05763888888888889</x:v>
      </x:c>
      <x:c r="I491" s="32" t="n">
        <x:f>ROUND((H491-G491)*1440,0)</x:f>
        <x:v>7</x:v>
      </x:c>
      <x:c r="J491" s="13" t="str">
        <x:v>Вторичная трасса</x:v>
      </x:c>
      <x:c r="K491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491" s="13" t="str">
        <x:v>☐ Не начато</x:v>
      </x:c>
      <x:c r="M491" s="13" t="str">
        <x:v>Обязательно</x:v>
      </x:c>
      <x:c r="N491" s="13" t="str">
        <x:v>RPE 5–7</x:v>
      </x:c>
      <x:c r="O491" s="13" t="str">
        <x:v>Пропустить, если хват уже просел.</x:v>
      </x:c>
      <x:c r="P491" s="13" t="str">
        <x:v>milestone_02_footwork_body_position/week_07_2026-10-19/04_THURSDAY.md</x:v>
      </x:c>
      <x:c r="Q491" s="138" t="str">
        <x:v>Markdown</x:v>
      </x:c>
      <x:c r="R491" s="20" t="str"/>
    </x:row>
    <x:row r="492" ht="36" customHeight="1">
      <x:c r="A492" s="19" t="str">
        <x:v>W07-20261022-0491</x:v>
      </x:c>
      <x:c r="B492" s="13" t="n">
        <x:v>7</x:v>
      </x:c>
      <x:c r="C492" s="13" t="str">
        <x:v>Этап 2 — Ноги и положение корпуса</x:v>
      </x:c>
      <x:c r="D492" s="138" t="str">
        <x:v>2026-10-22</x:v>
      </x:c>
      <x:c r="E492" s="13" t="str">
        <x:v>Четверг</x:v>
      </x:c>
      <x:c r="F492" s="13" t="str">
        <x:v>Тренировка B — пальцы/проект</x:v>
      </x:c>
      <x:c r="G492" s="44" t="n">
        <x:v>0.05763888888888889</x:v>
      </x:c>
      <x:c r="H492" s="44" t="n">
        <x:v>0.06041666666666667</x:v>
      </x:c>
      <x:c r="I492" s="32" t="n">
        <x:f>ROUND((H492-G492)*1440,0)</x:f>
        <x:v>4</x:v>
      </x:c>
      <x:c r="J492" s="13" t="str">
        <x:v>Завершение</x:v>
      </x:c>
      <x:c r="K492" s="13" t="str">
        <x:v>Очень лёгкий спуск/ходьба, вода, никаких финишных висов.</x:v>
      </x:c>
      <x:c r="L492" s="13" t="str">
        <x:v>☐ Не начато</x:v>
      </x:c>
      <x:c r="M492" s="13" t="str">
        <x:v>Обязательно</x:v>
      </x:c>
      <x:c r="N492" s="13" t="str">
        <x:v>RPE 1–2</x:v>
      </x:c>
      <x:c r="O492" s="13" t="str"/>
      <x:c r="P492" s="13" t="str">
        <x:v>milestone_02_footwork_body_position/week_07_2026-10-19/04_THURSDAY.md</x:v>
      </x:c>
      <x:c r="Q492" s="138" t="str">
        <x:v>Markdown</x:v>
      </x:c>
      <x:c r="R492" s="20" t="str"/>
    </x:row>
    <x:row r="493" ht="36" customHeight="1">
      <x:c r="A493" s="19" t="str">
        <x:v>W07-20261022-0492</x:v>
      </x:c>
      <x:c r="B493" s="13" t="n">
        <x:v>7</x:v>
      </x:c>
      <x:c r="C493" s="13" t="str">
        <x:v>Этап 2 — Ноги и положение корпуса</x:v>
      </x:c>
      <x:c r="D493" s="138" t="str">
        <x:v>2026-10-22</x:v>
      </x:c>
      <x:c r="E493" s="13" t="str">
        <x:v>Четверг</x:v>
      </x:c>
      <x:c r="F493" s="13" t="str">
        <x:v>Тренировка B — пальцы/проект</x:v>
      </x:c>
      <x:c r="G493" s="44" t="n">
        <x:v>0.06041666666666667</x:v>
      </x:c>
      <x:c r="H493" s="44" t="n">
        <x:v>0.0625</x:v>
      </x:c>
      <x:c r="I493" s="32" t="n">
        <x:f>ROUND((H493-G493)*1440,0)</x:f>
        <x:v>3</x:v>
      </x:c>
      <x:c r="J493" s="13" t="str">
        <x:v>Журнал</x:v>
      </x:c>
      <x:c r="K493" s="13" t="str">
        <x:v>Запиши попытки, лучшую связку, одну правку и benchmark: На видео проверить: таз действительно оказался над стопой до подъёма?</x:v>
      </x:c>
      <x:c r="L493" s="13" t="str">
        <x:v>☐ Не начато</x:v>
      </x:c>
      <x:c r="M493" s="13" t="str">
        <x:v>Обязательно</x:v>
      </x:c>
      <x:c r="N493" s="13" t="str">
        <x:v>Без нагрузки</x:v>
      </x:c>
      <x:c r="O493" s="13" t="str"/>
      <x:c r="P493" s="13" t="str">
        <x:v>milestone_02_footwork_body_position/week_07_2026-10-19/04_THURSDAY.md</x:v>
      </x:c>
      <x:c r="Q493" s="138" t="str">
        <x:v>Markdown</x:v>
      </x:c>
      <x:c r="R493" s="20" t="str"/>
    </x:row>
    <x:row r="494" ht="36" customHeight="1">
      <x:c r="A494" s="19" t="str">
        <x:v>W07-20261023-0493</x:v>
      </x:c>
      <x:c r="B494" s="13" t="n">
        <x:v>7</x:v>
      </x:c>
      <x:c r="C494" s="13" t="str">
        <x:v>Этап 2 — Ноги и положение корпуса</x:v>
      </x:c>
      <x:c r="D494" s="138" t="str">
        <x:v>2026-10-23</x:v>
      </x:c>
      <x:c r="E494" s="13" t="str">
        <x:v>Пятница</x:v>
      </x:c>
      <x:c r="F494" s="13" t="str">
        <x:v>Дом / теория</x:v>
      </x:c>
      <x:c r="G494" s="44" t="n">
        <x:v>0</x:v>
      </x:c>
      <x:c r="H494" s="44" t="n">
        <x:v>0.0020833333333333333</x:v>
      </x:c>
      <x:c r="I494" s="32" t="n">
        <x:f>ROUND((H494-G494)*1440,0)</x:f>
        <x:v>3</x:v>
      </x:c>
      <x:c r="J494" s="13" t="str">
        <x:v>Самопроверка</x:v>
      </x:c>
      <x:c r="K494" s="13" t="str">
        <x:v>Оцени утреннюю реакцию после четверга: пальцы/плечо/колено 0–10. Запиши, восстановилась ли обычная сила кисти.</x:v>
      </x:c>
      <x:c r="L494" s="13" t="str">
        <x:v>☐ Не начато</x:v>
      </x:c>
      <x:c r="M494" s="13" t="str">
        <x:v>Обязательно</x:v>
      </x:c>
      <x:c r="N494" s="13" t="str">
        <x:v>Без нагрузки</x:v>
      </x:c>
      <x:c r="O494" s="13" t="str">
        <x:v>Острая локальная боль пальца или усилившаяся боль плеча = воскресенье только восстановительное.</x:v>
      </x:c>
      <x:c r="P494" s="13" t="str">
        <x:v>milestone_02_footwork_body_position/week_07_2026-10-19/05_FRIDAY.md</x:v>
      </x:c>
      <x:c r="Q494" s="138" t="str">
        <x:v>Markdown</x:v>
      </x:c>
      <x:c r="R494" s="20" t="str"/>
    </x:row>
    <x:row r="495" ht="36" customHeight="1">
      <x:c r="A495" s="19" t="str">
        <x:v>W07-20261023-0494</x:v>
      </x:c>
      <x:c r="B495" s="13" t="n">
        <x:v>7</x:v>
      </x:c>
      <x:c r="C495" s="13" t="str">
        <x:v>Этап 2 — Ноги и положение корпуса</x:v>
      </x:c>
      <x:c r="D495" s="138" t="str">
        <x:v>2026-10-23</x:v>
      </x:c>
      <x:c r="E495" s="13" t="str">
        <x:v>Пятница</x:v>
      </x:c>
      <x:c r="F495" s="13" t="str">
        <x:v>Дом / теория</x:v>
      </x:c>
      <x:c r="G495" s="44" t="n">
        <x:v>0.0020833333333333333</x:v>
      </x:c>
      <x:c r="H495" s="44" t="n">
        <x:v>0.007638888888888889</x:v>
      </x:c>
      <x:c r="I495" s="32" t="n">
        <x:f>ROUND((H495-G495)*1440,0)</x:f>
        <x:v>8</x:v>
      </x:c>
      <x:c r="J495" s="13" t="str">
        <x:v>Теория</x:v>
      </x:c>
      <x:c r="K495" s="13" t="str">
        <x:v>Пересмотри ключевой фрагмент ресурса недели: [R08: BMC — How to rockover when climbing](https://www.thebmc.co.uk/en/how-to-rockover-when-climbing-video). Задача: Высокая нога, перенос таза над стопой и вставание ногой вместо подтягивания.</x:v>
      </x:c>
      <x:c r="L495" s="13" t="str">
        <x:v>☐ Не начато</x:v>
      </x:c>
      <x:c r="M495" s="13" t="str">
        <x:v>Обязательно</x:v>
      </x:c>
      <x:c r="N495" s="13" t="str">
        <x:v>Без нагрузки</x:v>
      </x:c>
      <x:c r="O495" s="13" t="str"/>
      <x:c r="P495" s="13" t="str">
        <x:v>milestone_02_footwork_body_position/week_07_2026-10-19/05_FRIDAY.md</x:v>
      </x:c>
      <x:c r="Q495" s="138" t="str">
        <x:v>Markdown</x:v>
      </x:c>
      <x:c r="R495" s="20" t="str"/>
    </x:row>
    <x:row r="496" ht="36" customHeight="1">
      <x:c r="A496" s="19" t="str">
        <x:v>W07-20261023-0495</x:v>
      </x:c>
      <x:c r="B496" s="13" t="n">
        <x:v>7</x:v>
      </x:c>
      <x:c r="C496" s="13" t="str">
        <x:v>Этап 2 — Ноги и положение корпуса</x:v>
      </x:c>
      <x:c r="D496" s="138" t="str">
        <x:v>2026-10-23</x:v>
      </x:c>
      <x:c r="E496" s="13" t="str">
        <x:v>Пятница</x:v>
      </x:c>
      <x:c r="F496" s="13" t="str">
        <x:v>Дом / теория</x:v>
      </x:c>
      <x:c r="G496" s="44" t="n">
        <x:v>0.007638888888888889</x:v>
      </x:c>
      <x:c r="H496" s="44" t="n">
        <x:v>0.011805555555555555</x:v>
      </x:c>
      <x:c r="I496" s="32" t="n">
        <x:f>ROUND((H496-G496)*1440,0)</x:f>
        <x:v>6</x:v>
      </x:c>
      <x:c r="J496" s="13" t="str">
        <x:v>Ментальная репетиция</x:v>
      </x:c>
      <x:c r="K496" s="13" t="str">
        <x:v>Закрой глаза и 3 раза мысленно пройди одну рабочую трассу: руки → ноги → положение таза → дыхание. Визуализируй cue «Колено и таз идут над стопой до того, как ты пытаешься выпрямиться.».</x:v>
      </x:c>
      <x:c r="L496" s="13" t="str">
        <x:v>☐ Не начато</x:v>
      </x:c>
      <x:c r="M496" s="13" t="str">
        <x:v>Обязательно</x:v>
      </x:c>
      <x:c r="N496" s="13" t="str">
        <x:v>Без нагрузки</x:v>
      </x:c>
      <x:c r="O496" s="13" t="str"/>
      <x:c r="P496" s="13" t="str">
        <x:v>milestone_02_footwork_body_position/week_07_2026-10-19/05_FRIDAY.md</x:v>
      </x:c>
      <x:c r="Q496" s="138" t="str">
        <x:v>Markdown</x:v>
      </x:c>
      <x:c r="R496" s="20" t="str"/>
    </x:row>
    <x:row r="497" ht="36" customHeight="1">
      <x:c r="A497" s="19" t="str">
        <x:v>W07-20261023-0496</x:v>
      </x:c>
      <x:c r="B497" s="13" t="n">
        <x:v>7</x:v>
      </x:c>
      <x:c r="C497" s="13" t="str">
        <x:v>Этап 2 — Ноги и положение корпуса</x:v>
      </x:c>
      <x:c r="D497" s="138" t="str">
        <x:v>2026-10-23</x:v>
      </x:c>
      <x:c r="E497" s="13" t="str">
        <x:v>Пятница</x:v>
      </x:c>
      <x:c r="F497" s="13" t="str">
        <x:v>Дом / теория</x:v>
      </x:c>
      <x:c r="G497" s="44" t="n">
        <x:v>0.011805555555555555</x:v>
      </x:c>
      <x:c r="H497" s="44" t="n">
        <x:v>0.02013888888888889</x:v>
      </x:c>
      <x:c r="I497" s="32" t="n">
        <x:f>ROUND((H497-G497)*1440,0)</x:f>
        <x:v>12</x:v>
      </x:c>
      <x:c r="J497" s="13" t="str">
        <x:v>Домашняя мобильность</x:v>
      </x:c>
      <x:c r="K497" s="13" t="str">
        <x:v>Выполни H3 «Мобильность таза и контроль корпуса» — 12 минут.</x:v>
      </x:c>
      <x:c r="L497" s="13" t="str">
        <x:v>☐ Не начато</x:v>
      </x:c>
      <x:c r="M497" s="13" t="str">
        <x:v>Обязательно</x:v>
      </x:c>
      <x:c r="N497" s="13" t="str">
        <x:v>RPE 2–3</x:v>
      </x:c>
      <x:c r="O497" s="13" t="str">
        <x:v>Никаких скручиваний через боль. Плечом не отталкивайся от стены; касание только для равновесия.</x:v>
      </x:c>
      <x:c r="P497" s="13" t="str">
        <x:v>milestone_02_footwork_body_position/week_07_2026-10-19/05_FRIDAY.md</x:v>
      </x:c>
      <x:c r="Q497" s="138" t="str">
        <x:v>Markdown</x:v>
      </x:c>
      <x:c r="R497" s="20" t="str"/>
    </x:row>
    <x:row r="498" ht="36" customHeight="1">
      <x:c r="A498" s="19" t="str">
        <x:v>W07-20261023-0497</x:v>
      </x:c>
      <x:c r="B498" s="13" t="n">
        <x:v>7</x:v>
      </x:c>
      <x:c r="C498" s="13" t="str">
        <x:v>Этап 2 — Ноги и положение корпуса</x:v>
      </x:c>
      <x:c r="D498" s="138" t="str">
        <x:v>2026-10-23</x:v>
      </x:c>
      <x:c r="E498" s="13" t="str">
        <x:v>Пятница</x:v>
      </x:c>
      <x:c r="F498" s="13" t="str">
        <x:v>Дом / теория</x:v>
      </x:c>
      <x:c r="G498" s="44" t="n">
        <x:v>0.02013888888888889</x:v>
      </x:c>
      <x:c r="H498" s="44" t="n">
        <x:v>0.034027777777777775</x:v>
      </x:c>
      <x:c r="I498" s="32" t="n">
        <x:f>ROUND((H498-G498)*1440,0)</x:f>
        <x:v>20</x:v>
      </x:c>
      <x:c r="J498" s="13" t="str">
        <x:v>Физиотерапия</x:v>
      </x:c>
      <x:c r="K498" s="13" t="str">
        <x:v>Выполни свой назначенный комплекс, если пятница входит в расписание физиотерапевта.</x:v>
      </x:c>
      <x:c r="L498" s="13" t="str">
        <x:v>☐ Не начато</x:v>
      </x:c>
      <x:c r="M498" s="13" t="str">
        <x:v>По назначению</x:v>
      </x:c>
      <x:c r="N498" s="13" t="str">
        <x:v>По назначению</x:v>
      </x:c>
      <x:c r="O498" s="13" t="str">
        <x:v>Не добавляй упражнения из интернета поверх назначений.</x:v>
      </x:c>
      <x:c r="P498" s="13" t="str">
        <x:v>milestone_02_footwork_body_position/week_07_2026-10-19/05_FRIDAY.md</x:v>
      </x:c>
      <x:c r="Q498" s="138" t="str">
        <x:v>Markdown</x:v>
      </x:c>
      <x:c r="R498" s="20" t="str"/>
    </x:row>
    <x:row r="499" ht="36" customHeight="1">
      <x:c r="A499" s="19" t="str">
        <x:v>W07-20261023-0498</x:v>
      </x:c>
      <x:c r="B499" s="13" t="n">
        <x:v>7</x:v>
      </x:c>
      <x:c r="C499" s="13" t="str">
        <x:v>Этап 2 — Ноги и положение корпуса</x:v>
      </x:c>
      <x:c r="D499" s="138" t="str">
        <x:v>2026-10-23</x:v>
      </x:c>
      <x:c r="E499" s="13" t="str">
        <x:v>Пятница</x:v>
      </x:c>
      <x:c r="F499" s="13" t="str">
        <x:v>Дом / теория</x:v>
      </x:c>
      <x:c r="G499" s="44" t="n">
        <x:v>0.034027777777777775</x:v>
      </x:c>
      <x:c r="H499" s="44" t="n">
        <x:v>0.03680555555555556</x:v>
      </x:c>
      <x:c r="I499" s="32" t="n">
        <x:f>ROUND((H499-G499)*1440,0)</x:f>
        <x:v>4</x:v>
      </x:c>
      <x:c r="J499" s="13" t="str">
        <x:v>Журнал</x:v>
      </x:c>
      <x:c r="K499" s="13" t="str">
        <x:v>Запиши одну вещь, которая сработала на этой неделе, и одну, которую повторишь в воскресенье на лёгкой трассе.</x:v>
      </x:c>
      <x:c r="L499" s="13" t="str">
        <x:v>☐ Не начато</x:v>
      </x:c>
      <x:c r="M499" s="13" t="str">
        <x:v>Обязательно</x:v>
      </x:c>
      <x:c r="N499" s="13" t="str">
        <x:v>Без нагрузки</x:v>
      </x:c>
      <x:c r="O499" s="13" t="str"/>
      <x:c r="P499" s="13" t="str">
        <x:v>milestone_02_footwork_body_position/week_07_2026-10-19/05_FRIDAY.md</x:v>
      </x:c>
      <x:c r="Q499" s="138" t="str">
        <x:v>Markdown</x:v>
      </x:c>
      <x:c r="R499" s="20" t="str"/>
    </x:row>
    <x:row r="500" ht="36" customHeight="1">
      <x:c r="A500" s="19" t="str">
        <x:v>W07-20261023-0499</x:v>
      </x:c>
      <x:c r="B500" s="13" t="n">
        <x:v>7</x:v>
      </x:c>
      <x:c r="C500" s="13" t="str">
        <x:v>Этап 2 — Ноги и положение корпуса</x:v>
      </x:c>
      <x:c r="D500" s="138" t="str">
        <x:v>2026-10-23</x:v>
      </x:c>
      <x:c r="E500" s="13" t="str">
        <x:v>Пятница</x:v>
      </x:c>
      <x:c r="F500" s="13" t="str">
        <x:v>Дом / теория</x:v>
      </x:c>
      <x:c r="G500" s="44" t="n">
        <x:v>0.03680555555555556</x:v>
      </x:c>
      <x:c r="H500" s="44" t="n">
        <x:v>0.03888888888888889</x:v>
      </x:c>
      <x:c r="I500" s="32" t="n">
        <x:f>ROUND((H500-G500)*1440,0)</x:f>
        <x:v>3</x:v>
      </x:c>
      <x:c r="J500" s="13" t="str">
        <x:v>Запрет лишней нагрузки</x:v>
      </x:c>
      <x:c r="K500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500" s="13" t="str">
        <x:v>☐ Не начато</x:v>
      </x:c>
      <x:c r="M500" s="13" t="str">
        <x:v>Обязательно</x:v>
      </x:c>
      <x:c r="N500" s="13" t="str">
        <x:v>Восстановление</x:v>
      </x:c>
      <x:c r="O500" s="13" t="str">
        <x:v>Общая пальцевая нагрузка уже получена в четверг.</x:v>
      </x:c>
      <x:c r="P500" s="13" t="str">
        <x:v>milestone_02_footwork_body_position/week_07_2026-10-19/05_FRIDAY.md</x:v>
      </x:c>
      <x:c r="Q500" s="138" t="str">
        <x:v>Markdown</x:v>
      </x:c>
      <x:c r="R500" s="20" t="str"/>
    </x:row>
    <x:row r="501" ht="36" customHeight="1">
      <x:c r="A501" s="19" t="str">
        <x:v>W07-20261024-0500</x:v>
      </x:c>
      <x:c r="B501" s="13" t="n">
        <x:v>7</x:v>
      </x:c>
      <x:c r="C501" s="13" t="str">
        <x:v>Этап 2 — Ноги и положение корпуса</x:v>
      </x:c>
      <x:c r="D501" s="138" t="str">
        <x:v>2026-10-24</x:v>
      </x:c>
      <x:c r="E501" s="13" t="str">
        <x:v>Суббота</x:v>
      </x:c>
      <x:c r="F501" s="13" t="str">
        <x:v>Отдых / подготовка</x:v>
      </x:c>
      <x:c r="G501" s="44" t="n">
        <x:v>0</x:v>
      </x:c>
      <x:c r="H501" s="44" t="n">
        <x:v>0.003472222222222222</x:v>
      </x:c>
      <x:c r="I501" s="32" t="n">
        <x:f>ROUND((H501-G501)*1440,0)</x:f>
        <x:v>5</x:v>
      </x:c>
      <x:c r="J501" s="13" t="str">
        <x:v>Самопроверка</x:v>
      </x:c>
      <x:c r="K501" s="13" t="str">
        <x:v>Проверь кожу пальцев, ногти, плечо и колено. Никаких тестовых висов.</x:v>
      </x:c>
      <x:c r="L501" s="13" t="str">
        <x:v>☐ Не начато</x:v>
      </x:c>
      <x:c r="M501" s="13" t="str">
        <x:v>Обязательно</x:v>
      </x:c>
      <x:c r="N501" s="13" t="str">
        <x:v>Восстановление</x:v>
      </x:c>
      <x:c r="O501" s="13" t="str"/>
      <x:c r="P501" s="13" t="str">
        <x:v>milestone_02_footwork_body_position/week_07_2026-10-19/06_SATURDAY.md</x:v>
      </x:c>
      <x:c r="Q501" s="138" t="str">
        <x:v>Markdown</x:v>
      </x:c>
      <x:c r="R501" s="20" t="str"/>
    </x:row>
    <x:row r="502" ht="36" customHeight="1">
      <x:c r="A502" s="19" t="str">
        <x:v>W07-20261024-0501</x:v>
      </x:c>
      <x:c r="B502" s="13" t="n">
        <x:v>7</x:v>
      </x:c>
      <x:c r="C502" s="13" t="str">
        <x:v>Этап 2 — Ноги и положение корпуса</x:v>
      </x:c>
      <x:c r="D502" s="138" t="str">
        <x:v>2026-10-24</x:v>
      </x:c>
      <x:c r="E502" s="13" t="str">
        <x:v>Суббота</x:v>
      </x:c>
      <x:c r="F502" s="13" t="str">
        <x:v>Отдых / подготовка</x:v>
      </x:c>
      <x:c r="G502" s="44" t="n">
        <x:v>0.003472222222222222</x:v>
      </x:c>
      <x:c r="H502" s="44" t="n">
        <x:v>0.010416666666666666</x:v>
      </x:c>
      <x:c r="I502" s="32" t="n">
        <x:f>ROUND((H502-G502)*1440,0)</x:f>
        <x:v>10</x:v>
      </x:c>
      <x:c r="J502" s="13" t="str">
        <x:v>Активное восстановление</x:v>
      </x:c>
      <x:c r="K502" s="13" t="str">
        <x:v>10 минут лёгкой прогулки или бытовой активности. Цель — восстановление, не тренировка.</x:v>
      </x:c>
      <x:c r="L502" s="13" t="str">
        <x:v>☐ Не начато</x:v>
      </x:c>
      <x:c r="M502" s="13" t="str">
        <x:v>Обязательно</x:v>
      </x:c>
      <x:c r="N502" s="13" t="str">
        <x:v>RPE 1–2</x:v>
      </x:c>
      <x:c r="O502" s="13" t="str"/>
      <x:c r="P502" s="13" t="str">
        <x:v>milestone_02_footwork_body_position/week_07_2026-10-19/06_SATURDAY.md</x:v>
      </x:c>
      <x:c r="Q502" s="138" t="str">
        <x:v>Markdown</x:v>
      </x:c>
      <x:c r="R502" s="20" t="str"/>
    </x:row>
    <x:row r="503" ht="36" customHeight="1">
      <x:c r="A503" s="19" t="str">
        <x:v>W07-20261024-0502</x:v>
      </x:c>
      <x:c r="B503" s="13" t="n">
        <x:v>7</x:v>
      </x:c>
      <x:c r="C503" s="13" t="str">
        <x:v>Этап 2 — Ноги и положение корпуса</x:v>
      </x:c>
      <x:c r="D503" s="138" t="str">
        <x:v>2026-10-24</x:v>
      </x:c>
      <x:c r="E503" s="13" t="str">
        <x:v>Суббота</x:v>
      </x:c>
      <x:c r="F503" s="13" t="str">
        <x:v>Отдых / подготовка</x:v>
      </x:c>
      <x:c r="G503" s="44" t="n">
        <x:v>0.010416666666666666</x:v>
      </x:c>
      <x:c r="H503" s="44" t="n">
        <x:v>0.013888888888888888</x:v>
      </x:c>
      <x:c r="I503" s="32" t="n">
        <x:f>ROUND((H503-G503)*1440,0)</x:f>
        <x:v>5</x:v>
      </x:c>
      <x:c r="J503" s="13" t="str">
        <x:v>Уход за кожей</x:v>
      </x:c>
      <x:c r="K503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503" s="13" t="str">
        <x:v>☐ Не начато</x:v>
      </x:c>
      <x:c r="M503" s="13" t="str">
        <x:v>Опционально</x:v>
      </x:c>
      <x:c r="N503" s="13" t="str">
        <x:v>Без нагрузки</x:v>
      </x:c>
      <x:c r="O503" s="13" t="str">
        <x:v>Повреждённую/болезненную кожу не шлифовать.</x:v>
      </x:c>
      <x:c r="P503" s="13" t="str">
        <x:v>milestone_02_footwork_body_position/week_07_2026-10-19/06_SATURDAY.md</x:v>
      </x:c>
      <x:c r="Q503" s="138" t="str">
        <x:v>Markdown</x:v>
      </x:c>
      <x:c r="R503" s="20" t="str"/>
    </x:row>
    <x:row r="504" ht="36" customHeight="1">
      <x:c r="A504" s="19" t="str">
        <x:v>W07-20261024-0503</x:v>
      </x:c>
      <x:c r="B504" s="13" t="n">
        <x:v>7</x:v>
      </x:c>
      <x:c r="C504" s="13" t="str">
        <x:v>Этап 2 — Ноги и положение корпуса</x:v>
      </x:c>
      <x:c r="D504" s="138" t="str">
        <x:v>2026-10-24</x:v>
      </x:c>
      <x:c r="E504" s="13" t="str">
        <x:v>Суббота</x:v>
      </x:c>
      <x:c r="F504" s="13" t="str">
        <x:v>Отдых / подготовка</x:v>
      </x:c>
      <x:c r="G504" s="44" t="n">
        <x:v>0.013888888888888888</x:v>
      </x:c>
      <x:c r="H504" s="44" t="n">
        <x:v>0.016666666666666666</x:v>
      </x:c>
      <x:c r="I504" s="32" t="n">
        <x:f>ROUND((H504-G504)*1440,0)</x:f>
        <x:v>4</x:v>
      </x:c>
      <x:c r="J504" s="13" t="str">
        <x:v>Подготовка</x:v>
      </x:c>
      <x:c r="K504" s="13" t="str">
        <x:v>Заряди телефон, освободи память для одного видео, положи щётку и магнезию.</x:v>
      </x:c>
      <x:c r="L504" s="13" t="str">
        <x:v>☐ Не начато</x:v>
      </x:c>
      <x:c r="M504" s="13" t="str">
        <x:v>Обязательно</x:v>
      </x:c>
      <x:c r="N504" s="13" t="str">
        <x:v>Без нагрузки</x:v>
      </x:c>
      <x:c r="O504" s="13" t="str"/>
      <x:c r="P504" s="13" t="str">
        <x:v>milestone_02_footwork_body_position/week_07_2026-10-19/06_SATURDAY.md</x:v>
      </x:c>
      <x:c r="Q504" s="138" t="str">
        <x:v>Markdown</x:v>
      </x:c>
      <x:c r="R504" s="20" t="str"/>
    </x:row>
    <x:row r="505" ht="36" customHeight="1">
      <x:c r="A505" s="19" t="str">
        <x:v>W07-20261024-0504</x:v>
      </x:c>
      <x:c r="B505" s="13" t="n">
        <x:v>7</x:v>
      </x:c>
      <x:c r="C505" s="13" t="str">
        <x:v>Этап 2 — Ноги и положение корпуса</x:v>
      </x:c>
      <x:c r="D505" s="138" t="str">
        <x:v>2026-10-24</x:v>
      </x:c>
      <x:c r="E505" s="13" t="str">
        <x:v>Суббота</x:v>
      </x:c>
      <x:c r="F505" s="13" t="str">
        <x:v>Отдых / подготовка</x:v>
      </x:c>
      <x:c r="G505" s="44" t="n">
        <x:v>0.016666666666666666</x:v>
      </x:c>
      <x:c r="H505" s="44" t="n">
        <x:v>0.01875</x:v>
      </x:c>
      <x:c r="I505" s="32" t="n">
        <x:f>ROUND((H505-G505)*1440,0)</x:f>
        <x:v>3</x:v>
      </x:c>
      <x:c r="J505" s="13" t="str">
        <x:v>План воскресенья</x:v>
      </x:c>
      <x:c r="K505" s="13" t="str">
        <x:v>Выбери заранее одну лёгкую трассу под тему «Высокая нога и rock-over». Воскресенье остаётся развлечением, не третьим тяжёлым днём.</x:v>
      </x:c>
      <x:c r="L505" s="13" t="str">
        <x:v>☐ Не начато</x:v>
      </x:c>
      <x:c r="M505" s="13" t="str">
        <x:v>Обязательно</x:v>
      </x:c>
      <x:c r="N505" s="13" t="str">
        <x:v>Без нагрузки</x:v>
      </x:c>
      <x:c r="O505" s="13" t="str"/>
      <x:c r="P505" s="13" t="str">
        <x:v>milestone_02_footwork_body_position/week_07_2026-10-19/06_SATURDAY.md</x:v>
      </x:c>
      <x:c r="Q505" s="138" t="str">
        <x:v>Markdown</x:v>
      </x:c>
      <x:c r="R505" s="20" t="str"/>
    </x:row>
    <x:row r="506" ht="36" customHeight="1">
      <x:c r="A506" s="19" t="str">
        <x:v>W07-20261024-0505</x:v>
      </x:c>
      <x:c r="B506" s="13" t="n">
        <x:v>7</x:v>
      </x:c>
      <x:c r="C506" s="13" t="str">
        <x:v>Этап 2 — Ноги и положение корпуса</x:v>
      </x:c>
      <x:c r="D506" s="138" t="str">
        <x:v>2026-10-24</x:v>
      </x:c>
      <x:c r="E506" s="13" t="str">
        <x:v>Суббота</x:v>
      </x:c>
      <x:c r="F506" s="13" t="str">
        <x:v>Отдых / подготовка</x:v>
      </x:c>
      <x:c r="G506" s="44" t="n">
        <x:v>0.01875</x:v>
      </x:c>
      <x:c r="H506" s="44" t="n">
        <x:v>0.020833333333333332</x:v>
      </x:c>
      <x:c r="I506" s="32" t="n">
        <x:f>ROUND((H506-G506)*1440,0)</x:f>
        <x:v>3</x:v>
      </x:c>
      <x:c r="J506" s="13" t="str">
        <x:v>Сон / восстановление</x:v>
      </x:c>
      <x:c r="K506" s="13" t="str">
        <x:v>Запланируй обычный сон и нормальный приём пищи; не пытайся «разбудить хват» вечером.</x:v>
      </x:c>
      <x:c r="L506" s="13" t="str">
        <x:v>☐ Не начато</x:v>
      </x:c>
      <x:c r="M506" s="13" t="str">
        <x:v>Обязательно</x:v>
      </x:c>
      <x:c r="N506" s="13" t="str">
        <x:v>Восстановление</x:v>
      </x:c>
      <x:c r="O506" s="13" t="str"/>
      <x:c r="P506" s="13" t="str">
        <x:v>milestone_02_footwork_body_position/week_07_2026-10-19/06_SATURDAY.md</x:v>
      </x:c>
      <x:c r="Q506" s="138" t="str">
        <x:v>Markdown</x:v>
      </x:c>
      <x:c r="R506" s="20" t="str"/>
    </x:row>
    <x:row r="507" ht="36" customHeight="1">
      <x:c r="A507" s="19" t="str">
        <x:v>W07-20261025-0506</x:v>
      </x:c>
      <x:c r="B507" s="13" t="n">
        <x:v>7</x:v>
      </x:c>
      <x:c r="C507" s="13" t="str">
        <x:v>Этап 2 — Ноги и положение корпуса</x:v>
      </x:c>
      <x:c r="D507" s="138" t="str">
        <x:v>2026-10-25</x:v>
      </x:c>
      <x:c r="E507" s="13" t="str">
        <x:v>Воскресенье</x:v>
      </x:c>
      <x:c r="F507" s="13" t="str">
        <x:v>Тренировка C — fun / опционально</x:v>
      </x:c>
      <x:c r="G507" s="44" t="n">
        <x:v>0</x:v>
      </x:c>
      <x:c r="H507" s="44" t="n">
        <x:v>0.0020833333333333333</x:v>
      </x:c>
      <x:c r="I507" s="32" t="n">
        <x:f>ROUND((H507-G507)*1440,0)</x:f>
        <x:v>3</x:v>
      </x:c>
      <x:c r="J507" s="13" t="str">
        <x:v>Выбор сценария</x:v>
      </x:c>
      <x:c r="K507" s="13" t="str">
        <x:v>Выбери один сценарий: (A) fun-сессия 75 минут в зале или (B) восстановительный день дома 25 минут. Не выполнять оба.</x:v>
      </x:c>
      <x:c r="L507" s="13" t="str">
        <x:v>☐ Не начато</x:v>
      </x:c>
      <x:c r="M507" s="13" t="str">
        <x:v>Выбрать один сценарий</x:v>
      </x:c>
      <x:c r="N507" s="13" t="str">
        <x:v>По состоянию</x:v>
      </x:c>
      <x:c r="O507" s="13" t="str"/>
      <x:c r="P507" s="13" t="str">
        <x:v>milestone_02_footwork_body_position/week_07_2026-10-19/07_SUNDAY.md</x:v>
      </x:c>
      <x:c r="Q507" s="138" t="str">
        <x:v>Markdown</x:v>
      </x:c>
      <x:c r="R507" s="20" t="str"/>
    </x:row>
    <x:row r="508" ht="36" customHeight="1">
      <x:c r="A508" s="19" t="str">
        <x:v>W07-20261025-0507</x:v>
      </x:c>
      <x:c r="B508" s="13" t="n">
        <x:v>7</x:v>
      </x:c>
      <x:c r="C508" s="13" t="str">
        <x:v>Этап 2 — Ноги и положение корпуса</x:v>
      </x:c>
      <x:c r="D508" s="138" t="str">
        <x:v>2026-10-25</x:v>
      </x:c>
      <x:c r="E508" s="13" t="str">
        <x:v>Воскресенье</x:v>
      </x:c>
      <x:c r="F508" s="13" t="str">
        <x:v>Тренировка C — fun / опционально</x:v>
      </x:c>
      <x:c r="G508" s="44" t="n">
        <x:v>0.0020833333333333333</x:v>
      </x:c>
      <x:c r="H508" s="44" t="n">
        <x:v>0.005555555555555556</x:v>
      </x:c>
      <x:c r="I508" s="32" t="n">
        <x:f>ROUND((H508-G508)*1440,0)</x:f>
        <x:v>5</x:v>
      </x:c>
      <x:c r="J508" s="13" t="str">
        <x:v>Разминка A</x:v>
      </x:c>
      <x:c r="K508" s="13" t="str">
        <x:v>Если идёшь в зал: 5 минут поднятия температуры.</x:v>
      </x:c>
      <x:c r="L508" s="13" t="str">
        <x:v>☐ Не начато</x:v>
      </x:c>
      <x:c r="M508" s="13" t="str">
        <x:v>Опционально</x:v>
      </x:c>
      <x:c r="N508" s="13" t="str">
        <x:v>RPE 2–3</x:v>
      </x:c>
      <x:c r="O508" s="13" t="str"/>
      <x:c r="P508" s="13" t="str">
        <x:v>milestone_02_footwork_body_position/week_07_2026-10-19/07_SUNDAY.md</x:v>
      </x:c>
      <x:c r="Q508" s="138" t="str">
        <x:v>Markdown</x:v>
      </x:c>
      <x:c r="R508" s="20" t="str"/>
    </x:row>
    <x:row r="509" ht="36" customHeight="1">
      <x:c r="A509" s="19" t="str">
        <x:v>W07-20261025-0508</x:v>
      </x:c>
      <x:c r="B509" s="13" t="n">
        <x:v>7</x:v>
      </x:c>
      <x:c r="C509" s="13" t="str">
        <x:v>Этап 2 — Ноги и положение корпуса</x:v>
      </x:c>
      <x:c r="D509" s="138" t="str">
        <x:v>2026-10-25</x:v>
      </x:c>
      <x:c r="E509" s="13" t="str">
        <x:v>Воскресенье</x:v>
      </x:c>
      <x:c r="F509" s="13" t="str">
        <x:v>Тренировка C — fun / опционально</x:v>
      </x:c>
      <x:c r="G509" s="44" t="n">
        <x:v>0.005555555555555556</x:v>
      </x:c>
      <x:c r="H509" s="44" t="n">
        <x:v>0.009027777777777777</x:v>
      </x:c>
      <x:c r="I509" s="32" t="n">
        <x:f>ROUND((H509-G509)*1440,0)</x:f>
        <x:v>5</x:v>
      </x:c>
      <x:c r="J509" s="13" t="str">
        <x:v>Разминка A</x:v>
      </x:c>
      <x:c r="K509" s="13" t="str">
        <x:v>Динамическая суставная разминка в безболезненном диапазоне; без отжиманий/press.</x:v>
      </x:c>
      <x:c r="L509" s="13" t="str">
        <x:v>☐ Не начато</x:v>
      </x:c>
      <x:c r="M509" s="13" t="str">
        <x:v>Опционально</x:v>
      </x:c>
      <x:c r="N509" s="13" t="str">
        <x:v>Очень легко</x:v>
      </x:c>
      <x:c r="O509" s="13" t="str">
        <x:v>Правое колено: уменьшить высоту шага или пропустить движение при боли/скручивании. Плечо: не дожимать rock-over рукой.</x:v>
      </x:c>
      <x:c r="P509" s="13" t="str">
        <x:v>milestone_02_footwork_body_position/week_07_2026-10-19/07_SUNDAY.md</x:v>
      </x:c>
      <x:c r="Q509" s="138" t="str">
        <x:v>Markdown</x:v>
      </x:c>
      <x:c r="R509" s="20" t="str"/>
    </x:row>
    <x:row r="510" ht="36" customHeight="1">
      <x:c r="A510" s="19" t="str">
        <x:v>W07-20261025-0509</x:v>
      </x:c>
      <x:c r="B510" s="13" t="n">
        <x:v>7</x:v>
      </x:c>
      <x:c r="C510" s="13" t="str">
        <x:v>Этап 2 — Ноги и положение корпуса</x:v>
      </x:c>
      <x:c r="D510" s="138" t="str">
        <x:v>2026-10-25</x:v>
      </x:c>
      <x:c r="E510" s="13" t="str">
        <x:v>Воскресенье</x:v>
      </x:c>
      <x:c r="F510" s="13" t="str">
        <x:v>Тренировка C — fun / опционально</x:v>
      </x:c>
      <x:c r="G510" s="44" t="n">
        <x:v>0.009027777777777777</x:v>
      </x:c>
      <x:c r="H510" s="44" t="n">
        <x:v>0.013888888888888888</x:v>
      </x:c>
      <x:c r="I510" s="32" t="n">
        <x:f>ROUND((H510-G510)*1440,0)</x:f>
        <x:v>7</x:v>
      </x:c>
      <x:c r="J510" s="13" t="str">
        <x:v>Лёгкое лазание A</x:v>
      </x:c>
      <x:c r="K510" s="13" t="str">
        <x:v>3 очень лёгкие трассы 1–3 с постепенным увеличением сложности.</x:v>
      </x:c>
      <x:c r="L510" s="13" t="str">
        <x:v>☐ Не начато</x:v>
      </x:c>
      <x:c r="M510" s="13" t="str">
        <x:v>Опционально</x:v>
      </x:c>
      <x:c r="N510" s="13" t="str">
        <x:v>RPE 2–4</x:v>
      </x:c>
      <x:c r="O510" s="13" t="str"/>
      <x:c r="P510" s="13" t="str">
        <x:v>milestone_02_footwork_body_position/week_07_2026-10-19/07_SUNDAY.md</x:v>
      </x:c>
      <x:c r="Q510" s="138" t="str">
        <x:v>Markdown</x:v>
      </x:c>
      <x:c r="R510" s="20" t="str"/>
    </x:row>
    <x:row r="511" ht="36" customHeight="1">
      <x:c r="A511" s="19" t="str">
        <x:v>W07-20261025-0510</x:v>
      </x:c>
      <x:c r="B511" s="13" t="n">
        <x:v>7</x:v>
      </x:c>
      <x:c r="C511" s="13" t="str">
        <x:v>Этап 2 — Ноги и положение корпуса</x:v>
      </x:c>
      <x:c r="D511" s="138" t="str">
        <x:v>2026-10-25</x:v>
      </x:c>
      <x:c r="E511" s="13" t="str">
        <x:v>Воскресенье</x:v>
      </x:c>
      <x:c r="F511" s="13" t="str">
        <x:v>Тренировка C — fun / опционально</x:v>
      </x:c>
      <x:c r="G511" s="44" t="n">
        <x:v>0.013888888888888888</x:v>
      </x:c>
      <x:c r="H511" s="44" t="n">
        <x:v>0.020833333333333332</x:v>
      </x:c>
      <x:c r="I511" s="32" t="n">
        <x:f>ROUND((H511-G511)*1440,0)</x:f>
        <x:v>10</x:v>
      </x:c>
      <x:c r="J511" s="13" t="str">
        <x:v>Технический праймер A</x:v>
      </x:c>
      <x:c r="K511" s="13" t="str">
        <x:v>На одной лёгкой трассе дважды повтори «Высокая нога и rock-over». Критерий: Таз оказывается над стопой до подъёма; руки не делают основную работу.</x:v>
      </x:c>
      <x:c r="L511" s="13" t="str">
        <x:v>☐ Не начато</x:v>
      </x:c>
      <x:c r="M511" s="13" t="str">
        <x:v>Опционально</x:v>
      </x:c>
      <x:c r="N511" s="13" t="str">
        <x:v>RPE 3–4</x:v>
      </x:c>
      <x:c r="O511" s="13" t="str">
        <x:v>Правую высокую ногу уменьшить или заменить при боли. Не дожимать движение болезненным press/mantle.</x:v>
      </x:c>
      <x:c r="P511" s="13" t="str">
        <x:v>milestone_02_footwork_body_position/week_07_2026-10-19/07_SUNDAY.md</x:v>
      </x:c>
      <x:c r="Q511" s="138" t="str">
        <x:v>Markdown</x:v>
      </x:c>
      <x:c r="R511" s="20" t="str"/>
    </x:row>
    <x:row r="512" ht="36" customHeight="1">
      <x:c r="A512" s="19" t="str">
        <x:v>W07-20261025-0511</x:v>
      </x:c>
      <x:c r="B512" s="13" t="n">
        <x:v>7</x:v>
      </x:c>
      <x:c r="C512" s="13" t="str">
        <x:v>Этап 2 — Ноги и положение корпуса</x:v>
      </x:c>
      <x:c r="D512" s="138" t="str">
        <x:v>2026-10-25</x:v>
      </x:c>
      <x:c r="E512" s="13" t="str">
        <x:v>Воскресенье</x:v>
      </x:c>
      <x:c r="F512" s="13" t="str">
        <x:v>Тренировка C — fun / опционально</x:v>
      </x:c>
      <x:c r="G512" s="44" t="n">
        <x:v>0.020833333333333332</x:v>
      </x:c>
      <x:c r="H512" s="44" t="n">
        <x:v>0.03819444444444445</x:v>
      </x:c>
      <x:c r="I512" s="32" t="n">
        <x:f>ROUND((H512-G512)*1440,0)</x:f>
        <x:v>25</x:v>
      </x:c>
      <x:c r="J512" s="13" t="str">
        <x:v>Свободное лазание A</x:v>
      </x:c>
      <x:c r="K512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512" s="13" t="str">
        <x:v>☐ Не начато</x:v>
      </x:c>
      <x:c r="M512" s="13" t="str">
        <x:v>Опционально</x:v>
      </x:c>
      <x:c r="N512" s="13" t="str">
        <x:v>RPE 4–7</x:v>
      </x:c>
      <x:c r="O512" s="13" t="str">
        <x:v>Не превращать блок в круг на выносливость.</x:v>
      </x:c>
      <x:c r="P512" s="13" t="str">
        <x:v>milestone_02_footwork_body_position/week_07_2026-10-19/07_SUNDAY.md</x:v>
      </x:c>
      <x:c r="Q512" s="138" t="str">
        <x:v>Markdown</x:v>
      </x:c>
      <x:c r="R512" s="20" t="str"/>
    </x:row>
    <x:row r="513" ht="36" customHeight="1">
      <x:c r="A513" s="19" t="str">
        <x:v>W07-20261025-0512</x:v>
      </x:c>
      <x:c r="B513" s="13" t="n">
        <x:v>7</x:v>
      </x:c>
      <x:c r="C513" s="13" t="str">
        <x:v>Этап 2 — Ноги и положение корпуса</x:v>
      </x:c>
      <x:c r="D513" s="138" t="str">
        <x:v>2026-10-25</x:v>
      </x:c>
      <x:c r="E513" s="13" t="str">
        <x:v>Воскресенье</x:v>
      </x:c>
      <x:c r="F513" s="13" t="str">
        <x:v>Тренировка C — fun / опционально</x:v>
      </x:c>
      <x:c r="G513" s="44" t="n">
        <x:v>0.03819444444444445</x:v>
      </x:c>
      <x:c r="H513" s="44" t="n">
        <x:v>0.04583333333333333</x:v>
      </x:c>
      <x:c r="I513" s="32" t="n">
        <x:f>ROUND((H513-G513)*1440,0)</x:f>
        <x:v>11</x:v>
      </x:c>
      <x:c r="J513" s="13" t="str">
        <x:v>Свежая сложная попытка A</x:v>
      </x:c>
      <x:c r="K513" s="13" t="str">
        <x:v>Только если всё зелёное: попробуй одну рабочую пятёрку или дружелюбную шестёрку по критериям недели — Пятёрка с высоким шагом; плюс максимум 2 ознакомительные попытки на «дружелюбной» шестёрке с крупными зацепами. Максимум 2 попытки, отдых 4 минуты.</x:v>
      </x:c>
      <x:c r="L513" s="13" t="str">
        <x:v>☐ Не начато</x:v>
      </x:c>
      <x:c r="M513" s="13" t="str">
        <x:v>Опционально</x:v>
      </x:c>
      <x:c r="N513" s="13" t="str">
        <x:v>RPE 7–8, без отказа</x:v>
      </x:c>
      <x:c r="O513" s="13" t="str">
        <x:v>Правое колено: уменьшить высоту шага или пропустить движение при боли/скручивании. Плечо: не дожимать rock-over рукой.</x:v>
      </x:c>
      <x:c r="P513" s="13" t="str">
        <x:v>milestone_02_footwork_body_position/week_07_2026-10-19/07_SUNDAY.md</x:v>
      </x:c>
      <x:c r="Q513" s="138" t="str">
        <x:v>Markdown</x:v>
      </x:c>
      <x:c r="R513" s="20" t="str"/>
    </x:row>
    <x:row r="514" ht="36" customHeight="1">
      <x:c r="A514" s="19" t="str">
        <x:v>W07-20261025-0513</x:v>
      </x:c>
      <x:c r="B514" s="13" t="n">
        <x:v>7</x:v>
      </x:c>
      <x:c r="C514" s="13" t="str">
        <x:v>Этап 2 — Ноги и положение корпуса</x:v>
      </x:c>
      <x:c r="D514" s="138" t="str">
        <x:v>2026-10-25</x:v>
      </x:c>
      <x:c r="E514" s="13" t="str">
        <x:v>Воскресенье</x:v>
      </x:c>
      <x:c r="F514" s="13" t="str">
        <x:v>Тренировка C — fun / опционально</x:v>
      </x:c>
      <x:c r="G514" s="44" t="n">
        <x:v>0.04583333333333333</x:v>
      </x:c>
      <x:c r="H514" s="44" t="n">
        <x:v>0.05</x:v>
      </x:c>
      <x:c r="I514" s="32" t="n">
        <x:f>ROUND((H514-G514)*1440,0)</x:f>
        <x:v>6</x:v>
      </x:c>
      <x:c r="J514" s="13" t="str">
        <x:v>Лёгкий финал A</x:v>
      </x:c>
      <x:c r="K514" s="13" t="str">
        <x:v>Одна любимая лёгкая трасса или спокойный спуск. Фингерборда и capacity-круга нет.</x:v>
      </x:c>
      <x:c r="L514" s="13" t="str">
        <x:v>☐ Не начато</x:v>
      </x:c>
      <x:c r="M514" s="13" t="str">
        <x:v>Опционально</x:v>
      </x:c>
      <x:c r="N514" s="13" t="str">
        <x:v>RPE 2–3</x:v>
      </x:c>
      <x:c r="O514" s="13" t="str"/>
      <x:c r="P514" s="13" t="str">
        <x:v>milestone_02_footwork_body_position/week_07_2026-10-19/07_SUNDAY.md</x:v>
      </x:c>
      <x:c r="Q514" s="138" t="str">
        <x:v>Markdown</x:v>
      </x:c>
      <x:c r="R514" s="20" t="str"/>
    </x:row>
    <x:row r="515" ht="36" customHeight="1">
      <x:c r="A515" s="19" t="str">
        <x:v>W07-20261025-0514</x:v>
      </x:c>
      <x:c r="B515" s="13" t="n">
        <x:v>7</x:v>
      </x:c>
      <x:c r="C515" s="13" t="str">
        <x:v>Этап 2 — Ноги и положение корпуса</x:v>
      </x:c>
      <x:c r="D515" s="138" t="str">
        <x:v>2026-10-25</x:v>
      </x:c>
      <x:c r="E515" s="13" t="str">
        <x:v>Воскресенье</x:v>
      </x:c>
      <x:c r="F515" s="13" t="str">
        <x:v>Тренировка C — fun / опционально</x:v>
      </x:c>
      <x:c r="G515" s="44" t="n">
        <x:v>0.05</x:v>
      </x:c>
      <x:c r="H515" s="44" t="n">
        <x:v>0.052083333333333336</x:v>
      </x:c>
      <x:c r="I515" s="32" t="n">
        <x:f>ROUND((H515-G515)*1440,0)</x:f>
        <x:v>3</x:v>
      </x:c>
      <x:c r="J515" s="13" t="str">
        <x:v>Журнал A</x:v>
      </x:c>
      <x:c r="K515" s="13" t="str">
        <x:v>Запиши только 3 вещи: что было весело, один удачный технический момент, состояние пальцев после сессии.</x:v>
      </x:c>
      <x:c r="L515" s="13" t="str">
        <x:v>☐ Не начато</x:v>
      </x:c>
      <x:c r="M515" s="13" t="str">
        <x:v>Опционально</x:v>
      </x:c>
      <x:c r="N515" s="13" t="str">
        <x:v>Без нагрузки</x:v>
      </x:c>
      <x:c r="O515" s="13" t="str"/>
      <x:c r="P515" s="13" t="str">
        <x:v>milestone_02_footwork_body_position/week_07_2026-10-19/07_SUNDAY.md</x:v>
      </x:c>
      <x:c r="Q515" s="138" t="str">
        <x:v>Markdown</x:v>
      </x:c>
      <x:c r="R515" s="20" t="str"/>
    </x:row>
    <x:row r="516" ht="36" customHeight="1">
      <x:c r="A516" s="19" t="str">
        <x:v>W07-20261025-0515</x:v>
      </x:c>
      <x:c r="B516" s="13" t="n">
        <x:v>7</x:v>
      </x:c>
      <x:c r="C516" s="13" t="str">
        <x:v>Этап 2 — Ноги и положение корпуса</x:v>
      </x:c>
      <x:c r="D516" s="138" t="str">
        <x:v>2026-10-25</x:v>
      </x:c>
      <x:c r="E516" s="13" t="str">
        <x:v>Воскресенье</x:v>
      </x:c>
      <x:c r="F516" s="13" t="str">
        <x:v>Восстановление B — дома</x:v>
      </x:c>
      <x:c r="G516" s="44" t="n">
        <x:v>0</x:v>
      </x:c>
      <x:c r="H516" s="44" t="n">
        <x:v>0.010416666666666666</x:v>
      </x:c>
      <x:c r="I516" s="32" t="n">
        <x:f>ROUND((H516-G516)*1440,0)</x:f>
        <x:v>15</x:v>
      </x:c>
      <x:c r="J516" s="13" t="str">
        <x:v>Прогулка B</x:v>
      </x:c>
      <x:c r="K516" s="13" t="str">
        <x:v>Если не идёшь в зал: 15 минут спокойной прогулки.</x:v>
      </x:c>
      <x:c r="L516" s="13" t="str">
        <x:v>☐ Не начато</x:v>
      </x:c>
      <x:c r="M516" s="13" t="str">
        <x:v>Опционально</x:v>
      </x:c>
      <x:c r="N516" s="13" t="str">
        <x:v>RPE 1–2</x:v>
      </x:c>
      <x:c r="O516" s="13" t="str"/>
      <x:c r="P516" s="13" t="str">
        <x:v>milestone_02_footwork_body_position/week_07_2026-10-19/07_SUNDAY.md</x:v>
      </x:c>
      <x:c r="Q516" s="138" t="str">
        <x:v>Markdown</x:v>
      </x:c>
      <x:c r="R516" s="20" t="str"/>
    </x:row>
    <x:row r="517" ht="36" customHeight="1">
      <x:c r="A517" s="19" t="str">
        <x:v>W07-20261025-0516</x:v>
      </x:c>
      <x:c r="B517" s="13" t="n">
        <x:v>7</x:v>
      </x:c>
      <x:c r="C517" s="13" t="str">
        <x:v>Этап 2 — Ноги и положение корпуса</x:v>
      </x:c>
      <x:c r="D517" s="138" t="str">
        <x:v>2026-10-25</x:v>
      </x:c>
      <x:c r="E517" s="13" t="str">
        <x:v>Воскресенье</x:v>
      </x:c>
      <x:c r="F517" s="13" t="str">
        <x:v>Восстановление B — дома</x:v>
      </x:c>
      <x:c r="G517" s="44" t="n">
        <x:v>0.010416666666666666</x:v>
      </x:c>
      <x:c r="H517" s="44" t="n">
        <x:v>0.015277777777777777</x:v>
      </x:c>
      <x:c r="I517" s="32" t="n">
        <x:f>ROUND((H517-G517)*1440,0)</x:f>
        <x:v>7</x:v>
      </x:c>
      <x:c r="J517" s="13" t="str">
        <x:v>Визуализация B</x:v>
      </x:c>
      <x:c r="K517" s="13" t="str">
        <x:v>7 минут: мысленно повтори тему недели «Высокая нога и rock-over» и одну трассу четверга.</x:v>
      </x:c>
      <x:c r="L517" s="13" t="str">
        <x:v>☐ Не начато</x:v>
      </x:c>
      <x:c r="M517" s="13" t="str">
        <x:v>Опционально</x:v>
      </x:c>
      <x:c r="N517" s="13" t="str">
        <x:v>Без нагрузки</x:v>
      </x:c>
      <x:c r="O517" s="13" t="str"/>
      <x:c r="P517" s="13" t="str">
        <x:v>milestone_02_footwork_body_position/week_07_2026-10-19/07_SUNDAY.md</x:v>
      </x:c>
      <x:c r="Q517" s="138" t="str">
        <x:v>Markdown</x:v>
      </x:c>
      <x:c r="R517" s="20" t="str"/>
    </x:row>
    <x:row r="518" ht="36" customHeight="1">
      <x:c r="A518" s="19" t="str">
        <x:v>W07-20261025-0517</x:v>
      </x:c>
      <x:c r="B518" s="13" t="n">
        <x:v>7</x:v>
      </x:c>
      <x:c r="C518" s="13" t="str">
        <x:v>Этап 2 — Ноги и положение корпуса</x:v>
      </x:c>
      <x:c r="D518" s="138" t="str">
        <x:v>2026-10-25</x:v>
      </x:c>
      <x:c r="E518" s="13" t="str">
        <x:v>Воскресенье</x:v>
      </x:c>
      <x:c r="F518" s="13" t="str">
        <x:v>Восстановление B — дома</x:v>
      </x:c>
      <x:c r="G518" s="44" t="n">
        <x:v>0.015277777777777777</x:v>
      </x:c>
      <x:c r="H518" s="44" t="n">
        <x:v>0.017361111111111112</x:v>
      </x:c>
      <x:c r="I518" s="32" t="n">
        <x:f>ROUND((H518-G518)*1440,0)</x:f>
        <x:v>3</x:v>
      </x:c>
      <x:c r="J518" s="13" t="str">
        <x:v>Итог недели B</x:v>
      </x:c>
      <x:c r="K518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518" s="13" t="str">
        <x:v>☐ Не начато</x:v>
      </x:c>
      <x:c r="M518" s="13" t="str">
        <x:v>Опционально</x:v>
      </x:c>
      <x:c r="N518" s="13" t="str">
        <x:v>Без нагрузки</x:v>
      </x:c>
      <x:c r="O518" s="13" t="str"/>
      <x:c r="P518" s="13" t="str">
        <x:v>milestone_02_footwork_body_position/week_07_2026-10-19/07_SUNDAY.md</x:v>
      </x:c>
      <x:c r="Q518" s="138" t="str">
        <x:v>Markdown</x:v>
      </x:c>
      <x:c r="R518" s="20" t="str"/>
    </x:row>
    <x:row r="519" ht="36" customHeight="1">
      <x:c r="A519" s="19" t="str">
        <x:v>W08-20261026-0518</x:v>
      </x:c>
      <x:c r="B519" s="13" t="n">
        <x:v>8</x:v>
      </x:c>
      <x:c r="C519" s="13" t="str">
        <x:v>Этап 2 — Ноги и положение корпуса</x:v>
      </x:c>
      <x:c r="D519" s="138" t="str">
        <x:v>2026-10-26</x:v>
      </x:c>
      <x:c r="E519" s="13" t="str">
        <x:v>Понедельник</x:v>
      </x:c>
      <x:c r="F519" s="13" t="str">
        <x:v>Дом / теория</x:v>
      </x:c>
      <x:c r="G519" s="44" t="n">
        <x:v>0</x:v>
      </x:c>
      <x:c r="H519" s="44" t="n">
        <x:v>0.0020833333333333333</x:v>
      </x:c>
      <x:c r="I519" s="32" t="n">
        <x:f>ROUND((H519-G519)*1440,0)</x:f>
        <x:v>3</x:v>
      </x:c>
      <x:c r="J519" s="13" t="str">
        <x:v>Самопроверка</x:v>
      </x:c>
      <x:c r="K519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519" s="13" t="str">
        <x:v>☐ Не начато</x:v>
      </x:c>
      <x:c r="M519" s="13" t="str">
        <x:v>Обязательно</x:v>
      </x:c>
      <x:c r="N519" s="13" t="str">
        <x:v>Очень легко</x:v>
      </x:c>
      <x:c r="O519" s="13" t="str">
        <x:v>Не диагностируй травму самостоятельно; используй правила из документа безопасности.</x:v>
      </x:c>
      <x:c r="P519" s="13" t="str">
        <x:v>milestone_02_footwork_body_position/week_08_2026-10-26/01_MONDAY.md</x:v>
      </x:c>
      <x:c r="Q519" s="138" t="str">
        <x:v>Markdown</x:v>
      </x:c>
      <x:c r="R519" s="20" t="str"/>
    </x:row>
    <x:row r="520" ht="36" customHeight="1">
      <x:c r="A520" s="19" t="str">
        <x:v>W08-20261026-0519</x:v>
      </x:c>
      <x:c r="B520" s="13" t="n">
        <x:v>8</x:v>
      </x:c>
      <x:c r="C520" s="13" t="str">
        <x:v>Этап 2 — Ноги и положение корпуса</x:v>
      </x:c>
      <x:c r="D520" s="138" t="str">
        <x:v>2026-10-26</x:v>
      </x:c>
      <x:c r="E520" s="13" t="str">
        <x:v>Понедельник</x:v>
      </x:c>
      <x:c r="F520" s="13" t="str">
        <x:v>Дом / теория</x:v>
      </x:c>
      <x:c r="G520" s="44" t="n">
        <x:v>0.0020833333333333333</x:v>
      </x:c>
      <x:c r="H520" s="44" t="n">
        <x:v>0.005555555555555556</x:v>
      </x:c>
      <x:c r="I520" s="32" t="n">
        <x:f>ROUND((H520-G520)*1440,0)</x:f>
        <x:v>5</x:v>
      </x:c>
      <x:c r="J520" s="13" t="str">
        <x:v>Планирование</x:v>
      </x:c>
      <x:c r="K520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«Смена ног происходит на носках и с минимальным подпрыгиванием таза.»</x:v>
      </x:c>
      <x:c r="L520" s="13" t="str">
        <x:v>☐ Не начато</x:v>
      </x:c>
      <x:c r="M520" s="13" t="str">
        <x:v>Обязательно</x:v>
      </x:c>
      <x:c r="N520" s="13" t="str">
        <x:v>Без нагрузки</x:v>
      </x:c>
      <x:c r="O520" s="13" t="str"/>
      <x:c r="P520" s="13" t="str">
        <x:v>milestone_02_footwork_body_position/week_08_2026-10-26/01_MONDAY.md</x:v>
      </x:c>
      <x:c r="Q520" s="138" t="str">
        <x:v>Markdown</x:v>
      </x:c>
      <x:c r="R520" s="20" t="str"/>
    </x:row>
    <x:row r="521" ht="36" customHeight="1">
      <x:c r="A521" s="19" t="str">
        <x:v>W08-20261026-0520</x:v>
      </x:c>
      <x:c r="B521" s="13" t="n">
        <x:v>8</x:v>
      </x:c>
      <x:c r="C521" s="13" t="str">
        <x:v>Этап 2 — Ноги и положение корпуса</x:v>
      </x:c>
      <x:c r="D521" s="138" t="str">
        <x:v>2026-10-26</x:v>
      </x:c>
      <x:c r="E521" s="13" t="str">
        <x:v>Понедельник</x:v>
      </x:c>
      <x:c r="F521" s="13" t="str">
        <x:v>Дом / теория</x:v>
      </x:c>
      <x:c r="G521" s="44" t="n">
        <x:v>0.005555555555555556</x:v>
      </x:c>
      <x:c r="H521" s="44" t="n">
        <x:v>0.011111111111111112</x:v>
      </x:c>
      <x:c r="I521" s="32" t="n">
        <x:f>ROUND((H521-G521)*1440,0)</x:f>
        <x:v>8</x:v>
      </x:c>
      <x:c r="J521" s="13" t="str">
        <x:v>Теория</x:v>
      </x:c>
      <x:c r="K521" s="13" t="str">
        <x:v>Посмотри/прочитай [R09: Berta Block — Power vs. Balance](https://www.bertablock.de/power-vs-balance). Задача: Описание навыков для плиты и нависания; проверить даты курса и решить, нужен ли очный фидбэк.</x:v>
      </x:c>
      <x:c r="L521" s="13" t="str">
        <x:v>☐ Не начато</x:v>
      </x:c>
      <x:c r="M521" s="13" t="str">
        <x:v>Обязательно</x:v>
      </x:c>
      <x:c r="N521" s="13" t="str">
        <x:v>Без нагрузки</x:v>
      </x:c>
      <x:c r="O521" s="13" t="str"/>
      <x:c r="P521" s="13" t="str">
        <x:v>milestone_02_footwork_body_position/week_08_2026-10-26/01_MONDAY.md</x:v>
      </x:c>
      <x:c r="Q521" s="138" t="str">
        <x:v>Markdown</x:v>
      </x:c>
      <x:c r="R521" s="20" t="str"/>
    </x:row>
    <x:row r="522" ht="36" customHeight="1">
      <x:c r="A522" s="19" t="str">
        <x:v>W08-20261026-0521</x:v>
      </x:c>
      <x:c r="B522" s="13" t="n">
        <x:v>8</x:v>
      </x:c>
      <x:c r="C522" s="13" t="str">
        <x:v>Этап 2 — Ноги и положение корпуса</x:v>
      </x:c>
      <x:c r="D522" s="138" t="str">
        <x:v>2026-10-26</x:v>
      </x:c>
      <x:c r="E522" s="13" t="str">
        <x:v>Понедельник</x:v>
      </x:c>
      <x:c r="F522" s="13" t="str">
        <x:v>Дом / теория</x:v>
      </x:c>
      <x:c r="G522" s="44" t="n">
        <x:v>0.011111111111111112</x:v>
      </x:c>
      <x:c r="H522" s="44" t="n">
        <x:v>0.014583333333333334</x:v>
      </x:c>
      <x:c r="I522" s="32" t="n">
        <x:f>ROUND((H522-G522)*1440,0)</x:f>
        <x:v>5</x:v>
      </x:c>
      <x:c r="J522" s="13" t="str">
        <x:v>Конспект</x:v>
      </x:c>
      <x:c r="K522" s="13" t="str">
        <x:v>Запиши ровно 3 пункта: (1) что делать ногами/тазом; (2) что не делать руками; (3) какой признак успеха проверишь на стене для темы «Смена ног».</x:v>
      </x:c>
      <x:c r="L522" s="13" t="str">
        <x:v>☐ Не начато</x:v>
      </x:c>
      <x:c r="M522" s="13" t="str">
        <x:v>Обязательно</x:v>
      </x:c>
      <x:c r="N522" s="13" t="str">
        <x:v>Без нагрузки</x:v>
      </x:c>
      <x:c r="O522" s="13" t="str"/>
      <x:c r="P522" s="13" t="str">
        <x:v>milestone_02_footwork_body_position/week_08_2026-10-26/01_MONDAY.md</x:v>
      </x:c>
      <x:c r="Q522" s="138" t="str">
        <x:v>Markdown</x:v>
      </x:c>
      <x:c r="R522" s="20" t="str"/>
    </x:row>
    <x:row r="523" ht="36" customHeight="1">
      <x:c r="A523" s="19" t="str">
        <x:v>W08-20261026-0522</x:v>
      </x:c>
      <x:c r="B523" s="13" t="n">
        <x:v>8</x:v>
      </x:c>
      <x:c r="C523" s="13" t="str">
        <x:v>Этап 2 — Ноги и положение корпуса</x:v>
      </x:c>
      <x:c r="D523" s="138" t="str">
        <x:v>2026-10-26</x:v>
      </x:c>
      <x:c r="E523" s="13" t="str">
        <x:v>Понедельник</x:v>
      </x:c>
      <x:c r="F523" s="13" t="str">
        <x:v>Дом / теория</x:v>
      </x:c>
      <x:c r="G523" s="44" t="n">
        <x:v>0.014583333333333334</x:v>
      </x:c>
      <x:c r="H523" s="44" t="n">
        <x:v>0.022916666666666665</x:v>
      </x:c>
      <x:c r="I523" s="32" t="n">
        <x:f>ROUND((H523-G523)*1440,0)</x:f>
        <x:v>12</x:v>
      </x:c>
      <x:c r="J523" s="13" t="str">
        <x:v>Домашняя мобильность</x:v>
      </x:c>
      <x:c r="K523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523" s="13" t="str">
        <x:v>☐ Не начато</x:v>
      </x:c>
      <x:c r="M523" s="13" t="str">
        <x:v>Обязательно</x:v>
      </x:c>
      <x:c r="N523" s="13" t="str">
        <x:v>RPE 2–3</x:v>
      </x:c>
      <x:c r="O523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523" s="13" t="str">
        <x:v>milestone_02_footwork_body_position/week_08_2026-10-26/01_MONDAY.md</x:v>
      </x:c>
      <x:c r="Q523" s="138" t="str">
        <x:v>Markdown</x:v>
      </x:c>
      <x:c r="R523" s="20" t="str"/>
    </x:row>
    <x:row r="524" ht="36" customHeight="1">
      <x:c r="A524" s="19" t="str">
        <x:v>W08-20261026-0523</x:v>
      </x:c>
      <x:c r="B524" s="13" t="n">
        <x:v>8</x:v>
      </x:c>
      <x:c r="C524" s="13" t="str">
        <x:v>Этап 2 — Ноги и положение корпуса</x:v>
      </x:c>
      <x:c r="D524" s="138" t="str">
        <x:v>2026-10-26</x:v>
      </x:c>
      <x:c r="E524" s="13" t="str">
        <x:v>Понедельник</x:v>
      </x:c>
      <x:c r="F524" s="13" t="str">
        <x:v>Дом / теория</x:v>
      </x:c>
      <x:c r="G524" s="44" t="n">
        <x:v>0.022916666666666665</x:v>
      </x:c>
      <x:c r="H524" s="44" t="n">
        <x:v>0.03680555555555556</x:v>
      </x:c>
      <x:c r="I524" s="32" t="n">
        <x:f>ROUND((H524-G524)*1440,0)</x:f>
        <x:v>20</x:v>
      </x:c>
      <x:c r="J524" s="13" t="str">
        <x:v>Физиотерапия</x:v>
      </x:c>
      <x:c r="K524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524" s="13" t="str">
        <x:v>☐ Не начато</x:v>
      </x:c>
      <x:c r="M524" s="13" t="str">
        <x:v>По назначению</x:v>
      </x:c>
      <x:c r="N524" s="13" t="str">
        <x:v>По назначению физиотерапевта</x:v>
      </x:c>
      <x:c r="O524" s="13" t="str">
        <x:v>Любые указания физиотерапевта имеют приоритет над этим планом.</x:v>
      </x:c>
      <x:c r="P524" s="13" t="str">
        <x:v>milestone_02_footwork_body_position/week_08_2026-10-26/01_MONDAY.md</x:v>
      </x:c>
      <x:c r="Q524" s="138" t="str">
        <x:v>Markdown</x:v>
      </x:c>
      <x:c r="R524" s="20" t="str"/>
    </x:row>
    <x:row r="525" ht="36" customHeight="1">
      <x:c r="A525" s="19" t="str">
        <x:v>W08-20261026-0524</x:v>
      </x:c>
      <x:c r="B525" s="13" t="n">
        <x:v>8</x:v>
      </x:c>
      <x:c r="C525" s="13" t="str">
        <x:v>Этап 2 — Ноги и положение корпуса</x:v>
      </x:c>
      <x:c r="D525" s="138" t="str">
        <x:v>2026-10-26</x:v>
      </x:c>
      <x:c r="E525" s="13" t="str">
        <x:v>Понедельник</x:v>
      </x:c>
      <x:c r="F525" s="13" t="str">
        <x:v>Дом / теория</x:v>
      </x:c>
      <x:c r="G525" s="44" t="n">
        <x:v>0.03680555555555556</x:v>
      </x:c>
      <x:c r="H525" s="44" t="n">
        <x:v>0.04027777777777778</x:v>
      </x:c>
      <x:c r="I525" s="32" t="n">
        <x:f>ROUND((H525-G525)*1440,0)</x:f>
        <x:v>5</x:v>
      </x:c>
      <x:c r="J525" s="13" t="str">
        <x:v>Покупка / организация</x:v>
      </x:c>
      <x:c r="K525" s="13" t="str">
        <x:v>Решить, нужен ли очный Power vs. Balance или Mastering the Basics; проверить актуальные даты/цену.</x:v>
      </x:c>
      <x:c r="L525" s="13" t="str">
        <x:v>☐ Не начато</x:v>
      </x:c>
      <x:c r="M525" s="13" t="str">
        <x:v>Опционально</x:v>
      </x:c>
      <x:c r="N525" s="13" t="str">
        <x:v>Без нагрузки</x:v>
      </x:c>
      <x:c r="O525" s="13" t="str"/>
      <x:c r="P525" s="13" t="str">
        <x:v>milestone_02_footwork_body_position/week_08_2026-10-26/01_MONDAY.md</x:v>
      </x:c>
      <x:c r="Q525" s="138" t="str">
        <x:v>Markdown</x:v>
      </x:c>
      <x:c r="R525" s="20" t="str"/>
    </x:row>
    <x:row r="526" ht="36" customHeight="1">
      <x:c r="A526" s="19" t="str">
        <x:v>W08-20261026-0525</x:v>
      </x:c>
      <x:c r="B526" s="13" t="n">
        <x:v>8</x:v>
      </x:c>
      <x:c r="C526" s="13" t="str">
        <x:v>Этап 2 — Ноги и положение корпуса</x:v>
      </x:c>
      <x:c r="D526" s="138" t="str">
        <x:v>2026-10-26</x:v>
      </x:c>
      <x:c r="E526" s="13" t="str">
        <x:v>Понедельник</x:v>
      </x:c>
      <x:c r="F526" s="13" t="str">
        <x:v>Дом / теория</x:v>
      </x:c>
      <x:c r="G526" s="44" t="n">
        <x:v>0.04027777777777778</x:v>
      </x:c>
      <x:c r="H526" s="44" t="n">
        <x:v>0.04236111111111111</x:v>
      </x:c>
      <x:c r="I526" s="32" t="n">
        <x:f>ROUND((H526-G526)*1440,0)</x:f>
        <x:v>3</x:v>
      </x:c>
      <x:c r="J526" s="13" t="str">
        <x:v>Подготовка</x:v>
      </x:c>
      <x:c r="K526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526" s="13" t="str">
        <x:v>☐ Не начато</x:v>
      </x:c>
      <x:c r="M526" s="13" t="str">
        <x:v>Обязательно</x:v>
      </x:c>
      <x:c r="N526" s="13" t="str">
        <x:v>Без нагрузки</x:v>
      </x:c>
      <x:c r="O526" s="13" t="str">
        <x:v>Кольца и турник — только в рамках программы физиотерапевта.</x:v>
      </x:c>
      <x:c r="P526" s="13" t="str">
        <x:v>milestone_02_footwork_body_position/week_08_2026-10-26/01_MONDAY.md</x:v>
      </x:c>
      <x:c r="Q526" s="138" t="str">
        <x:v>Markdown</x:v>
      </x:c>
      <x:c r="R526" s="20" t="str"/>
    </x:row>
    <x:row r="527" ht="36" customHeight="1">
      <x:c r="A527" s="19" t="str">
        <x:v>W08-20261027-0526</x:v>
      </x:c>
      <x:c r="B527" s="13" t="n">
        <x:v>8</x:v>
      </x:c>
      <x:c r="C527" s="13" t="str">
        <x:v>Этап 2 — Ноги и положение корпуса</x:v>
      </x:c>
      <x:c r="D527" s="138" t="str">
        <x:v>2026-10-27</x:v>
      </x:c>
      <x:c r="E527" s="13" t="str">
        <x:v>Вторник</x:v>
      </x:c>
      <x:c r="F527" s="13" t="str">
        <x:v>Тренировка A — техника/объём</x:v>
      </x:c>
      <x:c r="G527" s="44" t="n">
        <x:v>0</x:v>
      </x:c>
      <x:c r="H527" s="44" t="n">
        <x:v>0.0020833333333333333</x:v>
      </x:c>
      <x:c r="I527" s="32" t="n">
        <x:f>ROUND((H527-G527)*1440,0)</x:f>
        <x:v>3</x:v>
      </x:c>
      <x:c r="J527" s="13" t="str">
        <x:v>Самопроверка</x:v>
      </x:c>
      <x:c r="K527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527" s="13" t="str">
        <x:v>☐ Не начато</x:v>
      </x:c>
      <x:c r="M527" s="13" t="str">
        <x:v>Обязательно</x:v>
      </x:c>
      <x:c r="N527" s="13" t="str">
        <x:v>Без нагрузки</x:v>
      </x:c>
      <x:c r="O527" s="13" t="str">
        <x:v>Красный флаг = не начинать пальцевую нагрузку.</x:v>
      </x:c>
      <x:c r="P527" s="13" t="str">
        <x:v>milestone_02_footwork_body_position/week_08_2026-10-26/02_TUESDAY.md</x:v>
      </x:c>
      <x:c r="Q527" s="138" t="str">
        <x:v>Markdown</x:v>
      </x:c>
      <x:c r="R527" s="20" t="str"/>
    </x:row>
    <x:row r="528" ht="36" customHeight="1">
      <x:c r="A528" s="19" t="str">
        <x:v>W08-20261027-0527</x:v>
      </x:c>
      <x:c r="B528" s="13" t="n">
        <x:v>8</x:v>
      </x:c>
      <x:c r="C528" s="13" t="str">
        <x:v>Этап 2 — Ноги и положение корпуса</x:v>
      </x:c>
      <x:c r="D528" s="138" t="str">
        <x:v>2026-10-27</x:v>
      </x:c>
      <x:c r="E528" s="13" t="str">
        <x:v>Вторник</x:v>
      </x:c>
      <x:c r="F528" s="13" t="str">
        <x:v>Тренировка A — техника/объём</x:v>
      </x:c>
      <x:c r="G528" s="44" t="n">
        <x:v>0.0020833333333333333</x:v>
      </x:c>
      <x:c r="H528" s="44" t="n">
        <x:v>0.005555555555555556</x:v>
      </x:c>
      <x:c r="I528" s="32" t="n">
        <x:f>ROUND((H528-G528)*1440,0)</x:f>
        <x:v>5</x:v>
      </x:c>
      <x:c r="J528" s="13" t="str">
        <x:v>Разминка</x:v>
      </x:c>
      <x:c r="K528" s="13" t="str">
        <x:v>Подними температуру: быстрая ходьба, лестница или лёгкий велотренажёр 5 минут.</x:v>
      </x:c>
      <x:c r="L528" s="13" t="str">
        <x:v>☐ Не начато</x:v>
      </x:c>
      <x:c r="M528" s="13" t="str">
        <x:v>Обязательно</x:v>
      </x:c>
      <x:c r="N528" s="13" t="str">
        <x:v>RPE 2–3</x:v>
      </x:c>
      <x:c r="O528" s="13" t="str"/>
      <x:c r="P528" s="13" t="str">
        <x:v>milestone_02_footwork_body_position/week_08_2026-10-26/02_TUESDAY.md</x:v>
      </x:c>
      <x:c r="Q528" s="138" t="str">
        <x:v>Markdown</x:v>
      </x:c>
      <x:c r="R528" s="20" t="str"/>
    </x:row>
    <x:row r="529" ht="36" customHeight="1">
      <x:c r="A529" s="19" t="str">
        <x:v>W08-20261027-0528</x:v>
      </x:c>
      <x:c r="B529" s="13" t="n">
        <x:v>8</x:v>
      </x:c>
      <x:c r="C529" s="13" t="str">
        <x:v>Этап 2 — Ноги и положение корпуса</x:v>
      </x:c>
      <x:c r="D529" s="138" t="str">
        <x:v>2026-10-27</x:v>
      </x:c>
      <x:c r="E529" s="13" t="str">
        <x:v>Вторник</x:v>
      </x:c>
      <x:c r="F529" s="13" t="str">
        <x:v>Тренировка A — техника/объём</x:v>
      </x:c>
      <x:c r="G529" s="44" t="n">
        <x:v>0.005555555555555556</x:v>
      </x:c>
      <x:c r="H529" s="44" t="n">
        <x:v>0.009027777777777777</x:v>
      </x:c>
      <x:c r="I529" s="32" t="n">
        <x:f>ROUND((H529-G529)*1440,0)</x:f>
        <x:v>5</x:v>
      </x:c>
      <x:c r="J529" s="13" t="str">
        <x:v>Разминка</x:v>
      </x:c>
      <x:c r="K529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529" s="13" t="str">
        <x:v>☐ Не начато</x:v>
      </x:c>
      <x:c r="M529" s="13" t="str">
        <x:v>Обязательно</x:v>
      </x:c>
      <x:c r="N529" s="13" t="str">
        <x:v>Очень легко</x:v>
      </x:c>
      <x:c r="O529" s="13" t="str">
        <x:v>Не делай press/отжимания и движения, которые раздражают плечо.</x:v>
      </x:c>
      <x:c r="P529" s="13" t="str">
        <x:v>milestone_02_footwork_body_position/week_08_2026-10-26/02_TUESDAY.md</x:v>
      </x:c>
      <x:c r="Q529" s="138" t="str">
        <x:v>Markdown</x:v>
      </x:c>
      <x:c r="R529" s="20" t="str"/>
    </x:row>
    <x:row r="530" ht="36" customHeight="1">
      <x:c r="A530" s="19" t="str">
        <x:v>W08-20261027-0529</x:v>
      </x:c>
      <x:c r="B530" s="13" t="n">
        <x:v>8</x:v>
      </x:c>
      <x:c r="C530" s="13" t="str">
        <x:v>Этап 2 — Ноги и положение корпуса</x:v>
      </x:c>
      <x:c r="D530" s="138" t="str">
        <x:v>2026-10-27</x:v>
      </x:c>
      <x:c r="E530" s="13" t="str">
        <x:v>Вторник</x:v>
      </x:c>
      <x:c r="F530" s="13" t="str">
        <x:v>Тренировка A — техника/объём</x:v>
      </x:c>
      <x:c r="G530" s="44" t="n">
        <x:v>0.009027777777777777</x:v>
      </x:c>
      <x:c r="H530" s="44" t="n">
        <x:v>0.011805555555555555</x:v>
      </x:c>
      <x:c r="I530" s="32" t="n">
        <x:f>ROUND((H530-G530)*1440,0)</x:f>
        <x:v>4</x:v>
      </x:c>
      <x:c r="J530" s="13" t="str">
        <x:v>Разминка пальцев</x:v>
      </x:c>
      <x:c r="K530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530" s="13" t="str">
        <x:v>☐ Не начато</x:v>
      </x:c>
      <x:c r="M530" s="13" t="str">
        <x:v>Обязательно</x:v>
      </x:c>
      <x:c r="N530" s="13" t="str">
        <x:v>Очень легко</x:v>
      </x:c>
      <x:c r="O530" s="13" t="str"/>
      <x:c r="P530" s="13" t="str">
        <x:v>milestone_02_footwork_body_position/week_08_2026-10-26/02_TUESDAY.md</x:v>
      </x:c>
      <x:c r="Q530" s="138" t="str">
        <x:v>Markdown</x:v>
      </x:c>
      <x:c r="R530" s="20" t="str"/>
    </x:row>
    <x:row r="531" ht="36" customHeight="1">
      <x:c r="A531" s="19" t="str">
        <x:v>W08-20261027-0530</x:v>
      </x:c>
      <x:c r="B531" s="13" t="n">
        <x:v>8</x:v>
      </x:c>
      <x:c r="C531" s="13" t="str">
        <x:v>Этап 2 — Ноги и положение корпуса</x:v>
      </x:c>
      <x:c r="D531" s="138" t="str">
        <x:v>2026-10-27</x:v>
      </x:c>
      <x:c r="E531" s="13" t="str">
        <x:v>Вторник</x:v>
      </x:c>
      <x:c r="F531" s="13" t="str">
        <x:v>Тренировка A — техника/объём</x:v>
      </x:c>
      <x:c r="G531" s="44" t="n">
        <x:v>0.011805555555555555</x:v>
      </x:c>
      <x:c r="H531" s="44" t="n">
        <x:v>0.014583333333333334</x:v>
      </x:c>
      <x:c r="I531" s="32" t="n">
        <x:f>ROUND((H531-G531)*1440,0)</x:f>
        <x:v>4</x:v>
      </x:c>
      <x:c r="J531" s="13" t="str">
        <x:v>Разминочное лазание</x:v>
      </x:c>
      <x:c r="K531" s="13" t="str">
        <x:v>Пройди 2 очень лёгкие трассы уровня 1–2; двигайся медленно, спускайся по зацепам.</x:v>
      </x:c>
      <x:c r="L531" s="13" t="str">
        <x:v>☐ Не начато</x:v>
      </x:c>
      <x:c r="M531" s="13" t="str">
        <x:v>Обязательно</x:v>
      </x:c>
      <x:c r="N531" s="13" t="str">
        <x:v>RPE 2–3</x:v>
      </x:c>
      <x:c r="O531" s="13" t="str">
        <x:v>Финиш с обязательным болезненным mantle/press пропусти.</x:v>
      </x:c>
      <x:c r="P531" s="13" t="str">
        <x:v>milestone_02_footwork_body_position/week_08_2026-10-26/02_TUESDAY.md</x:v>
      </x:c>
      <x:c r="Q531" s="138" t="str">
        <x:v>Markdown</x:v>
      </x:c>
      <x:c r="R531" s="20" t="str"/>
    </x:row>
    <x:row r="532" ht="36" customHeight="1">
      <x:c r="A532" s="19" t="str">
        <x:v>W08-20261027-0531</x:v>
      </x:c>
      <x:c r="B532" s="13" t="n">
        <x:v>8</x:v>
      </x:c>
      <x:c r="C532" s="13" t="str">
        <x:v>Этап 2 — Ноги и положение корпуса</x:v>
      </x:c>
      <x:c r="D532" s="138" t="str">
        <x:v>2026-10-27</x:v>
      </x:c>
      <x:c r="E532" s="13" t="str">
        <x:v>Вторник</x:v>
      </x:c>
      <x:c r="F532" s="13" t="str">
        <x:v>Тренировка A — техника/объём</x:v>
      </x:c>
      <x:c r="G532" s="44" t="n">
        <x:v>0.014583333333333334</x:v>
      </x:c>
      <x:c r="H532" s="44" t="n">
        <x:v>0.017361111111111112</x:v>
      </x:c>
      <x:c r="I532" s="32" t="n">
        <x:f>ROUND((H532-G532)*1440,0)</x:f>
        <x:v>4</x:v>
      </x:c>
      <x:c r="J532" s="13" t="str">
        <x:v>Разминочное лазание</x:v>
      </x:c>
      <x:c r="K532" s="13" t="str">
        <x:v>Пройди 2 трассы уровня 2–3, затем сделай 2–3 движения на комфортной четвёрке. Между ними 45–60 секунд.</x:v>
      </x:c>
      <x:c r="L532" s="13" t="str">
        <x:v>☐ Не начато</x:v>
      </x:c>
      <x:c r="M532" s="13" t="str">
        <x:v>Обязательно</x:v>
      </x:c>
      <x:c r="N532" s="13" t="str">
        <x:v>RPE 3–4</x:v>
      </x:c>
      <x:c r="O532" s="13" t="str">
        <x:v>Разминка не должна утомить пальцы.</x:v>
      </x:c>
      <x:c r="P532" s="13" t="str">
        <x:v>milestone_02_footwork_body_position/week_08_2026-10-26/02_TUESDAY.md</x:v>
      </x:c>
      <x:c r="Q532" s="138" t="str">
        <x:v>Markdown</x:v>
      </x:c>
      <x:c r="R532" s="20" t="str"/>
    </x:row>
    <x:row r="533" ht="36" customHeight="1">
      <x:c r="A533" s="19" t="str">
        <x:v>W08-20261027-0532</x:v>
      </x:c>
      <x:c r="B533" s="13" t="n">
        <x:v>8</x:v>
      </x:c>
      <x:c r="C533" s="13" t="str">
        <x:v>Этап 2 — Ноги и положение корпуса</x:v>
      </x:c>
      <x:c r="D533" s="138" t="str">
        <x:v>2026-10-27</x:v>
      </x:c>
      <x:c r="E533" s="13" t="str">
        <x:v>Вторник</x:v>
      </x:c>
      <x:c r="F533" s="13" t="str">
        <x:v>Тренировка A — техника/объём</x:v>
      </x:c>
      <x:c r="G533" s="44" t="n">
        <x:v>0.017361111111111112</x:v>
      </x:c>
      <x:c r="H533" s="44" t="n">
        <x:v>0.021527777777777778</x:v>
      </x:c>
      <x:c r="I533" s="32" t="n">
        <x:f>ROUND((H533-G533)*1440,0)</x:f>
        <x:v>6</x:v>
      </x:c>
      <x:c r="J533" s="13" t="str">
        <x:v>Техника</x:v>
      </x:c>
      <x:c r="K533" s="13" t="str">
        <x:v>Короткий технический праймер «Смена ног»: выбери одну трассу 2–3 и пройди её дважды. Подведи вторую стопу к свободному краю зацепа. На мгновение раздели зацеп двумя носками либо сделай контролируемый hop-swap только на очень лёгком варианте.</x:v>
      </x:c>
      <x:c r="L533" s="13" t="str">
        <x:v>☐ Не начато</x:v>
      </x:c>
      <x:c r="M533" s="13" t="str">
        <x:v>Обязательно</x:v>
      </x:c>
      <x:c r="N533" s="13" t="str">
        <x:v>RPE 3–4</x:v>
      </x:c>
      <x:c r="O533" s="13" t="str">
        <x:v>Колено следует направлению носка. Прыжковую смену не использовать при неуверенности.</x:v>
      </x:c>
      <x:c r="P533" s="13" t="str">
        <x:v>milestone_02_footwork_body_position/week_08_2026-10-26/02_TUESDAY.md</x:v>
      </x:c>
      <x:c r="Q533" s="138" t="str">
        <x:v>Markdown</x:v>
      </x:c>
      <x:c r="R533" s="20" t="str"/>
    </x:row>
    <x:row r="534" ht="36" customHeight="1">
      <x:c r="A534" s="19" t="str">
        <x:v>W08-20261027-0533</x:v>
      </x:c>
      <x:c r="B534" s="13" t="n">
        <x:v>8</x:v>
      </x:c>
      <x:c r="C534" s="13" t="str">
        <x:v>Этап 2 — Ноги и положение корпуса</x:v>
      </x:c>
      <x:c r="D534" s="138" t="str">
        <x:v>2026-10-27</x:v>
      </x:c>
      <x:c r="E534" s="13" t="str">
        <x:v>Вторник</x:v>
      </x:c>
      <x:c r="F534" s="13" t="str">
        <x:v>Тренировка A — техника/объём</x:v>
      </x:c>
      <x:c r="G534" s="44" t="n">
        <x:v>0.021527777777777778</x:v>
      </x:c>
      <x:c r="H534" s="44" t="n">
        <x:v>0.03888888888888889</x:v>
      </x:c>
      <x:c r="I534" s="32" t="n">
        <x:f>ROUND((H534-G534)*1440,0)</x:f>
        <x:v>25</x:v>
      </x:c>
      <x:c r="J534" s="13" t="str">
        <x:v>Контрольный объём</x:v>
      </x:c>
      <x:c r="K534" s="13" t="str">
        <x:v>Пройди 4 новые четвёрки. На каждую максимум 2 попытки; отдых 2:00–2:30. После первой неудачи назови одну техническую правку.</x:v>
      </x:c>
      <x:c r="L534" s="13" t="str">
        <x:v>☐ Не начато</x:v>
      </x:c>
      <x:c r="M534" s="13" t="str">
        <x:v>Обязательно</x:v>
      </x:c>
      <x:c r="N534" s="13" t="str">
        <x:v>RPE 6–8</x:v>
      </x:c>
      <x:c r="O534" s="13" t="str">
        <x:v>Разгрузка. Колено держать по направлению носка; не ловить равновесие болезненным толчком рукой.</x:v>
      </x:c>
      <x:c r="P534" s="13" t="str">
        <x:v>milestone_02_footwork_body_position/week_08_2026-10-26/02_TUESDAY.md</x:v>
      </x:c>
      <x:c r="Q534" s="138" t="str">
        <x:v>Markdown</x:v>
      </x:c>
      <x:c r="R534" s="20" t="str"/>
    </x:row>
    <x:row r="535" ht="36" customHeight="1">
      <x:c r="A535" s="19" t="str">
        <x:v>W08-20261027-0534</x:v>
      </x:c>
      <x:c r="B535" s="13" t="n">
        <x:v>8</x:v>
      </x:c>
      <x:c r="C535" s="13" t="str">
        <x:v>Этап 2 — Ноги и положение корпуса</x:v>
      </x:c>
      <x:c r="D535" s="138" t="str">
        <x:v>2026-10-27</x:v>
      </x:c>
      <x:c r="E535" s="13" t="str">
        <x:v>Вторник</x:v>
      </x:c>
      <x:c r="F535" s="13" t="str">
        <x:v>Тренировка A — техника/объём</x:v>
      </x:c>
      <x:c r="G535" s="44" t="n">
        <x:v>0.03888888888888889</x:v>
      </x:c>
      <x:c r="H535" s="44" t="n">
        <x:v>0.05625</x:v>
      </x:c>
      <x:c r="I535" s="32" t="n">
        <x:f>ROUND((H535-G535)*1440,0)</x:f>
        <x:v>25</x:v>
      </x:c>
      <x:c r="J535" s="13" t="str">
        <x:v>Контрольный объём</x:v>
      </x:c>
      <x:c r="K535" s="13" t="str">
        <x:v>Попробуй 3 новые пятёрки. На каждую максимум 3 попытки; отдых 3:00. Отметь трассу, попытки и результат в трекере/BETA7.</x:v>
      </x:c>
      <x:c r="L535" s="13" t="str">
        <x:v>☐ Не начато</x:v>
      </x:c>
      <x:c r="M535" s="13" t="str">
        <x:v>Обязательно</x:v>
      </x:c>
      <x:c r="N535" s="13" t="str">
        <x:v>RPE 7–8, без отказа</x:v>
      </x:c>
      <x:c r="O535" s="13" t="str">
        <x:v>После двух явно хуже выполненных попыток блок закончить.</x:v>
      </x:c>
      <x:c r="P535" s="13" t="str">
        <x:v>milestone_02_footwork_body_position/week_08_2026-10-26/02_TUESDAY.md</x:v>
      </x:c>
      <x:c r="Q535" s="138" t="str">
        <x:v>Markdown</x:v>
      </x:c>
      <x:c r="R535" s="20" t="str"/>
    </x:row>
    <x:row r="536" ht="36" customHeight="1">
      <x:c r="A536" s="19" t="str">
        <x:v>W08-20261027-0535</x:v>
      </x:c>
      <x:c r="B536" s="13" t="n">
        <x:v>8</x:v>
      </x:c>
      <x:c r="C536" s="13" t="str">
        <x:v>Этап 2 — Ноги и положение корпуса</x:v>
      </x:c>
      <x:c r="D536" s="138" t="str">
        <x:v>2026-10-27</x:v>
      </x:c>
      <x:c r="E536" s="13" t="str">
        <x:v>Вторник</x:v>
      </x:c>
      <x:c r="F536" s="13" t="str">
        <x:v>Тренировка A — техника/объём</x:v>
      </x:c>
      <x:c r="G536" s="44" t="n">
        <x:v>0.05625</x:v>
      </x:c>
      <x:c r="H536" s="44" t="n">
        <x:v>0.058333333333333334</x:v>
      </x:c>
      <x:c r="I536" s="32" t="n">
        <x:f>ROUND((H536-G536)*1440,0)</x:f>
        <x:v>3</x:v>
      </x:c>
      <x:c r="J536" s="13" t="str">
        <x:v>Проверка хвата</x:v>
      </x:c>
      <x:c r="K536" s="13" t="str">
        <x:v>Запиши минуту, когда впервые заметно снизилась способность держать обычные кромки. Не устраивай дополнительный тест висом.</x:v>
      </x:c>
      <x:c r="L536" s="13" t="str">
        <x:v>☐ Не начато</x:v>
      </x:c>
      <x:c r="M536" s="13" t="str">
        <x:v>Обязательно</x:v>
      </x:c>
      <x:c r="N536" s="13" t="str">
        <x:v>Без дополнительной нагрузки</x:v>
      </x:c>
      <x:c r="O536" s="13" t="str"/>
      <x:c r="P536" s="13" t="str">
        <x:v>milestone_02_footwork_body_position/week_08_2026-10-26/02_TUESDAY.md</x:v>
      </x:c>
      <x:c r="Q536" s="138" t="str">
        <x:v>Markdown</x:v>
      </x:c>
      <x:c r="R536" s="20" t="str"/>
    </x:row>
    <x:row r="537" ht="36" customHeight="1">
      <x:c r="A537" s="19" t="str">
        <x:v>W08-20261027-0536</x:v>
      </x:c>
      <x:c r="B537" s="13" t="n">
        <x:v>8</x:v>
      </x:c>
      <x:c r="C537" s="13" t="str">
        <x:v>Этап 2 — Ноги и положение корпуса</x:v>
      </x:c>
      <x:c r="D537" s="138" t="str">
        <x:v>2026-10-27</x:v>
      </x:c>
      <x:c r="E537" s="13" t="str">
        <x:v>Вторник</x:v>
      </x:c>
      <x:c r="F537" s="13" t="str">
        <x:v>Тренировка A — техника/объём</x:v>
      </x:c>
      <x:c r="G537" s="44" t="n">
        <x:v>0.058333333333333334</x:v>
      </x:c>
      <x:c r="H537" s="44" t="n">
        <x:v>0.06041666666666667</x:v>
      </x:c>
      <x:c r="I537" s="32" t="n">
        <x:f>ROUND((H537-G537)*1440,0)</x:f>
        <x:v>3</x:v>
      </x:c>
      <x:c r="J537" s="13" t="str">
        <x:v>Завершение</x:v>
      </x:c>
      <x:c r="K537" s="13" t="str">
        <x:v>Пройди или спустись по одной очень лёгкой трассе; встряхни руки, спокойно походи.</x:v>
      </x:c>
      <x:c r="L537" s="13" t="str">
        <x:v>☐ Не начато</x:v>
      </x:c>
      <x:c r="M537" s="13" t="str">
        <x:v>Обязательно</x:v>
      </x:c>
      <x:c r="N537" s="13" t="str">
        <x:v>RPE 1–2</x:v>
      </x:c>
      <x:c r="O537" s="13" t="str"/>
      <x:c r="P537" s="13" t="str">
        <x:v>milestone_02_footwork_body_position/week_08_2026-10-26/02_TUESDAY.md</x:v>
      </x:c>
      <x:c r="Q537" s="138" t="str">
        <x:v>Markdown</x:v>
      </x:c>
      <x:c r="R537" s="20" t="str"/>
    </x:row>
    <x:row r="538" ht="36" customHeight="1">
      <x:c r="A538" s="19" t="str">
        <x:v>W08-20261027-0537</x:v>
      </x:c>
      <x:c r="B538" s="13" t="n">
        <x:v>8</x:v>
      </x:c>
      <x:c r="C538" s="13" t="str">
        <x:v>Этап 2 — Ноги и положение корпуса</x:v>
      </x:c>
      <x:c r="D538" s="138" t="str">
        <x:v>2026-10-27</x:v>
      </x:c>
      <x:c r="E538" s="13" t="str">
        <x:v>Вторник</x:v>
      </x:c>
      <x:c r="F538" s="13" t="str">
        <x:v>Тренировка A — техника/объём</x:v>
      </x:c>
      <x:c r="G538" s="44" t="n">
        <x:v>0.06041666666666667</x:v>
      </x:c>
      <x:c r="H538" s="44" t="n">
        <x:v>0.0625</x:v>
      </x:c>
      <x:c r="I538" s="32" t="n">
        <x:f>ROUND((H538-G538)*1440,0)</x:f>
        <x:v>3</x:v>
      </x:c>
      <x:c r="J538" s="13" t="str">
        <x:v>Журнал</x:v>
      </x:c>
      <x:c r="K538" s="13" t="str">
        <x:v>Запиши результат и benchmark недели: Тест: 4 четвёрки + 3 пятёрки; отметить процент точных постановок стоп и минуту просадки хвата.</x:v>
      </x:c>
      <x:c r="L538" s="13" t="str">
        <x:v>☐ Не начато</x:v>
      </x:c>
      <x:c r="M538" s="13" t="str">
        <x:v>Обязательно</x:v>
      </x:c>
      <x:c r="N538" s="13" t="str">
        <x:v>Без нагрузки</x:v>
      </x:c>
      <x:c r="O538" s="13" t="str"/>
      <x:c r="P538" s="13" t="str">
        <x:v>milestone_02_footwork_body_position/week_08_2026-10-26/02_TUESDAY.md</x:v>
      </x:c>
      <x:c r="Q538" s="138" t="str">
        <x:v>Markdown</x:v>
      </x:c>
      <x:c r="R538" s="20" t="str"/>
    </x:row>
    <x:row r="539" ht="36" customHeight="1">
      <x:c r="A539" s="19" t="str">
        <x:v>W08-20261028-0538</x:v>
      </x:c>
      <x:c r="B539" s="13" t="n">
        <x:v>8</x:v>
      </x:c>
      <x:c r="C539" s="13" t="str">
        <x:v>Этап 2 — Ноги и положение корпуса</x:v>
      </x:c>
      <x:c r="D539" s="138" t="str">
        <x:v>2026-10-28</x:v>
      </x:c>
      <x:c r="E539" s="13" t="str">
        <x:v>Среда</x:v>
      </x:c>
      <x:c r="F539" s="13" t="str">
        <x:v>Восстановление / видео</x:v>
      </x:c>
      <x:c r="G539" s="44" t="n">
        <x:v>0</x:v>
      </x:c>
      <x:c r="H539" s="44" t="n">
        <x:v>0.006944444444444444</x:v>
      </x:c>
      <x:c r="I539" s="32" t="n">
        <x:f>ROUND((H539-G539)*1440,0)</x:f>
        <x:v>10</x:v>
      </x:c>
      <x:c r="J539" s="13" t="str">
        <x:v>Восстановление</x:v>
      </x:c>
      <x:c r="K539" s="13" t="str">
        <x:v>10 минут спокойной ходьбы. Руки расслаблены; это не тренировка выносливости.</x:v>
      </x:c>
      <x:c r="L539" s="13" t="str">
        <x:v>☐ Не начато</x:v>
      </x:c>
      <x:c r="M539" s="13" t="str">
        <x:v>Обязательно</x:v>
      </x:c>
      <x:c r="N539" s="13" t="str">
        <x:v>RPE 1–2</x:v>
      </x:c>
      <x:c r="O539" s="13" t="str"/>
      <x:c r="P539" s="13" t="str">
        <x:v>milestone_02_footwork_body_position/week_08_2026-10-26/03_WEDNESDAY.md</x:v>
      </x:c>
      <x:c r="Q539" s="138" t="str">
        <x:v>Markdown</x:v>
      </x:c>
      <x:c r="R539" s="20" t="str"/>
    </x:row>
    <x:row r="540" ht="36" customHeight="1">
      <x:c r="A540" s="19" t="str">
        <x:v>W08-20261028-0539</x:v>
      </x:c>
      <x:c r="B540" s="13" t="n">
        <x:v>8</x:v>
      </x:c>
      <x:c r="C540" s="13" t="str">
        <x:v>Этап 2 — Ноги и положение корпуса</x:v>
      </x:c>
      <x:c r="D540" s="138" t="str">
        <x:v>2026-10-28</x:v>
      </x:c>
      <x:c r="E540" s="13" t="str">
        <x:v>Среда</x:v>
      </x:c>
      <x:c r="F540" s="13" t="str">
        <x:v>Восстановление / видео</x:v>
      </x:c>
      <x:c r="G540" s="44" t="n">
        <x:v>0.006944444444444444</x:v>
      </x:c>
      <x:c r="H540" s="44" t="n">
        <x:v>0.009027777777777777</x:v>
      </x:c>
      <x:c r="I540" s="32" t="n">
        <x:f>ROUND((H540-G540)*1440,0)</x:f>
        <x:v>3</x:v>
      </x:c>
      <x:c r="J540" s="13" t="str">
        <x:v>Самопроверка</x:v>
      </x:c>
      <x:c r="K540" s="13" t="str">
        <x:v>Оцени реакцию после вторника: плечо, пальцы, правое колено 0–10. Запиши, что изменилось относительно вчерашнего утра.</x:v>
      </x:c>
      <x:c r="L540" s="13" t="str">
        <x:v>☐ Не начато</x:v>
      </x:c>
      <x:c r="M540" s="13" t="str">
        <x:v>Обязательно</x:v>
      </x:c>
      <x:c r="N540" s="13" t="str">
        <x:v>Без нагрузки</x:v>
      </x:c>
      <x:c r="O540" s="13" t="str">
        <x:v>Острая локальная боль пальца или ухудшение плеча = не делать четверговую пальцевую нагрузку.</x:v>
      </x:c>
      <x:c r="P540" s="13" t="str">
        <x:v>milestone_02_footwork_body_position/week_08_2026-10-26/03_WEDNESDAY.md</x:v>
      </x:c>
      <x:c r="Q540" s="138" t="str">
        <x:v>Markdown</x:v>
      </x:c>
      <x:c r="R540" s="20" t="str"/>
    </x:row>
    <x:row r="541" ht="36" customHeight="1">
      <x:c r="A541" s="19" t="str">
        <x:v>W08-20261028-0540</x:v>
      </x:c>
      <x:c r="B541" s="13" t="n">
        <x:v>8</x:v>
      </x:c>
      <x:c r="C541" s="13" t="str">
        <x:v>Этап 2 — Ноги и положение корпуса</x:v>
      </x:c>
      <x:c r="D541" s="138" t="str">
        <x:v>2026-10-28</x:v>
      </x:c>
      <x:c r="E541" s="13" t="str">
        <x:v>Среда</x:v>
      </x:c>
      <x:c r="F541" s="13" t="str">
        <x:v>Восстановление / видео</x:v>
      </x:c>
      <x:c r="G541" s="44" t="n">
        <x:v>0.009027777777777777</x:v>
      </x:c>
      <x:c r="H541" s="44" t="n">
        <x:v>0.01597222222222222</x:v>
      </x:c>
      <x:c r="I541" s="32" t="n">
        <x:f>ROUND((H541-G541)*1440,0)</x:f>
        <x:v>10</x:v>
      </x:c>
      <x:c r="J541" s="13" t="str">
        <x:v>Видеоразбор</x:v>
      </x:c>
      <x:c r="K541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541" s="13" t="str">
        <x:v>☐ Не начато</x:v>
      </x:c>
      <x:c r="M541" s="13" t="str">
        <x:v>Обязательно</x:v>
      </x:c>
      <x:c r="N541" s="13" t="str">
        <x:v>Без нагрузки</x:v>
      </x:c>
      <x:c r="O541" s="13" t="str"/>
      <x:c r="P541" s="13" t="str">
        <x:v>milestone_02_footwork_body_position/week_08_2026-10-26/03_WEDNESDAY.md</x:v>
      </x:c>
      <x:c r="Q541" s="138" t="str">
        <x:v>Markdown</x:v>
      </x:c>
      <x:c r="R541" s="20" t="str"/>
    </x:row>
    <x:row r="542" ht="36" customHeight="1">
      <x:c r="A542" s="19" t="str">
        <x:v>W08-20261028-0541</x:v>
      </x:c>
      <x:c r="B542" s="13" t="n">
        <x:v>8</x:v>
      </x:c>
      <x:c r="C542" s="13" t="str">
        <x:v>Этап 2 — Ноги и положение корпуса</x:v>
      </x:c>
      <x:c r="D542" s="138" t="str">
        <x:v>2026-10-28</x:v>
      </x:c>
      <x:c r="E542" s="13" t="str">
        <x:v>Среда</x:v>
      </x:c>
      <x:c r="F542" s="13" t="str">
        <x:v>Восстановление / видео</x:v>
      </x:c>
      <x:c r="G542" s="44" t="n">
        <x:v>0.01597222222222222</x:v>
      </x:c>
      <x:c r="H542" s="44" t="n">
        <x:v>0.01875</x:v>
      </x:c>
      <x:c r="I542" s="32" t="n">
        <x:f>ROUND((H542-G542)*1440,0)</x:f>
        <x:v>4</x:v>
      </x:c>
      <x:c r="J542" s="13" t="str">
        <x:v>Конспект</x:v>
      </x:c>
      <x:c r="K542" s="13" t="str">
        <x:v>Запиши одну правку на четверг в формате «В следующей попытке я…». Используй cue: «Смена ног происходит на носках и с минимальным подпрыгиванием таза.».</x:v>
      </x:c>
      <x:c r="L542" s="13" t="str">
        <x:v>☐ Не начато</x:v>
      </x:c>
      <x:c r="M542" s="13" t="str">
        <x:v>Обязательно</x:v>
      </x:c>
      <x:c r="N542" s="13" t="str">
        <x:v>Без нагрузки</x:v>
      </x:c>
      <x:c r="O542" s="13" t="str"/>
      <x:c r="P542" s="13" t="str">
        <x:v>milestone_02_footwork_body_position/week_08_2026-10-26/03_WEDNESDAY.md</x:v>
      </x:c>
      <x:c r="Q542" s="138" t="str">
        <x:v>Markdown</x:v>
      </x:c>
      <x:c r="R542" s="20" t="str"/>
    </x:row>
    <x:row r="543" ht="36" customHeight="1">
      <x:c r="A543" s="19" t="str">
        <x:v>W08-20261028-0542</x:v>
      </x:c>
      <x:c r="B543" s="13" t="n">
        <x:v>8</x:v>
      </x:c>
      <x:c r="C543" s="13" t="str">
        <x:v>Этап 2 — Ноги и положение корпуса</x:v>
      </x:c>
      <x:c r="D543" s="138" t="str">
        <x:v>2026-10-28</x:v>
      </x:c>
      <x:c r="E543" s="13" t="str">
        <x:v>Среда</x:v>
      </x:c>
      <x:c r="F543" s="13" t="str">
        <x:v>Восстановление / видео</x:v>
      </x:c>
      <x:c r="G543" s="44" t="n">
        <x:v>0.01875</x:v>
      </x:c>
      <x:c r="H543" s="44" t="n">
        <x:v>0.027083333333333334</x:v>
      </x:c>
      <x:c r="I543" s="32" t="n">
        <x:f>ROUND((H543-G543)*1440,0)</x:f>
        <x:v>12</x:v>
      </x:c>
      <x:c r="J543" s="13" t="str">
        <x:v>Домашняя мобильность</x:v>
      </x:c>
      <x:c r="K543" s="13" t="str">
        <x:v>Выполни комплекс H2 «Баланс и опора ног», 12 минут. Ни турника, ни колец для дополнительного хвата.</x:v>
      </x:c>
      <x:c r="L543" s="13" t="str">
        <x:v>☐ Не начато</x:v>
      </x:c>
      <x:c r="M543" s="13" t="str">
        <x:v>Обязательно</x:v>
      </x:c>
      <x:c r="N543" s="13" t="str">
        <x:v>RPE 2–3</x:v>
      </x:c>
      <x:c r="O543" s="13" t="str">
        <x:v>Не уходи в глубокий присед. Стена используется как страховка; упражнение не должно провоцировать правое колено.</x:v>
      </x:c>
      <x:c r="P543" s="13" t="str">
        <x:v>milestone_02_footwork_body_position/week_08_2026-10-26/03_WEDNESDAY.md</x:v>
      </x:c>
      <x:c r="Q543" s="138" t="str">
        <x:v>Markdown</x:v>
      </x:c>
      <x:c r="R543" s="20" t="str"/>
    </x:row>
    <x:row r="544" ht="36" customHeight="1">
      <x:c r="A544" s="19" t="str">
        <x:v>W08-20261028-0543</x:v>
      </x:c>
      <x:c r="B544" s="13" t="n">
        <x:v>8</x:v>
      </x:c>
      <x:c r="C544" s="13" t="str">
        <x:v>Этап 2 — Ноги и положение корпуса</x:v>
      </x:c>
      <x:c r="D544" s="138" t="str">
        <x:v>2026-10-28</x:v>
      </x:c>
      <x:c r="E544" s="13" t="str">
        <x:v>Среда</x:v>
      </x:c>
      <x:c r="F544" s="13" t="str">
        <x:v>Восстановление / видео</x:v>
      </x:c>
      <x:c r="G544" s="44" t="n">
        <x:v>0.027083333333333334</x:v>
      </x:c>
      <x:c r="H544" s="44" t="n">
        <x:v>0.04097222222222222</x:v>
      </x:c>
      <x:c r="I544" s="32" t="n">
        <x:f>ROUND((H544-G544)*1440,0)</x:f>
        <x:v>20</x:v>
      </x:c>
      <x:c r="J544" s="13" t="str">
        <x:v>Физиотерапия</x:v>
      </x:c>
      <x:c r="K544" s="13" t="str">
        <x:v>Выполни свой назначенный физиотерапевтом комплекс, если среда входит в его расписание.</x:v>
      </x:c>
      <x:c r="L544" s="13" t="str">
        <x:v>☐ Не начато</x:v>
      </x:c>
      <x:c r="M544" s="13" t="str">
        <x:v>По назначению</x:v>
      </x:c>
      <x:c r="N544" s="13" t="str">
        <x:v>По назначению</x:v>
      </x:c>
      <x:c r="O544" s="13" t="str">
        <x:v>Назначения физиотерапевта имеют приоритет.</x:v>
      </x:c>
      <x:c r="P544" s="13" t="str">
        <x:v>milestone_02_footwork_body_position/week_08_2026-10-26/03_WEDNESDAY.md</x:v>
      </x:c>
      <x:c r="Q544" s="138" t="str">
        <x:v>Markdown</x:v>
      </x:c>
      <x:c r="R544" s="20" t="str"/>
    </x:row>
    <x:row r="545" ht="36" customHeight="1">
      <x:c r="A545" s="19" t="str">
        <x:v>W08-20261028-0544</x:v>
      </x:c>
      <x:c r="B545" s="13" t="n">
        <x:v>8</x:v>
      </x:c>
      <x:c r="C545" s="13" t="str">
        <x:v>Этап 2 — Ноги и положение корпуса</x:v>
      </x:c>
      <x:c r="D545" s="138" t="str">
        <x:v>2026-10-28</x:v>
      </x:c>
      <x:c r="E545" s="13" t="str">
        <x:v>Среда</x:v>
      </x:c>
      <x:c r="F545" s="13" t="str">
        <x:v>Восстановление / видео</x:v>
      </x:c>
      <x:c r="G545" s="44" t="n">
        <x:v>0.04097222222222222</x:v>
      </x:c>
      <x:c r="H545" s="44" t="n">
        <x:v>0.043055555555555555</x:v>
      </x:c>
      <x:c r="I545" s="32" t="n">
        <x:f>ROUND((H545-G545)*1440,0)</x:f>
        <x:v>3</x:v>
      </x:c>
      <x:c r="J545" s="13" t="str">
        <x:v>Запрет лишней нагрузки</x:v>
      </x:c>
      <x:c r="K545" s="13" t="str">
        <x:v>Поставь отметку: сегодня не было висов, подтягиваний «на проверку», эспандера-сжимателя или тяжёлого ношения.</x:v>
      </x:c>
      <x:c r="L545" s="13" t="str">
        <x:v>☐ Не начато</x:v>
      </x:c>
      <x:c r="M545" s="13" t="str">
        <x:v>Обязательно</x:v>
      </x:c>
      <x:c r="N545" s="13" t="str">
        <x:v>Восстановление</x:v>
      </x:c>
      <x:c r="O545" s="13" t="str"/>
      <x:c r="P545" s="13" t="str">
        <x:v>milestone_02_footwork_body_position/week_08_2026-10-26/03_WEDNESDAY.md</x:v>
      </x:c>
      <x:c r="Q545" s="138" t="str">
        <x:v>Markdown</x:v>
      </x:c>
      <x:c r="R545" s="20" t="str"/>
    </x:row>
    <x:row r="546" ht="36" customHeight="1">
      <x:c r="A546" s="19" t="str">
        <x:v>W08-20261029-0545</x:v>
      </x:c>
      <x:c r="B546" s="13" t="n">
        <x:v>8</x:v>
      </x:c>
      <x:c r="C546" s="13" t="str">
        <x:v>Этап 2 — Ноги и положение корпуса</x:v>
      </x:c>
      <x:c r="D546" s="138" t="str">
        <x:v>2026-10-29</x:v>
      </x:c>
      <x:c r="E546" s="13" t="str">
        <x:v>Четверг</x:v>
      </x:c>
      <x:c r="F546" s="13" t="str">
        <x:v>Тренировка B — пальцы/проект</x:v>
      </x:c>
      <x:c r="G546" s="44" t="n">
        <x:v>0</x:v>
      </x:c>
      <x:c r="H546" s="44" t="n">
        <x:v>0.0020833333333333333</x:v>
      </x:c>
      <x:c r="I546" s="32" t="n">
        <x:f>ROUND((H546-G546)*1440,0)</x:f>
        <x:v>3</x:v>
      </x:c>
      <x:c r="J546" s="13" t="str">
        <x:v>Самопроверка</x:v>
      </x:c>
      <x:c r="K546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546" s="13" t="str">
        <x:v>☐ Не начато</x:v>
      </x:c>
      <x:c r="M546" s="13" t="str">
        <x:v>Обязательно</x:v>
      </x:c>
      <x:c r="N546" s="13" t="str">
        <x:v>Без нагрузки</x:v>
      </x:c>
      <x:c r="O546" s="13" t="str">
        <x:v>Красный флаг = не начинать пальцевую нагрузку.</x:v>
      </x:c>
      <x:c r="P546" s="13" t="str">
        <x:v>milestone_02_footwork_body_position/week_08_2026-10-26/04_THURSDAY.md</x:v>
      </x:c>
      <x:c r="Q546" s="138" t="str">
        <x:v>Markdown</x:v>
      </x:c>
      <x:c r="R546" s="20" t="str"/>
    </x:row>
    <x:row r="547" ht="36" customHeight="1">
      <x:c r="A547" s="19" t="str">
        <x:v>W08-20261029-0546</x:v>
      </x:c>
      <x:c r="B547" s="13" t="n">
        <x:v>8</x:v>
      </x:c>
      <x:c r="C547" s="13" t="str">
        <x:v>Этап 2 — Ноги и положение корпуса</x:v>
      </x:c>
      <x:c r="D547" s="138" t="str">
        <x:v>2026-10-29</x:v>
      </x:c>
      <x:c r="E547" s="13" t="str">
        <x:v>Четверг</x:v>
      </x:c>
      <x:c r="F547" s="13" t="str">
        <x:v>Тренировка B — пальцы/проект</x:v>
      </x:c>
      <x:c r="G547" s="44" t="n">
        <x:v>0.0020833333333333333</x:v>
      </x:c>
      <x:c r="H547" s="44" t="n">
        <x:v>0.005555555555555556</x:v>
      </x:c>
      <x:c r="I547" s="32" t="n">
        <x:f>ROUND((H547-G547)*1440,0)</x:f>
        <x:v>5</x:v>
      </x:c>
      <x:c r="J547" s="13" t="str">
        <x:v>Разминка</x:v>
      </x:c>
      <x:c r="K547" s="13" t="str">
        <x:v>Подними температуру: быстрая ходьба, лестница или лёгкий велотренажёр 5 минут.</x:v>
      </x:c>
      <x:c r="L547" s="13" t="str">
        <x:v>☐ Не начато</x:v>
      </x:c>
      <x:c r="M547" s="13" t="str">
        <x:v>Обязательно</x:v>
      </x:c>
      <x:c r="N547" s="13" t="str">
        <x:v>RPE 2–3</x:v>
      </x:c>
      <x:c r="O547" s="13" t="str"/>
      <x:c r="P547" s="13" t="str">
        <x:v>milestone_02_footwork_body_position/week_08_2026-10-26/04_THURSDAY.md</x:v>
      </x:c>
      <x:c r="Q547" s="138" t="str">
        <x:v>Markdown</x:v>
      </x:c>
      <x:c r="R547" s="20" t="str"/>
    </x:row>
    <x:row r="548" ht="36" customHeight="1">
      <x:c r="A548" s="19" t="str">
        <x:v>W08-20261029-0547</x:v>
      </x:c>
      <x:c r="B548" s="13" t="n">
        <x:v>8</x:v>
      </x:c>
      <x:c r="C548" s="13" t="str">
        <x:v>Этап 2 — Ноги и положение корпуса</x:v>
      </x:c>
      <x:c r="D548" s="138" t="str">
        <x:v>2026-10-29</x:v>
      </x:c>
      <x:c r="E548" s="13" t="str">
        <x:v>Четверг</x:v>
      </x:c>
      <x:c r="F548" s="13" t="str">
        <x:v>Тренировка B — пальцы/проект</x:v>
      </x:c>
      <x:c r="G548" s="44" t="n">
        <x:v>0.005555555555555556</x:v>
      </x:c>
      <x:c r="H548" s="44" t="n">
        <x:v>0.009027777777777777</x:v>
      </x:c>
      <x:c r="I548" s="32" t="n">
        <x:f>ROUND((H548-G548)*1440,0)</x:f>
        <x:v>5</x:v>
      </x:c>
      <x:c r="J548" s="13" t="str">
        <x:v>Разминка</x:v>
      </x:c>
      <x:c r="K548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548" s="13" t="str">
        <x:v>☐ Не начато</x:v>
      </x:c>
      <x:c r="M548" s="13" t="str">
        <x:v>Обязательно</x:v>
      </x:c>
      <x:c r="N548" s="13" t="str">
        <x:v>Очень легко</x:v>
      </x:c>
      <x:c r="O548" s="13" t="str">
        <x:v>Не делай press/отжимания и движения, которые раздражают плечо.</x:v>
      </x:c>
      <x:c r="P548" s="13" t="str">
        <x:v>milestone_02_footwork_body_position/week_08_2026-10-26/04_THURSDAY.md</x:v>
      </x:c>
      <x:c r="Q548" s="138" t="str">
        <x:v>Markdown</x:v>
      </x:c>
      <x:c r="R548" s="20" t="str"/>
    </x:row>
    <x:row r="549" ht="36" customHeight="1">
      <x:c r="A549" s="19" t="str">
        <x:v>W08-20261029-0548</x:v>
      </x:c>
      <x:c r="B549" s="13" t="n">
        <x:v>8</x:v>
      </x:c>
      <x:c r="C549" s="13" t="str">
        <x:v>Этап 2 — Ноги и положение корпуса</x:v>
      </x:c>
      <x:c r="D549" s="138" t="str">
        <x:v>2026-10-29</x:v>
      </x:c>
      <x:c r="E549" s="13" t="str">
        <x:v>Четверг</x:v>
      </x:c>
      <x:c r="F549" s="13" t="str">
        <x:v>Тренировка B — пальцы/проект</x:v>
      </x:c>
      <x:c r="G549" s="44" t="n">
        <x:v>0.009027777777777777</x:v>
      </x:c>
      <x:c r="H549" s="44" t="n">
        <x:v>0.011805555555555555</x:v>
      </x:c>
      <x:c r="I549" s="32" t="n">
        <x:f>ROUND((H549-G549)*1440,0)</x:f>
        <x:v>4</x:v>
      </x:c>
      <x:c r="J549" s="13" t="str">
        <x:v>Разминка пальцев</x:v>
      </x:c>
      <x:c r="K549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549" s="13" t="str">
        <x:v>☐ Не начато</x:v>
      </x:c>
      <x:c r="M549" s="13" t="str">
        <x:v>Обязательно</x:v>
      </x:c>
      <x:c r="N549" s="13" t="str">
        <x:v>Очень легко</x:v>
      </x:c>
      <x:c r="O549" s="13" t="str"/>
      <x:c r="P549" s="13" t="str">
        <x:v>milestone_02_footwork_body_position/week_08_2026-10-26/04_THURSDAY.md</x:v>
      </x:c>
      <x:c r="Q549" s="138" t="str">
        <x:v>Markdown</x:v>
      </x:c>
      <x:c r="R549" s="20" t="str"/>
    </x:row>
    <x:row r="550" ht="36" customHeight="1">
      <x:c r="A550" s="19" t="str">
        <x:v>W08-20261029-0549</x:v>
      </x:c>
      <x:c r="B550" s="13" t="n">
        <x:v>8</x:v>
      </x:c>
      <x:c r="C550" s="13" t="str">
        <x:v>Этап 2 — Ноги и положение корпуса</x:v>
      </x:c>
      <x:c r="D550" s="138" t="str">
        <x:v>2026-10-29</x:v>
      </x:c>
      <x:c r="E550" s="13" t="str">
        <x:v>Четверг</x:v>
      </x:c>
      <x:c r="F550" s="13" t="str">
        <x:v>Тренировка B — пальцы/проект</x:v>
      </x:c>
      <x:c r="G550" s="44" t="n">
        <x:v>0.011805555555555555</x:v>
      </x:c>
      <x:c r="H550" s="44" t="n">
        <x:v>0.014583333333333334</x:v>
      </x:c>
      <x:c r="I550" s="32" t="n">
        <x:f>ROUND((H550-G550)*1440,0)</x:f>
        <x:v>4</x:v>
      </x:c>
      <x:c r="J550" s="13" t="str">
        <x:v>Разминочное лазание</x:v>
      </x:c>
      <x:c r="K550" s="13" t="str">
        <x:v>Пройди 2 очень лёгкие трассы уровня 1–2; двигайся медленно, спускайся по зацепам.</x:v>
      </x:c>
      <x:c r="L550" s="13" t="str">
        <x:v>☐ Не начато</x:v>
      </x:c>
      <x:c r="M550" s="13" t="str">
        <x:v>Обязательно</x:v>
      </x:c>
      <x:c r="N550" s="13" t="str">
        <x:v>RPE 2–3</x:v>
      </x:c>
      <x:c r="O550" s="13" t="str">
        <x:v>Финиш с обязательным болезненным mantle/press пропусти.</x:v>
      </x:c>
      <x:c r="P550" s="13" t="str">
        <x:v>milestone_02_footwork_body_position/week_08_2026-10-26/04_THURSDAY.md</x:v>
      </x:c>
      <x:c r="Q550" s="138" t="str">
        <x:v>Markdown</x:v>
      </x:c>
      <x:c r="R550" s="20" t="str"/>
    </x:row>
    <x:row r="551" ht="36" customHeight="1">
      <x:c r="A551" s="19" t="str">
        <x:v>W08-20261029-0550</x:v>
      </x:c>
      <x:c r="B551" s="13" t="n">
        <x:v>8</x:v>
      </x:c>
      <x:c r="C551" s="13" t="str">
        <x:v>Этап 2 — Ноги и положение корпуса</x:v>
      </x:c>
      <x:c r="D551" s="138" t="str">
        <x:v>2026-10-29</x:v>
      </x:c>
      <x:c r="E551" s="13" t="str">
        <x:v>Четверг</x:v>
      </x:c>
      <x:c r="F551" s="13" t="str">
        <x:v>Тренировка B — пальцы/проект</x:v>
      </x:c>
      <x:c r="G551" s="44" t="n">
        <x:v>0.014583333333333334</x:v>
      </x:c>
      <x:c r="H551" s="44" t="n">
        <x:v>0.017361111111111112</x:v>
      </x:c>
      <x:c r="I551" s="32" t="n">
        <x:f>ROUND((H551-G551)*1440,0)</x:f>
        <x:v>4</x:v>
      </x:c>
      <x:c r="J551" s="13" t="str">
        <x:v>Разминочное лазание</x:v>
      </x:c>
      <x:c r="K551" s="13" t="str">
        <x:v>Пройди 2 трассы уровня 2–3, затем сделай 2–3 движения на комфортной четвёрке. Между ними 45–60 секунд.</x:v>
      </x:c>
      <x:c r="L551" s="13" t="str">
        <x:v>☐ Не начато</x:v>
      </x:c>
      <x:c r="M551" s="13" t="str">
        <x:v>Обязательно</x:v>
      </x:c>
      <x:c r="N551" s="13" t="str">
        <x:v>RPE 3–4</x:v>
      </x:c>
      <x:c r="O551" s="13" t="str">
        <x:v>Разминка не должна утомить пальцы.</x:v>
      </x:c>
      <x:c r="P551" s="13" t="str">
        <x:v>milestone_02_footwork_body_position/week_08_2026-10-26/04_THURSDAY.md</x:v>
      </x:c>
      <x:c r="Q551" s="138" t="str">
        <x:v>Markdown</x:v>
      </x:c>
      <x:c r="R551" s="20" t="str"/>
    </x:row>
    <x:row r="552" ht="36" customHeight="1">
      <x:c r="A552" s="19" t="str">
        <x:v>W08-20261029-0551</x:v>
      </x:c>
      <x:c r="B552" s="13" t="n">
        <x:v>8</x:v>
      </x:c>
      <x:c r="C552" s="13" t="str">
        <x:v>Этап 2 — Ноги и положение корпуса</x:v>
      </x:c>
      <x:c r="D552" s="138" t="str">
        <x:v>2026-10-29</x:v>
      </x:c>
      <x:c r="E552" s="13" t="str">
        <x:v>Четверг</x:v>
      </x:c>
      <x:c r="F552" s="13" t="str">
        <x:v>Тренировка B — пальцы/проект</x:v>
      </x:c>
      <x:c r="G552" s="44" t="n">
        <x:v>0.017361111111111112</x:v>
      </x:c>
      <x:c r="H552" s="44" t="n">
        <x:v>0.019444444444444445</x:v>
      </x:c>
      <x:c r="I552" s="32" t="n">
        <x:f>ROUND((H552-G552)*1440,0)</x:f>
        <x:v>3</x:v>
      </x:c>
      <x:c r="J552" s="13" t="str">
        <x:v>Фингерборд — готовность</x:v>
      </x:c>
      <x:c r="K552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552" s="13" t="str">
        <x:v>☐ Не начато</x:v>
      </x:c>
      <x:c r="M552" s="13" t="str">
        <x:v>Обязательно</x:v>
      </x:c>
      <x:c r="N552" s="13" t="str">
        <x:v>Подготовка</x:v>
      </x:c>
      <x:c r="O552" s="13" t="str">
        <x:v>Плечо полностью спокойно; full crimp, карманы, одна рука и допвес запрещены.</x:v>
      </x:c>
      <x:c r="P552" s="13" t="str">
        <x:v>milestone_02_footwork_body_position/week_08_2026-10-26/04_THURSDAY.md</x:v>
      </x:c>
      <x:c r="Q552" s="138" t="str">
        <x:v>Markdown</x:v>
      </x:c>
      <x:c r="R552" s="20" t="str"/>
    </x:row>
    <x:row r="553" ht="36" customHeight="1">
      <x:c r="A553" s="19" t="str">
        <x:v>W08-20261029-0552</x:v>
      </x:c>
      <x:c r="B553" s="13" t="n">
        <x:v>8</x:v>
      </x:c>
      <x:c r="C553" s="13" t="str">
        <x:v>Этап 2 — Ноги и положение корпуса</x:v>
      </x:c>
      <x:c r="D553" s="138" t="str">
        <x:v>2026-10-29</x:v>
      </x:c>
      <x:c r="E553" s="13" t="str">
        <x:v>Четверг</x:v>
      </x:c>
      <x:c r="F553" s="13" t="str">
        <x:v>Тренировка B — пальцы/проект</x:v>
      </x:c>
      <x:c r="G553" s="44" t="n">
        <x:v>0.019444444444444445</x:v>
      </x:c>
      <x:c r="H553" s="44" t="n">
        <x:v>0.029861111111111113</x:v>
      </x:c>
      <x:c r="I553" s="32" t="n">
        <x:f>ROUND((H553-G553)*1440,0)</x:f>
        <x:v>15</x:v>
      </x:c>
      <x:c r="J553" s="13" t="str">
        <x:v>Фингерборд</x:v>
      </x:c>
      <x:c r="K553" s="13" t="str">
        <x:v>Выполни протокол: 3 × 7 сек, ноги помогают, RPE 6, отдых 2:00. Запусти таймер. Каждый вис прекращай с указанным запасом; форма кисти не меняется.</x:v>
      </x:c>
      <x:c r="L553" s="13" t="str">
        <x:v>☐ Не начато</x:v>
      </x:c>
      <x:c r="M553" s="13" t="str">
        <x:v>Обязательно</x:v>
      </x:c>
      <x:c r="N553" s="13" t="str">
        <x:v>3 × 7 сек, ноги помогают, RPE 6, отдых 2:00</x:v>
      </x:c>
      <x:c r="O553" s="13" t="str">
        <x:v>Острая боль, дрожь формы, падение RPE-контроля или боль плеча = закончить блок.</x:v>
      </x:c>
      <x:c r="P553" s="13" t="str">
        <x:v>milestone_02_footwork_body_position/week_08_2026-10-26/04_THURSDAY.md</x:v>
      </x:c>
      <x:c r="Q553" s="138" t="str">
        <x:v>Markdown</x:v>
      </x:c>
      <x:c r="R553" s="20" t="str"/>
    </x:row>
    <x:row r="554" ht="36" customHeight="1">
      <x:c r="A554" s="19" t="str">
        <x:v>W08-20261029-0553</x:v>
      </x:c>
      <x:c r="B554" s="13" t="n">
        <x:v>8</x:v>
      </x:c>
      <x:c r="C554" s="13" t="str">
        <x:v>Этап 2 — Ноги и положение корпуса</x:v>
      </x:c>
      <x:c r="D554" s="138" t="str">
        <x:v>2026-10-29</x:v>
      </x:c>
      <x:c r="E554" s="13" t="str">
        <x:v>Четверг</x:v>
      </x:c>
      <x:c r="F554" s="13" t="str">
        <x:v>Тренировка B — пальцы/проект</x:v>
      </x:c>
      <x:c r="G554" s="44" t="n">
        <x:v>0.029861111111111113</x:v>
      </x:c>
      <x:c r="H554" s="44" t="n">
        <x:v>0.03194444444444444</x:v>
      </x:c>
      <x:c r="I554" s="32" t="n">
        <x:f>ROUND((H554-G554)*1440,0)</x:f>
        <x:v>3</x:v>
      </x:c>
      <x:c r="J554" s="13" t="str">
        <x:v>Фингерборд — запись</x:v>
      </x:c>
      <x:c r="K554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554" s="13" t="str">
        <x:v>☐ Не начато</x:v>
      </x:c>
      <x:c r="M554" s="13" t="str">
        <x:v>Обязательно</x:v>
      </x:c>
      <x:c r="N554" s="13" t="str">
        <x:v>Без нагрузки</x:v>
      </x:c>
      <x:c r="O554" s="13" t="str"/>
      <x:c r="P554" s="13" t="str">
        <x:v>milestone_02_footwork_body_position/week_08_2026-10-26/04_THURSDAY.md</x:v>
      </x:c>
      <x:c r="Q554" s="138" t="str">
        <x:v>Markdown</x:v>
      </x:c>
      <x:c r="R554" s="20" t="str"/>
    </x:row>
    <x:row r="555" ht="36" customHeight="1">
      <x:c r="A555" s="19" t="str">
        <x:v>W08-20261029-0554</x:v>
      </x:c>
      <x:c r="B555" s="13" t="n">
        <x:v>8</x:v>
      </x:c>
      <x:c r="C555" s="13" t="str">
        <x:v>Этап 2 — Ноги и положение корпуса</x:v>
      </x:c>
      <x:c r="D555" s="138" t="str">
        <x:v>2026-10-29</x:v>
      </x:c>
      <x:c r="E555" s="13" t="str">
        <x:v>Четверг</x:v>
      </x:c>
      <x:c r="F555" s="13" t="str">
        <x:v>Тренировка B — пальцы/проект</x:v>
      </x:c>
      <x:c r="G555" s="44" t="n">
        <x:v>0.03194444444444444</x:v>
      </x:c>
      <x:c r="H555" s="44" t="n">
        <x:v>0.035416666666666666</x:v>
      </x:c>
      <x:c r="I555" s="32" t="n">
        <x:f>ROUND((H555-G555)*1440,0)</x:f>
        <x:v>5</x:v>
      </x:c>
      <x:c r="J555" s="13" t="str">
        <x:v>Отдых</x:v>
      </x:c>
      <x:c r="K555" s="13" t="str">
        <x:v>5 минут полного отдыха: ходьба, вода, без лазания и без тестового виса.</x:v>
      </x:c>
      <x:c r="L555" s="13" t="str">
        <x:v>☐ Не начато</x:v>
      </x:c>
      <x:c r="M555" s="13" t="str">
        <x:v>Обязательно</x:v>
      </x:c>
      <x:c r="N555" s="13" t="str">
        <x:v>Восстановление</x:v>
      </x:c>
      <x:c r="O555" s="13" t="str"/>
      <x:c r="P555" s="13" t="str">
        <x:v>milestone_02_footwork_body_position/week_08_2026-10-26/04_THURSDAY.md</x:v>
      </x:c>
      <x:c r="Q555" s="138" t="str">
        <x:v>Markdown</x:v>
      </x:c>
      <x:c r="R555" s="20" t="str"/>
    </x:row>
    <x:row r="556" ht="36" customHeight="1">
      <x:c r="A556" s="19" t="str">
        <x:v>W08-20261029-0555</x:v>
      </x:c>
      <x:c r="B556" s="13" t="n">
        <x:v>8</x:v>
      </x:c>
      <x:c r="C556" s="13" t="str">
        <x:v>Этап 2 — Ноги и положение корпуса</x:v>
      </x:c>
      <x:c r="D556" s="138" t="str">
        <x:v>2026-10-29</x:v>
      </x:c>
      <x:c r="E556" s="13" t="str">
        <x:v>Четверг</x:v>
      </x:c>
      <x:c r="F556" s="13" t="str">
        <x:v>Тренировка B — пальцы/проект</x:v>
      </x:c>
      <x:c r="G556" s="44" t="n">
        <x:v>0.035416666666666666</x:v>
      </x:c>
      <x:c r="H556" s="44" t="n">
        <x:v>0.03819444444444445</x:v>
      </x:c>
      <x:c r="I556" s="32" t="n">
        <x:f>ROUND((H556-G556)*1440,0)</x:f>
        <x:v>4</x:v>
      </x:c>
      <x:c r="J556" s="13" t="str">
        <x:v>Выбор проекта</x:v>
      </x:c>
      <x:c r="K556" s="13" t="str">
        <x:v>Выбери трассу по критериям недели: Одна техничная пятёрка на плите; максимум 3 тяжёлые попытки. Шестёрка — только 1–2 движения для знакомства.</x:v>
      </x:c>
      <x:c r="L556" s="13" t="str">
        <x:v>☐ Не начато</x:v>
      </x:c>
      <x:c r="M556" s="13" t="str">
        <x:v>Обязательно</x:v>
      </x:c>
      <x:c r="N556" s="13" t="str">
        <x:v>Без нагрузки</x:v>
      </x:c>
      <x:c r="O556" s="13" t="str">
        <x:v>Разгрузка. Колено держать по направлению носка; не ловить равновесие болезненным толчком рукой.</x:v>
      </x:c>
      <x:c r="P556" s="13" t="str">
        <x:v>milestone_02_footwork_body_position/week_08_2026-10-26/04_THURSDAY.md</x:v>
      </x:c>
      <x:c r="Q556" s="138" t="str">
        <x:v>Markdown</x:v>
      </x:c>
      <x:c r="R556" s="20" t="str"/>
    </x:row>
    <x:row r="557" ht="36" customHeight="1">
      <x:c r="A557" s="19" t="str">
        <x:v>W08-20261029-0556</x:v>
      </x:c>
      <x:c r="B557" s="13" t="n">
        <x:v>8</x:v>
      </x:c>
      <x:c r="C557" s="13" t="str">
        <x:v>Этап 2 — Ноги и положение корпуса</x:v>
      </x:c>
      <x:c r="D557" s="138" t="str">
        <x:v>2026-10-29</x:v>
      </x:c>
      <x:c r="E557" s="13" t="str">
        <x:v>Четверг</x:v>
      </x:c>
      <x:c r="F557" s="13" t="str">
        <x:v>Тренировка B — пальцы/проект</x:v>
      </x:c>
      <x:c r="G557" s="44" t="n">
        <x:v>0.03819444444444445</x:v>
      </x:c>
      <x:c r="H557" s="44" t="n">
        <x:v>0.041666666666666664</x:v>
      </x:c>
      <x:c r="I557" s="32" t="n">
        <x:f>ROUND((H557-G557)*1440,0)</x:f>
        <x:v>5</x:v>
      </x:c>
      <x:c r="J557" s="13" t="str">
        <x:v>Проект — попытка 1</x:v>
      </x:c>
      <x:c r="K557" s="13" t="str">
        <x:v>Сделай первую полную диагностическую попытку. После падения не повторяй сразу: назови точную причину.</x:v>
      </x:c>
      <x:c r="L557" s="13" t="str">
        <x:v>☐ Не начато</x:v>
      </x:c>
      <x:c r="M557" s="13" t="str">
        <x:v>Обязательно</x:v>
      </x:c>
      <x:c r="N557" s="13" t="str">
        <x:v>RPE 7–8</x:v>
      </x:c>
      <x:c r="O557" s="13" t="str">
        <x:v>Прекратить движение при боли, а не после падения.</x:v>
      </x:c>
      <x:c r="P557" s="13" t="str">
        <x:v>milestone_02_footwork_body_position/week_08_2026-10-26/04_THURSDAY.md</x:v>
      </x:c>
      <x:c r="Q557" s="138" t="str">
        <x:v>Markdown</x:v>
      </x:c>
      <x:c r="R557" s="20" t="str"/>
    </x:row>
    <x:row r="558" ht="36" customHeight="1">
      <x:c r="A558" s="19" t="str">
        <x:v>W08-20261029-0557</x:v>
      </x:c>
      <x:c r="B558" s="13" t="n">
        <x:v>8</x:v>
      </x:c>
      <x:c r="C558" s="13" t="str">
        <x:v>Этап 2 — Ноги и положение корпуса</x:v>
      </x:c>
      <x:c r="D558" s="138" t="str">
        <x:v>2026-10-29</x:v>
      </x:c>
      <x:c r="E558" s="13" t="str">
        <x:v>Четверг</x:v>
      </x:c>
      <x:c r="F558" s="13" t="str">
        <x:v>Тренировка B — пальцы/проект</x:v>
      </x:c>
      <x:c r="G558" s="44" t="n">
        <x:v>0.041666666666666664</x:v>
      </x:c>
      <x:c r="H558" s="44" t="n">
        <x:v>0.04513888888888889</x:v>
      </x:c>
      <x:c r="I558" s="32" t="n">
        <x:f>ROUND((H558-G558)*1440,0)</x:f>
        <x:v>5</x:v>
      </x:c>
      <x:c r="J558" s="13" t="str">
        <x:v>Отдых / гипотеза</x:v>
      </x:c>
      <x:c r="K558" s="13" t="str">
        <x:v>Отдых 4–5 минут. Запиши одну гипотезу: стопа, положение таза, хват или темп.</x:v>
      </x:c>
      <x:c r="L558" s="13" t="str">
        <x:v>☐ Не начато</x:v>
      </x:c>
      <x:c r="M558" s="13" t="str">
        <x:v>Обязательно</x:v>
      </x:c>
      <x:c r="N558" s="13" t="str">
        <x:v>Восстановление</x:v>
      </x:c>
      <x:c r="O558" s="13" t="str"/>
      <x:c r="P558" s="13" t="str">
        <x:v>milestone_02_footwork_body_position/week_08_2026-10-26/04_THURSDAY.md</x:v>
      </x:c>
      <x:c r="Q558" s="138" t="str">
        <x:v>Markdown</x:v>
      </x:c>
      <x:c r="R558" s="20" t="str"/>
    </x:row>
    <x:row r="559" ht="36" customHeight="1">
      <x:c r="A559" s="19" t="str">
        <x:v>W08-20261029-0558</x:v>
      </x:c>
      <x:c r="B559" s="13" t="n">
        <x:v>8</x:v>
      </x:c>
      <x:c r="C559" s="13" t="str">
        <x:v>Этап 2 — Ноги и положение корпуса</x:v>
      </x:c>
      <x:c r="D559" s="138" t="str">
        <x:v>2026-10-29</x:v>
      </x:c>
      <x:c r="E559" s="13" t="str">
        <x:v>Четверг</x:v>
      </x:c>
      <x:c r="F559" s="13" t="str">
        <x:v>Тренировка B — пальцы/проект</x:v>
      </x:c>
      <x:c r="G559" s="44" t="n">
        <x:v>0.04513888888888889</x:v>
      </x:c>
      <x:c r="H559" s="44" t="n">
        <x:v>0.049305555555555554</x:v>
      </x:c>
      <x:c r="I559" s="32" t="n">
        <x:f>ROUND((H559-G559)*1440,0)</x:f>
        <x:v>6</x:v>
      </x:c>
      <x:c r="J559" s="13" t="str">
        <x:v>Проект — попытки 2–3</x:v>
      </x:c>
      <x:c r="K559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559" s="13" t="str">
        <x:v>☐ Не начато</x:v>
      </x:c>
      <x:c r="M559" s="13" t="str">
        <x:v>Обязательно</x:v>
      </x:c>
      <x:c r="N559" s="13" t="str">
        <x:v>RPE 7–8, без отказа</x:v>
      </x:c>
      <x:c r="O559" s="13" t="str">
        <x:v>Не смотреть beta заранее: сначала собственная гипотеза.</x:v>
      </x:c>
      <x:c r="P559" s="13" t="str">
        <x:v>milestone_02_footwork_body_position/week_08_2026-10-26/04_THURSDAY.md</x:v>
      </x:c>
      <x:c r="Q559" s="138" t="str">
        <x:v>Markdown</x:v>
      </x:c>
      <x:c r="R559" s="20" t="str"/>
    </x:row>
    <x:row r="560" ht="36" customHeight="1">
      <x:c r="A560" s="19" t="str">
        <x:v>W08-20261029-0559</x:v>
      </x:c>
      <x:c r="B560" s="13" t="n">
        <x:v>8</x:v>
      </x:c>
      <x:c r="C560" s="13" t="str">
        <x:v>Этап 2 — Ноги и положение корпуса</x:v>
      </x:c>
      <x:c r="D560" s="138" t="str">
        <x:v>2026-10-29</x:v>
      </x:c>
      <x:c r="E560" s="13" t="str">
        <x:v>Четверг</x:v>
      </x:c>
      <x:c r="F560" s="13" t="str">
        <x:v>Тренировка B — пальцы/проект</x:v>
      </x:c>
      <x:c r="G560" s="44" t="n">
        <x:v>0.049305555555555554</x:v>
      </x:c>
      <x:c r="H560" s="44" t="n">
        <x:v>0.05277777777777778</x:v>
      </x:c>
      <x:c r="I560" s="32" t="n">
        <x:f>ROUND((H560-G560)*1440,0)</x:f>
        <x:v>5</x:v>
      </x:c>
      <x:c r="J560" s="13" t="str">
        <x:v>Проект — заключительная попытка</x:v>
      </x:c>
      <x:c r="K560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560" s="13" t="str">
        <x:v>☐ Не начато</x:v>
      </x:c>
      <x:c r="M560" s="13" t="str">
        <x:v>Обязательно</x:v>
      </x:c>
      <x:c r="N560" s="13" t="str">
        <x:v>RPE 8, с запасом</x:v>
      </x:c>
      <x:c r="O560" s="13" t="str">
        <x:v>Разгрузка. Колено держать по направлению носка; не ловить равновесие болезненным толчком рукой.</x:v>
      </x:c>
      <x:c r="P560" s="13" t="str">
        <x:v>milestone_02_footwork_body_position/week_08_2026-10-26/04_THURSDAY.md</x:v>
      </x:c>
      <x:c r="Q560" s="138" t="str">
        <x:v>Markdown</x:v>
      </x:c>
      <x:c r="R560" s="20" t="str"/>
    </x:row>
    <x:row r="561" ht="36" customHeight="1">
      <x:c r="A561" s="19" t="str">
        <x:v>W08-20261029-0560</x:v>
      </x:c>
      <x:c r="B561" s="13" t="n">
        <x:v>8</x:v>
      </x:c>
      <x:c r="C561" s="13" t="str">
        <x:v>Этап 2 — Ноги и положение корпуса</x:v>
      </x:c>
      <x:c r="D561" s="138" t="str">
        <x:v>2026-10-29</x:v>
      </x:c>
      <x:c r="E561" s="13" t="str">
        <x:v>Четверг</x:v>
      </x:c>
      <x:c r="F561" s="13" t="str">
        <x:v>Тренировка B — пальцы/проект</x:v>
      </x:c>
      <x:c r="G561" s="44" t="n">
        <x:v>0.05277777777777778</x:v>
      </x:c>
      <x:c r="H561" s="44" t="n">
        <x:v>0.05763888888888889</x:v>
      </x:c>
      <x:c r="I561" s="32" t="n">
        <x:f>ROUND((H561-G561)*1440,0)</x:f>
        <x:v>7</x:v>
      </x:c>
      <x:c r="J561" s="13" t="str">
        <x:v>Вторичная трасса</x:v>
      </x:c>
      <x:c r="K561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561" s="13" t="str">
        <x:v>☐ Не начато</x:v>
      </x:c>
      <x:c r="M561" s="13" t="str">
        <x:v>Обязательно</x:v>
      </x:c>
      <x:c r="N561" s="13" t="str">
        <x:v>RPE 5–7</x:v>
      </x:c>
      <x:c r="O561" s="13" t="str">
        <x:v>Пропустить, если хват уже просел.</x:v>
      </x:c>
      <x:c r="P561" s="13" t="str">
        <x:v>milestone_02_footwork_body_position/week_08_2026-10-26/04_THURSDAY.md</x:v>
      </x:c>
      <x:c r="Q561" s="138" t="str">
        <x:v>Markdown</x:v>
      </x:c>
      <x:c r="R561" s="20" t="str"/>
    </x:row>
    <x:row r="562" ht="36" customHeight="1">
      <x:c r="A562" s="19" t="str">
        <x:v>W08-20261029-0561</x:v>
      </x:c>
      <x:c r="B562" s="13" t="n">
        <x:v>8</x:v>
      </x:c>
      <x:c r="C562" s="13" t="str">
        <x:v>Этап 2 — Ноги и положение корпуса</x:v>
      </x:c>
      <x:c r="D562" s="138" t="str">
        <x:v>2026-10-29</x:v>
      </x:c>
      <x:c r="E562" s="13" t="str">
        <x:v>Четверг</x:v>
      </x:c>
      <x:c r="F562" s="13" t="str">
        <x:v>Тренировка B — пальцы/проект</x:v>
      </x:c>
      <x:c r="G562" s="44" t="n">
        <x:v>0.05763888888888889</x:v>
      </x:c>
      <x:c r="H562" s="44" t="n">
        <x:v>0.06041666666666667</x:v>
      </x:c>
      <x:c r="I562" s="32" t="n">
        <x:f>ROUND((H562-G562)*1440,0)</x:f>
        <x:v>4</x:v>
      </x:c>
      <x:c r="J562" s="13" t="str">
        <x:v>Завершение</x:v>
      </x:c>
      <x:c r="K562" s="13" t="str">
        <x:v>Очень лёгкий спуск/ходьба, вода, никаких финишных висов.</x:v>
      </x:c>
      <x:c r="L562" s="13" t="str">
        <x:v>☐ Не начато</x:v>
      </x:c>
      <x:c r="M562" s="13" t="str">
        <x:v>Обязательно</x:v>
      </x:c>
      <x:c r="N562" s="13" t="str">
        <x:v>RPE 1–2</x:v>
      </x:c>
      <x:c r="O562" s="13" t="str"/>
      <x:c r="P562" s="13" t="str">
        <x:v>milestone_02_footwork_body_position/week_08_2026-10-26/04_THURSDAY.md</x:v>
      </x:c>
      <x:c r="Q562" s="138" t="str">
        <x:v>Markdown</x:v>
      </x:c>
      <x:c r="R562" s="20" t="str"/>
    </x:row>
    <x:row r="563" ht="36" customHeight="1">
      <x:c r="A563" s="19" t="str">
        <x:v>W08-20261029-0562</x:v>
      </x:c>
      <x:c r="B563" s="13" t="n">
        <x:v>8</x:v>
      </x:c>
      <x:c r="C563" s="13" t="str">
        <x:v>Этап 2 — Ноги и положение корпуса</x:v>
      </x:c>
      <x:c r="D563" s="138" t="str">
        <x:v>2026-10-29</x:v>
      </x:c>
      <x:c r="E563" s="13" t="str">
        <x:v>Четверг</x:v>
      </x:c>
      <x:c r="F563" s="13" t="str">
        <x:v>Тренировка B — пальцы/проект</x:v>
      </x:c>
      <x:c r="G563" s="44" t="n">
        <x:v>0.06041666666666667</x:v>
      </x:c>
      <x:c r="H563" s="44" t="n">
        <x:v>0.0625</x:v>
      </x:c>
      <x:c r="I563" s="32" t="n">
        <x:f>ROUND((H563-G563)*1440,0)</x:f>
        <x:v>3</x:v>
      </x:c>
      <x:c r="J563" s="13" t="str">
        <x:v>Журнал</x:v>
      </x:c>
      <x:c r="K563" s="13" t="str">
        <x:v>Запиши попытки, лучшую связку, одну правку и benchmark: Тест: 4 четвёрки + 3 пятёрки; отметить процент точных постановок стоп и минуту просадки хвата.</x:v>
      </x:c>
      <x:c r="L563" s="13" t="str">
        <x:v>☐ Не начато</x:v>
      </x:c>
      <x:c r="M563" s="13" t="str">
        <x:v>Обязательно</x:v>
      </x:c>
      <x:c r="N563" s="13" t="str">
        <x:v>Без нагрузки</x:v>
      </x:c>
      <x:c r="O563" s="13" t="str"/>
      <x:c r="P563" s="13" t="str">
        <x:v>milestone_02_footwork_body_position/week_08_2026-10-26/04_THURSDAY.md</x:v>
      </x:c>
      <x:c r="Q563" s="138" t="str">
        <x:v>Markdown</x:v>
      </x:c>
      <x:c r="R563" s="20" t="str"/>
    </x:row>
    <x:row r="564" ht="36" customHeight="1">
      <x:c r="A564" s="19" t="str">
        <x:v>W08-20261030-0563</x:v>
      </x:c>
      <x:c r="B564" s="13" t="n">
        <x:v>8</x:v>
      </x:c>
      <x:c r="C564" s="13" t="str">
        <x:v>Этап 2 — Ноги и положение корпуса</x:v>
      </x:c>
      <x:c r="D564" s="138" t="str">
        <x:v>2026-10-30</x:v>
      </x:c>
      <x:c r="E564" s="13" t="str">
        <x:v>Пятница</x:v>
      </x:c>
      <x:c r="F564" s="13" t="str">
        <x:v>Дом / теория</x:v>
      </x:c>
      <x:c r="G564" s="44" t="n">
        <x:v>0</x:v>
      </x:c>
      <x:c r="H564" s="44" t="n">
        <x:v>0.0020833333333333333</x:v>
      </x:c>
      <x:c r="I564" s="32" t="n">
        <x:f>ROUND((H564-G564)*1440,0)</x:f>
        <x:v>3</x:v>
      </x:c>
      <x:c r="J564" s="13" t="str">
        <x:v>Самопроверка</x:v>
      </x:c>
      <x:c r="K564" s="13" t="str">
        <x:v>Оцени утреннюю реакцию после четверга: пальцы/плечо/колено 0–10. Запиши, восстановилась ли обычная сила кисти.</x:v>
      </x:c>
      <x:c r="L564" s="13" t="str">
        <x:v>☐ Не начато</x:v>
      </x:c>
      <x:c r="M564" s="13" t="str">
        <x:v>Обязательно</x:v>
      </x:c>
      <x:c r="N564" s="13" t="str">
        <x:v>Без нагрузки</x:v>
      </x:c>
      <x:c r="O564" s="13" t="str">
        <x:v>Острая локальная боль пальца или усилившаяся боль плеча = воскресенье только восстановительное.</x:v>
      </x:c>
      <x:c r="P564" s="13" t="str">
        <x:v>milestone_02_footwork_body_position/week_08_2026-10-26/05_FRIDAY.md</x:v>
      </x:c>
      <x:c r="Q564" s="138" t="str">
        <x:v>Markdown</x:v>
      </x:c>
      <x:c r="R564" s="20" t="str"/>
    </x:row>
    <x:row r="565" ht="36" customHeight="1">
      <x:c r="A565" s="19" t="str">
        <x:v>W08-20261030-0564</x:v>
      </x:c>
      <x:c r="B565" s="13" t="n">
        <x:v>8</x:v>
      </x:c>
      <x:c r="C565" s="13" t="str">
        <x:v>Этап 2 — Ноги и положение корпуса</x:v>
      </x:c>
      <x:c r="D565" s="138" t="str">
        <x:v>2026-10-30</x:v>
      </x:c>
      <x:c r="E565" s="13" t="str">
        <x:v>Пятница</x:v>
      </x:c>
      <x:c r="F565" s="13" t="str">
        <x:v>Дом / теория</x:v>
      </x:c>
      <x:c r="G565" s="44" t="n">
        <x:v>0.0020833333333333333</x:v>
      </x:c>
      <x:c r="H565" s="44" t="n">
        <x:v>0.007638888888888889</x:v>
      </x:c>
      <x:c r="I565" s="32" t="n">
        <x:f>ROUND((H565-G565)*1440,0)</x:f>
        <x:v>8</x:v>
      </x:c>
      <x:c r="J565" s="13" t="str">
        <x:v>Теория</x:v>
      </x:c>
      <x:c r="K565" s="13" t="str">
        <x:v>Пересмотри ключевой фрагмент ресурса недели: [R09: Berta Block — Power vs. Balance](https://www.bertablock.de/power-vs-balance). Задача: Описание навыков для плиты и нависания; проверить даты курса и решить, нужен ли очный фидбэк.</x:v>
      </x:c>
      <x:c r="L565" s="13" t="str">
        <x:v>☐ Не начато</x:v>
      </x:c>
      <x:c r="M565" s="13" t="str">
        <x:v>Обязательно</x:v>
      </x:c>
      <x:c r="N565" s="13" t="str">
        <x:v>Без нагрузки</x:v>
      </x:c>
      <x:c r="O565" s="13" t="str"/>
      <x:c r="P565" s="13" t="str">
        <x:v>milestone_02_footwork_body_position/week_08_2026-10-26/05_FRIDAY.md</x:v>
      </x:c>
      <x:c r="Q565" s="138" t="str">
        <x:v>Markdown</x:v>
      </x:c>
      <x:c r="R565" s="20" t="str"/>
    </x:row>
    <x:row r="566" ht="36" customHeight="1">
      <x:c r="A566" s="19" t="str">
        <x:v>W08-20261030-0565</x:v>
      </x:c>
      <x:c r="B566" s="13" t="n">
        <x:v>8</x:v>
      </x:c>
      <x:c r="C566" s="13" t="str">
        <x:v>Этап 2 — Ноги и положение корпуса</x:v>
      </x:c>
      <x:c r="D566" s="138" t="str">
        <x:v>2026-10-30</x:v>
      </x:c>
      <x:c r="E566" s="13" t="str">
        <x:v>Пятница</x:v>
      </x:c>
      <x:c r="F566" s="13" t="str">
        <x:v>Дом / теория</x:v>
      </x:c>
      <x:c r="G566" s="44" t="n">
        <x:v>0.007638888888888889</x:v>
      </x:c>
      <x:c r="H566" s="44" t="n">
        <x:v>0.011805555555555555</x:v>
      </x:c>
      <x:c r="I566" s="32" t="n">
        <x:f>ROUND((H566-G566)*1440,0)</x:f>
        <x:v>6</x:v>
      </x:c>
      <x:c r="J566" s="13" t="str">
        <x:v>Ментальная репетиция</x:v>
      </x:c>
      <x:c r="K566" s="13" t="str">
        <x:v>Закрой глаза и 3 раза мысленно пройди одну рабочую трассу: руки → ноги → положение таза → дыхание. Визуализируй cue «Смена ног происходит на носках и с минимальным подпрыгиванием таза.».</x:v>
      </x:c>
      <x:c r="L566" s="13" t="str">
        <x:v>☐ Не начато</x:v>
      </x:c>
      <x:c r="M566" s="13" t="str">
        <x:v>Обязательно</x:v>
      </x:c>
      <x:c r="N566" s="13" t="str">
        <x:v>Без нагрузки</x:v>
      </x:c>
      <x:c r="O566" s="13" t="str"/>
      <x:c r="P566" s="13" t="str">
        <x:v>milestone_02_footwork_body_position/week_08_2026-10-26/05_FRIDAY.md</x:v>
      </x:c>
      <x:c r="Q566" s="138" t="str">
        <x:v>Markdown</x:v>
      </x:c>
      <x:c r="R566" s="20" t="str"/>
    </x:row>
    <x:row r="567" ht="36" customHeight="1">
      <x:c r="A567" s="19" t="str">
        <x:v>W08-20261030-0566</x:v>
      </x:c>
      <x:c r="B567" s="13" t="n">
        <x:v>8</x:v>
      </x:c>
      <x:c r="C567" s="13" t="str">
        <x:v>Этап 2 — Ноги и положение корпуса</x:v>
      </x:c>
      <x:c r="D567" s="138" t="str">
        <x:v>2026-10-30</x:v>
      </x:c>
      <x:c r="E567" s="13" t="str">
        <x:v>Пятница</x:v>
      </x:c>
      <x:c r="F567" s="13" t="str">
        <x:v>Дом / теория</x:v>
      </x:c>
      <x:c r="G567" s="44" t="n">
        <x:v>0.011805555555555555</x:v>
      </x:c>
      <x:c r="H567" s="44" t="n">
        <x:v>0.02013888888888889</x:v>
      </x:c>
      <x:c r="I567" s="32" t="n">
        <x:f>ROUND((H567-G567)*1440,0)</x:f>
        <x:v>12</x:v>
      </x:c>
      <x:c r="J567" s="13" t="str">
        <x:v>Домашняя мобильность</x:v>
      </x:c>
      <x:c r="K567" s="13" t="str">
        <x:v>Выполни H3 «Мобильность таза и контроль корпуса» — 12 минут.</x:v>
      </x:c>
      <x:c r="L567" s="13" t="str">
        <x:v>☐ Не начато</x:v>
      </x:c>
      <x:c r="M567" s="13" t="str">
        <x:v>Обязательно</x:v>
      </x:c>
      <x:c r="N567" s="13" t="str">
        <x:v>RPE 2–3</x:v>
      </x:c>
      <x:c r="O567" s="13" t="str">
        <x:v>Никаких скручиваний через боль. Плечом не отталкивайся от стены; касание только для равновесия.</x:v>
      </x:c>
      <x:c r="P567" s="13" t="str">
        <x:v>milestone_02_footwork_body_position/week_08_2026-10-26/05_FRIDAY.md</x:v>
      </x:c>
      <x:c r="Q567" s="138" t="str">
        <x:v>Markdown</x:v>
      </x:c>
      <x:c r="R567" s="20" t="str"/>
    </x:row>
    <x:row r="568" ht="36" customHeight="1">
      <x:c r="A568" s="19" t="str">
        <x:v>W08-20261030-0567</x:v>
      </x:c>
      <x:c r="B568" s="13" t="n">
        <x:v>8</x:v>
      </x:c>
      <x:c r="C568" s="13" t="str">
        <x:v>Этап 2 — Ноги и положение корпуса</x:v>
      </x:c>
      <x:c r="D568" s="138" t="str">
        <x:v>2026-10-30</x:v>
      </x:c>
      <x:c r="E568" s="13" t="str">
        <x:v>Пятница</x:v>
      </x:c>
      <x:c r="F568" s="13" t="str">
        <x:v>Дом / теория</x:v>
      </x:c>
      <x:c r="G568" s="44" t="n">
        <x:v>0.02013888888888889</x:v>
      </x:c>
      <x:c r="H568" s="44" t="n">
        <x:v>0.034027777777777775</x:v>
      </x:c>
      <x:c r="I568" s="32" t="n">
        <x:f>ROUND((H568-G568)*1440,0)</x:f>
        <x:v>20</x:v>
      </x:c>
      <x:c r="J568" s="13" t="str">
        <x:v>Физиотерапия</x:v>
      </x:c>
      <x:c r="K568" s="13" t="str">
        <x:v>Выполни свой назначенный комплекс, если пятница входит в расписание физиотерапевта.</x:v>
      </x:c>
      <x:c r="L568" s="13" t="str">
        <x:v>☐ Не начато</x:v>
      </x:c>
      <x:c r="M568" s="13" t="str">
        <x:v>По назначению</x:v>
      </x:c>
      <x:c r="N568" s="13" t="str">
        <x:v>По назначению</x:v>
      </x:c>
      <x:c r="O568" s="13" t="str">
        <x:v>Не добавляй упражнения из интернета поверх назначений.</x:v>
      </x:c>
      <x:c r="P568" s="13" t="str">
        <x:v>milestone_02_footwork_body_position/week_08_2026-10-26/05_FRIDAY.md</x:v>
      </x:c>
      <x:c r="Q568" s="138" t="str">
        <x:v>Markdown</x:v>
      </x:c>
      <x:c r="R568" s="20" t="str"/>
    </x:row>
    <x:row r="569" ht="36" customHeight="1">
      <x:c r="A569" s="19" t="str">
        <x:v>W08-20261030-0568</x:v>
      </x:c>
      <x:c r="B569" s="13" t="n">
        <x:v>8</x:v>
      </x:c>
      <x:c r="C569" s="13" t="str">
        <x:v>Этап 2 — Ноги и положение корпуса</x:v>
      </x:c>
      <x:c r="D569" s="138" t="str">
        <x:v>2026-10-30</x:v>
      </x:c>
      <x:c r="E569" s="13" t="str">
        <x:v>Пятница</x:v>
      </x:c>
      <x:c r="F569" s="13" t="str">
        <x:v>Дом / теория</x:v>
      </x:c>
      <x:c r="G569" s="44" t="n">
        <x:v>0.034027777777777775</x:v>
      </x:c>
      <x:c r="H569" s="44" t="n">
        <x:v>0.03680555555555556</x:v>
      </x:c>
      <x:c r="I569" s="32" t="n">
        <x:f>ROUND((H569-G569)*1440,0)</x:f>
        <x:v>4</x:v>
      </x:c>
      <x:c r="J569" s="13" t="str">
        <x:v>Журнал</x:v>
      </x:c>
      <x:c r="K569" s="13" t="str">
        <x:v>Запиши одну вещь, которая сработала на этой неделе, и одну, которую повторишь в воскресенье на лёгкой трассе.</x:v>
      </x:c>
      <x:c r="L569" s="13" t="str">
        <x:v>☐ Не начато</x:v>
      </x:c>
      <x:c r="M569" s="13" t="str">
        <x:v>Обязательно</x:v>
      </x:c>
      <x:c r="N569" s="13" t="str">
        <x:v>Без нагрузки</x:v>
      </x:c>
      <x:c r="O569" s="13" t="str"/>
      <x:c r="P569" s="13" t="str">
        <x:v>milestone_02_footwork_body_position/week_08_2026-10-26/05_FRIDAY.md</x:v>
      </x:c>
      <x:c r="Q569" s="138" t="str">
        <x:v>Markdown</x:v>
      </x:c>
      <x:c r="R569" s="20" t="str"/>
    </x:row>
    <x:row r="570" ht="36" customHeight="1">
      <x:c r="A570" s="19" t="str">
        <x:v>W08-20261030-0569</x:v>
      </x:c>
      <x:c r="B570" s="13" t="n">
        <x:v>8</x:v>
      </x:c>
      <x:c r="C570" s="13" t="str">
        <x:v>Этап 2 — Ноги и положение корпуса</x:v>
      </x:c>
      <x:c r="D570" s="138" t="str">
        <x:v>2026-10-30</x:v>
      </x:c>
      <x:c r="E570" s="13" t="str">
        <x:v>Пятница</x:v>
      </x:c>
      <x:c r="F570" s="13" t="str">
        <x:v>Дом / теория</x:v>
      </x:c>
      <x:c r="G570" s="44" t="n">
        <x:v>0.03680555555555556</x:v>
      </x:c>
      <x:c r="H570" s="44" t="n">
        <x:v>0.03888888888888889</x:v>
      </x:c>
      <x:c r="I570" s="32" t="n">
        <x:f>ROUND((H570-G570)*1440,0)</x:f>
        <x:v>3</x:v>
      </x:c>
      <x:c r="J570" s="13" t="str">
        <x:v>Запрет лишней нагрузки</x:v>
      </x:c>
      <x:c r="K570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570" s="13" t="str">
        <x:v>☐ Не начато</x:v>
      </x:c>
      <x:c r="M570" s="13" t="str">
        <x:v>Обязательно</x:v>
      </x:c>
      <x:c r="N570" s="13" t="str">
        <x:v>Восстановление</x:v>
      </x:c>
      <x:c r="O570" s="13" t="str">
        <x:v>Общая пальцевая нагрузка уже получена в четверг.</x:v>
      </x:c>
      <x:c r="P570" s="13" t="str">
        <x:v>milestone_02_footwork_body_position/week_08_2026-10-26/05_FRIDAY.md</x:v>
      </x:c>
      <x:c r="Q570" s="138" t="str">
        <x:v>Markdown</x:v>
      </x:c>
      <x:c r="R570" s="20" t="str"/>
    </x:row>
    <x:row r="571" ht="36" customHeight="1">
      <x:c r="A571" s="19" t="str">
        <x:v>W08-20261031-0570</x:v>
      </x:c>
      <x:c r="B571" s="13" t="n">
        <x:v>8</x:v>
      </x:c>
      <x:c r="C571" s="13" t="str">
        <x:v>Этап 2 — Ноги и положение корпуса</x:v>
      </x:c>
      <x:c r="D571" s="138" t="str">
        <x:v>2026-10-31</x:v>
      </x:c>
      <x:c r="E571" s="13" t="str">
        <x:v>Суббота</x:v>
      </x:c>
      <x:c r="F571" s="13" t="str">
        <x:v>Отдых / подготовка</x:v>
      </x:c>
      <x:c r="G571" s="44" t="n">
        <x:v>0</x:v>
      </x:c>
      <x:c r="H571" s="44" t="n">
        <x:v>0.003472222222222222</x:v>
      </x:c>
      <x:c r="I571" s="32" t="n">
        <x:f>ROUND((H571-G571)*1440,0)</x:f>
        <x:v>5</x:v>
      </x:c>
      <x:c r="J571" s="13" t="str">
        <x:v>Самопроверка</x:v>
      </x:c>
      <x:c r="K571" s="13" t="str">
        <x:v>Проверь кожу пальцев, ногти, плечо и колено. Никаких тестовых висов.</x:v>
      </x:c>
      <x:c r="L571" s="13" t="str">
        <x:v>☐ Не начато</x:v>
      </x:c>
      <x:c r="M571" s="13" t="str">
        <x:v>Обязательно</x:v>
      </x:c>
      <x:c r="N571" s="13" t="str">
        <x:v>Восстановление</x:v>
      </x:c>
      <x:c r="O571" s="13" t="str"/>
      <x:c r="P571" s="13" t="str">
        <x:v>milestone_02_footwork_body_position/week_08_2026-10-26/06_SATURDAY.md</x:v>
      </x:c>
      <x:c r="Q571" s="138" t="str">
        <x:v>Markdown</x:v>
      </x:c>
      <x:c r="R571" s="20" t="str"/>
    </x:row>
    <x:row r="572" ht="36" customHeight="1">
      <x:c r="A572" s="19" t="str">
        <x:v>W08-20261031-0571</x:v>
      </x:c>
      <x:c r="B572" s="13" t="n">
        <x:v>8</x:v>
      </x:c>
      <x:c r="C572" s="13" t="str">
        <x:v>Этап 2 — Ноги и положение корпуса</x:v>
      </x:c>
      <x:c r="D572" s="138" t="str">
        <x:v>2026-10-31</x:v>
      </x:c>
      <x:c r="E572" s="13" t="str">
        <x:v>Суббота</x:v>
      </x:c>
      <x:c r="F572" s="13" t="str">
        <x:v>Отдых / подготовка</x:v>
      </x:c>
      <x:c r="G572" s="44" t="n">
        <x:v>0.003472222222222222</x:v>
      </x:c>
      <x:c r="H572" s="44" t="n">
        <x:v>0.010416666666666666</x:v>
      </x:c>
      <x:c r="I572" s="32" t="n">
        <x:f>ROUND((H572-G572)*1440,0)</x:f>
        <x:v>10</x:v>
      </x:c>
      <x:c r="J572" s="13" t="str">
        <x:v>Активное восстановление</x:v>
      </x:c>
      <x:c r="K572" s="13" t="str">
        <x:v>10 минут лёгкой прогулки или бытовой активности. Цель — восстановление, не тренировка.</x:v>
      </x:c>
      <x:c r="L572" s="13" t="str">
        <x:v>☐ Не начато</x:v>
      </x:c>
      <x:c r="M572" s="13" t="str">
        <x:v>Обязательно</x:v>
      </x:c>
      <x:c r="N572" s="13" t="str">
        <x:v>RPE 1–2</x:v>
      </x:c>
      <x:c r="O572" s="13" t="str"/>
      <x:c r="P572" s="13" t="str">
        <x:v>milestone_02_footwork_body_position/week_08_2026-10-26/06_SATURDAY.md</x:v>
      </x:c>
      <x:c r="Q572" s="138" t="str">
        <x:v>Markdown</x:v>
      </x:c>
      <x:c r="R572" s="20" t="str"/>
    </x:row>
    <x:row r="573" ht="36" customHeight="1">
      <x:c r="A573" s="19" t="str">
        <x:v>W08-20261031-0572</x:v>
      </x:c>
      <x:c r="B573" s="13" t="n">
        <x:v>8</x:v>
      </x:c>
      <x:c r="C573" s="13" t="str">
        <x:v>Этап 2 — Ноги и положение корпуса</x:v>
      </x:c>
      <x:c r="D573" s="138" t="str">
        <x:v>2026-10-31</x:v>
      </x:c>
      <x:c r="E573" s="13" t="str">
        <x:v>Суббота</x:v>
      </x:c>
      <x:c r="F573" s="13" t="str">
        <x:v>Отдых / подготовка</x:v>
      </x:c>
      <x:c r="G573" s="44" t="n">
        <x:v>0.010416666666666666</x:v>
      </x:c>
      <x:c r="H573" s="44" t="n">
        <x:v>0.013888888888888888</x:v>
      </x:c>
      <x:c r="I573" s="32" t="n">
        <x:f>ROUND((H573-G573)*1440,0)</x:f>
        <x:v>5</x:v>
      </x:c>
      <x:c r="J573" s="13" t="str">
        <x:v>Уход за кожей</x:v>
      </x:c>
      <x:c r="K573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573" s="13" t="str">
        <x:v>☐ Не начато</x:v>
      </x:c>
      <x:c r="M573" s="13" t="str">
        <x:v>Опционально</x:v>
      </x:c>
      <x:c r="N573" s="13" t="str">
        <x:v>Без нагрузки</x:v>
      </x:c>
      <x:c r="O573" s="13" t="str">
        <x:v>Повреждённую/болезненную кожу не шлифовать.</x:v>
      </x:c>
      <x:c r="P573" s="13" t="str">
        <x:v>milestone_02_footwork_body_position/week_08_2026-10-26/06_SATURDAY.md</x:v>
      </x:c>
      <x:c r="Q573" s="138" t="str">
        <x:v>Markdown</x:v>
      </x:c>
      <x:c r="R573" s="20" t="str"/>
    </x:row>
    <x:row r="574" ht="36" customHeight="1">
      <x:c r="A574" s="19" t="str">
        <x:v>W08-20261031-0573</x:v>
      </x:c>
      <x:c r="B574" s="13" t="n">
        <x:v>8</x:v>
      </x:c>
      <x:c r="C574" s="13" t="str">
        <x:v>Этап 2 — Ноги и положение корпуса</x:v>
      </x:c>
      <x:c r="D574" s="138" t="str">
        <x:v>2026-10-31</x:v>
      </x:c>
      <x:c r="E574" s="13" t="str">
        <x:v>Суббота</x:v>
      </x:c>
      <x:c r="F574" s="13" t="str">
        <x:v>Отдых / подготовка</x:v>
      </x:c>
      <x:c r="G574" s="44" t="n">
        <x:v>0.013888888888888888</x:v>
      </x:c>
      <x:c r="H574" s="44" t="n">
        <x:v>0.016666666666666666</x:v>
      </x:c>
      <x:c r="I574" s="32" t="n">
        <x:f>ROUND((H574-G574)*1440,0)</x:f>
        <x:v>4</x:v>
      </x:c>
      <x:c r="J574" s="13" t="str">
        <x:v>Подготовка</x:v>
      </x:c>
      <x:c r="K574" s="13" t="str">
        <x:v>Заряди телефон, освободи память для одного видео, положи щётку и магнезию.</x:v>
      </x:c>
      <x:c r="L574" s="13" t="str">
        <x:v>☐ Не начато</x:v>
      </x:c>
      <x:c r="M574" s="13" t="str">
        <x:v>Обязательно</x:v>
      </x:c>
      <x:c r="N574" s="13" t="str">
        <x:v>Без нагрузки</x:v>
      </x:c>
      <x:c r="O574" s="13" t="str"/>
      <x:c r="P574" s="13" t="str">
        <x:v>milestone_02_footwork_body_position/week_08_2026-10-26/06_SATURDAY.md</x:v>
      </x:c>
      <x:c r="Q574" s="138" t="str">
        <x:v>Markdown</x:v>
      </x:c>
      <x:c r="R574" s="20" t="str"/>
    </x:row>
    <x:row r="575" ht="36" customHeight="1">
      <x:c r="A575" s="19" t="str">
        <x:v>W08-20261031-0574</x:v>
      </x:c>
      <x:c r="B575" s="13" t="n">
        <x:v>8</x:v>
      </x:c>
      <x:c r="C575" s="13" t="str">
        <x:v>Этап 2 — Ноги и положение корпуса</x:v>
      </x:c>
      <x:c r="D575" s="138" t="str">
        <x:v>2026-10-31</x:v>
      </x:c>
      <x:c r="E575" s="13" t="str">
        <x:v>Суббота</x:v>
      </x:c>
      <x:c r="F575" s="13" t="str">
        <x:v>Отдых / подготовка</x:v>
      </x:c>
      <x:c r="G575" s="44" t="n">
        <x:v>0.016666666666666666</x:v>
      </x:c>
      <x:c r="H575" s="44" t="n">
        <x:v>0.01875</x:v>
      </x:c>
      <x:c r="I575" s="32" t="n">
        <x:f>ROUND((H575-G575)*1440,0)</x:f>
        <x:v>3</x:v>
      </x:c>
      <x:c r="J575" s="13" t="str">
        <x:v>План воскресенья</x:v>
      </x:c>
      <x:c r="K575" s="13" t="str">
        <x:v>Выбери заранее одну лёгкую трассу под тему «Смена ног». Воскресенье остаётся развлечением, не третьим тяжёлым днём.</x:v>
      </x:c>
      <x:c r="L575" s="13" t="str">
        <x:v>☐ Не начато</x:v>
      </x:c>
      <x:c r="M575" s="13" t="str">
        <x:v>Обязательно</x:v>
      </x:c>
      <x:c r="N575" s="13" t="str">
        <x:v>Без нагрузки</x:v>
      </x:c>
      <x:c r="O575" s="13" t="str"/>
      <x:c r="P575" s="13" t="str">
        <x:v>milestone_02_footwork_body_position/week_08_2026-10-26/06_SATURDAY.md</x:v>
      </x:c>
      <x:c r="Q575" s="138" t="str">
        <x:v>Markdown</x:v>
      </x:c>
      <x:c r="R575" s="20" t="str"/>
    </x:row>
    <x:row r="576" ht="36" customHeight="1">
      <x:c r="A576" s="19" t="str">
        <x:v>W08-20261031-0575</x:v>
      </x:c>
      <x:c r="B576" s="13" t="n">
        <x:v>8</x:v>
      </x:c>
      <x:c r="C576" s="13" t="str">
        <x:v>Этап 2 — Ноги и положение корпуса</x:v>
      </x:c>
      <x:c r="D576" s="138" t="str">
        <x:v>2026-10-31</x:v>
      </x:c>
      <x:c r="E576" s="13" t="str">
        <x:v>Суббота</x:v>
      </x:c>
      <x:c r="F576" s="13" t="str">
        <x:v>Отдых / подготовка</x:v>
      </x:c>
      <x:c r="G576" s="44" t="n">
        <x:v>0.01875</x:v>
      </x:c>
      <x:c r="H576" s="44" t="n">
        <x:v>0.020833333333333332</x:v>
      </x:c>
      <x:c r="I576" s="32" t="n">
        <x:f>ROUND((H576-G576)*1440,0)</x:f>
        <x:v>3</x:v>
      </x:c>
      <x:c r="J576" s="13" t="str">
        <x:v>Сон / восстановление</x:v>
      </x:c>
      <x:c r="K576" s="13" t="str">
        <x:v>Запланируй обычный сон и нормальный приём пищи; не пытайся «разбудить хват» вечером.</x:v>
      </x:c>
      <x:c r="L576" s="13" t="str">
        <x:v>☐ Не начато</x:v>
      </x:c>
      <x:c r="M576" s="13" t="str">
        <x:v>Обязательно</x:v>
      </x:c>
      <x:c r="N576" s="13" t="str">
        <x:v>Восстановление</x:v>
      </x:c>
      <x:c r="O576" s="13" t="str"/>
      <x:c r="P576" s="13" t="str">
        <x:v>milestone_02_footwork_body_position/week_08_2026-10-26/06_SATURDAY.md</x:v>
      </x:c>
      <x:c r="Q576" s="138" t="str">
        <x:v>Markdown</x:v>
      </x:c>
      <x:c r="R576" s="20" t="str"/>
    </x:row>
    <x:row r="577" ht="36" customHeight="1">
      <x:c r="A577" s="19" t="str">
        <x:v>W08-20261101-0576</x:v>
      </x:c>
      <x:c r="B577" s="13" t="n">
        <x:v>8</x:v>
      </x:c>
      <x:c r="C577" s="13" t="str">
        <x:v>Этап 2 — Ноги и положение корпуса</x:v>
      </x:c>
      <x:c r="D577" s="138" t="str">
        <x:v>2026-11-01</x:v>
      </x:c>
      <x:c r="E577" s="13" t="str">
        <x:v>Воскресенье</x:v>
      </x:c>
      <x:c r="F577" s="13" t="str">
        <x:v>Тренировка C — fun / опционально</x:v>
      </x:c>
      <x:c r="G577" s="44" t="n">
        <x:v>0</x:v>
      </x:c>
      <x:c r="H577" s="44" t="n">
        <x:v>0.0020833333333333333</x:v>
      </x:c>
      <x:c r="I577" s="32" t="n">
        <x:f>ROUND((H577-G577)*1440,0)</x:f>
        <x:v>3</x:v>
      </x:c>
      <x:c r="J577" s="13" t="str">
        <x:v>Выбор сценария</x:v>
      </x:c>
      <x:c r="K577" s="13" t="str">
        <x:v>Выбери один сценарий: (A) fun-сессия 75 минут в зале или (B) восстановительный день дома 25 минут. Не выполнять оба.</x:v>
      </x:c>
      <x:c r="L577" s="13" t="str">
        <x:v>☐ Не начато</x:v>
      </x:c>
      <x:c r="M577" s="13" t="str">
        <x:v>Выбрать один сценарий</x:v>
      </x:c>
      <x:c r="N577" s="13" t="str">
        <x:v>По состоянию</x:v>
      </x:c>
      <x:c r="O577" s="13" t="str"/>
      <x:c r="P577" s="13" t="str">
        <x:v>milestone_02_footwork_body_position/week_08_2026-10-26/07_SUNDAY.md</x:v>
      </x:c>
      <x:c r="Q577" s="138" t="str">
        <x:v>Markdown</x:v>
      </x:c>
      <x:c r="R577" s="20" t="str"/>
    </x:row>
    <x:row r="578" ht="36" customHeight="1">
      <x:c r="A578" s="19" t="str">
        <x:v>W08-20261101-0577</x:v>
      </x:c>
      <x:c r="B578" s="13" t="n">
        <x:v>8</x:v>
      </x:c>
      <x:c r="C578" s="13" t="str">
        <x:v>Этап 2 — Ноги и положение корпуса</x:v>
      </x:c>
      <x:c r="D578" s="138" t="str">
        <x:v>2026-11-01</x:v>
      </x:c>
      <x:c r="E578" s="13" t="str">
        <x:v>Воскресенье</x:v>
      </x:c>
      <x:c r="F578" s="13" t="str">
        <x:v>Тренировка C — fun / опционально</x:v>
      </x:c>
      <x:c r="G578" s="44" t="n">
        <x:v>0.0020833333333333333</x:v>
      </x:c>
      <x:c r="H578" s="44" t="n">
        <x:v>0.005555555555555556</x:v>
      </x:c>
      <x:c r="I578" s="32" t="n">
        <x:f>ROUND((H578-G578)*1440,0)</x:f>
        <x:v>5</x:v>
      </x:c>
      <x:c r="J578" s="13" t="str">
        <x:v>Разминка A</x:v>
      </x:c>
      <x:c r="K578" s="13" t="str">
        <x:v>Если идёшь в зал: 5 минут поднятия температуры.</x:v>
      </x:c>
      <x:c r="L578" s="13" t="str">
        <x:v>☐ Не начато</x:v>
      </x:c>
      <x:c r="M578" s="13" t="str">
        <x:v>Опционально</x:v>
      </x:c>
      <x:c r="N578" s="13" t="str">
        <x:v>RPE 2–3</x:v>
      </x:c>
      <x:c r="O578" s="13" t="str"/>
      <x:c r="P578" s="13" t="str">
        <x:v>milestone_02_footwork_body_position/week_08_2026-10-26/07_SUNDAY.md</x:v>
      </x:c>
      <x:c r="Q578" s="138" t="str">
        <x:v>Markdown</x:v>
      </x:c>
      <x:c r="R578" s="20" t="str"/>
    </x:row>
    <x:row r="579" ht="36" customHeight="1">
      <x:c r="A579" s="19" t="str">
        <x:v>W08-20261101-0578</x:v>
      </x:c>
      <x:c r="B579" s="13" t="n">
        <x:v>8</x:v>
      </x:c>
      <x:c r="C579" s="13" t="str">
        <x:v>Этап 2 — Ноги и положение корпуса</x:v>
      </x:c>
      <x:c r="D579" s="138" t="str">
        <x:v>2026-11-01</x:v>
      </x:c>
      <x:c r="E579" s="13" t="str">
        <x:v>Воскресенье</x:v>
      </x:c>
      <x:c r="F579" s="13" t="str">
        <x:v>Тренировка C — fun / опционально</x:v>
      </x:c>
      <x:c r="G579" s="44" t="n">
        <x:v>0.005555555555555556</x:v>
      </x:c>
      <x:c r="H579" s="44" t="n">
        <x:v>0.009027777777777777</x:v>
      </x:c>
      <x:c r="I579" s="32" t="n">
        <x:f>ROUND((H579-G579)*1440,0)</x:f>
        <x:v>5</x:v>
      </x:c>
      <x:c r="J579" s="13" t="str">
        <x:v>Разминка A</x:v>
      </x:c>
      <x:c r="K579" s="13" t="str">
        <x:v>Динамическая суставная разминка в безболезненном диапазоне; без отжиманий/press.</x:v>
      </x:c>
      <x:c r="L579" s="13" t="str">
        <x:v>☐ Не начато</x:v>
      </x:c>
      <x:c r="M579" s="13" t="str">
        <x:v>Опционально</x:v>
      </x:c>
      <x:c r="N579" s="13" t="str">
        <x:v>Очень легко</x:v>
      </x:c>
      <x:c r="O579" s="13" t="str">
        <x:v>Разгрузка. Колено держать по направлению носка; не ловить равновесие болезненным толчком рукой.</x:v>
      </x:c>
      <x:c r="P579" s="13" t="str">
        <x:v>milestone_02_footwork_body_position/week_08_2026-10-26/07_SUNDAY.md</x:v>
      </x:c>
      <x:c r="Q579" s="138" t="str">
        <x:v>Markdown</x:v>
      </x:c>
      <x:c r="R579" s="20" t="str"/>
    </x:row>
    <x:row r="580" ht="36" customHeight="1">
      <x:c r="A580" s="19" t="str">
        <x:v>W08-20261101-0579</x:v>
      </x:c>
      <x:c r="B580" s="13" t="n">
        <x:v>8</x:v>
      </x:c>
      <x:c r="C580" s="13" t="str">
        <x:v>Этап 2 — Ноги и положение корпуса</x:v>
      </x:c>
      <x:c r="D580" s="138" t="str">
        <x:v>2026-11-01</x:v>
      </x:c>
      <x:c r="E580" s="13" t="str">
        <x:v>Воскресенье</x:v>
      </x:c>
      <x:c r="F580" s="13" t="str">
        <x:v>Тренировка C — fun / опционально</x:v>
      </x:c>
      <x:c r="G580" s="44" t="n">
        <x:v>0.009027777777777777</x:v>
      </x:c>
      <x:c r="H580" s="44" t="n">
        <x:v>0.013888888888888888</x:v>
      </x:c>
      <x:c r="I580" s="32" t="n">
        <x:f>ROUND((H580-G580)*1440,0)</x:f>
        <x:v>7</x:v>
      </x:c>
      <x:c r="J580" s="13" t="str">
        <x:v>Лёгкое лазание A</x:v>
      </x:c>
      <x:c r="K580" s="13" t="str">
        <x:v>3 очень лёгкие трассы 1–3 с постепенным увеличением сложности.</x:v>
      </x:c>
      <x:c r="L580" s="13" t="str">
        <x:v>☐ Не начато</x:v>
      </x:c>
      <x:c r="M580" s="13" t="str">
        <x:v>Опционально</x:v>
      </x:c>
      <x:c r="N580" s="13" t="str">
        <x:v>RPE 2–4</x:v>
      </x:c>
      <x:c r="O580" s="13" t="str"/>
      <x:c r="P580" s="13" t="str">
        <x:v>milestone_02_footwork_body_position/week_08_2026-10-26/07_SUNDAY.md</x:v>
      </x:c>
      <x:c r="Q580" s="138" t="str">
        <x:v>Markdown</x:v>
      </x:c>
      <x:c r="R580" s="20" t="str"/>
    </x:row>
    <x:row r="581" ht="36" customHeight="1">
      <x:c r="A581" s="19" t="str">
        <x:v>W08-20261101-0580</x:v>
      </x:c>
      <x:c r="B581" s="13" t="n">
        <x:v>8</x:v>
      </x:c>
      <x:c r="C581" s="13" t="str">
        <x:v>Этап 2 — Ноги и положение корпуса</x:v>
      </x:c>
      <x:c r="D581" s="138" t="str">
        <x:v>2026-11-01</x:v>
      </x:c>
      <x:c r="E581" s="13" t="str">
        <x:v>Воскресенье</x:v>
      </x:c>
      <x:c r="F581" s="13" t="str">
        <x:v>Тренировка C — fun / опционально</x:v>
      </x:c>
      <x:c r="G581" s="44" t="n">
        <x:v>0.013888888888888888</x:v>
      </x:c>
      <x:c r="H581" s="44" t="n">
        <x:v>0.020833333333333332</x:v>
      </x:c>
      <x:c r="I581" s="32" t="n">
        <x:f>ROUND((H581-G581)*1440,0)</x:f>
        <x:v>10</x:v>
      </x:c>
      <x:c r="J581" s="13" t="str">
        <x:v>Технический праймер A</x:v>
      </x:c>
      <x:c r="K581" s="13" t="str">
        <x:v>На одной лёгкой трассе дважды повтори «Смена ног». Критерий: Две смены на трассе проходят без скольжения, резкого прыжка и дополнительного перехвата рукой.</x:v>
      </x:c>
      <x:c r="L581" s="13" t="str">
        <x:v>☐ Не начато</x:v>
      </x:c>
      <x:c r="M581" s="13" t="str">
        <x:v>Опционально</x:v>
      </x:c>
      <x:c r="N581" s="13" t="str">
        <x:v>RPE 3–4</x:v>
      </x:c>
      <x:c r="O581" s="13" t="str">
        <x:v>Колено следует направлению носка. Прыжковую смену не использовать при неуверенности.</x:v>
      </x:c>
      <x:c r="P581" s="13" t="str">
        <x:v>milestone_02_footwork_body_position/week_08_2026-10-26/07_SUNDAY.md</x:v>
      </x:c>
      <x:c r="Q581" s="138" t="str">
        <x:v>Markdown</x:v>
      </x:c>
      <x:c r="R581" s="20" t="str"/>
    </x:row>
    <x:row r="582" ht="36" customHeight="1">
      <x:c r="A582" s="19" t="str">
        <x:v>W08-20261101-0581</x:v>
      </x:c>
      <x:c r="B582" s="13" t="n">
        <x:v>8</x:v>
      </x:c>
      <x:c r="C582" s="13" t="str">
        <x:v>Этап 2 — Ноги и положение корпуса</x:v>
      </x:c>
      <x:c r="D582" s="138" t="str">
        <x:v>2026-11-01</x:v>
      </x:c>
      <x:c r="E582" s="13" t="str">
        <x:v>Воскресенье</x:v>
      </x:c>
      <x:c r="F582" s="13" t="str">
        <x:v>Тренировка C — fun / опционально</x:v>
      </x:c>
      <x:c r="G582" s="44" t="n">
        <x:v>0.020833333333333332</x:v>
      </x:c>
      <x:c r="H582" s="44" t="n">
        <x:v>0.03819444444444445</x:v>
      </x:c>
      <x:c r="I582" s="32" t="n">
        <x:f>ROUND((H582-G582)*1440,0)</x:f>
        <x:v>25</x:v>
      </x:c>
      <x:c r="J582" s="13" t="str">
        <x:v>Свободное лазание A</x:v>
      </x:c>
      <x:c r="K582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582" s="13" t="str">
        <x:v>☐ Не начато</x:v>
      </x:c>
      <x:c r="M582" s="13" t="str">
        <x:v>Опционально</x:v>
      </x:c>
      <x:c r="N582" s="13" t="str">
        <x:v>RPE 4–7</x:v>
      </x:c>
      <x:c r="O582" s="13" t="str">
        <x:v>Не превращать блок в круг на выносливость.</x:v>
      </x:c>
      <x:c r="P582" s="13" t="str">
        <x:v>milestone_02_footwork_body_position/week_08_2026-10-26/07_SUNDAY.md</x:v>
      </x:c>
      <x:c r="Q582" s="138" t="str">
        <x:v>Markdown</x:v>
      </x:c>
      <x:c r="R582" s="20" t="str"/>
    </x:row>
    <x:row r="583" ht="36" customHeight="1">
      <x:c r="A583" s="19" t="str">
        <x:v>W08-20261101-0582</x:v>
      </x:c>
      <x:c r="B583" s="13" t="n">
        <x:v>8</x:v>
      </x:c>
      <x:c r="C583" s="13" t="str">
        <x:v>Этап 2 — Ноги и положение корпуса</x:v>
      </x:c>
      <x:c r="D583" s="138" t="str">
        <x:v>2026-11-01</x:v>
      </x:c>
      <x:c r="E583" s="13" t="str">
        <x:v>Воскресенье</x:v>
      </x:c>
      <x:c r="F583" s="13" t="str">
        <x:v>Тренировка C — fun / опционально</x:v>
      </x:c>
      <x:c r="G583" s="44" t="n">
        <x:v>0.03819444444444445</x:v>
      </x:c>
      <x:c r="H583" s="44" t="n">
        <x:v>0.04583333333333333</x:v>
      </x:c>
      <x:c r="I583" s="32" t="n">
        <x:f>ROUND((H583-G583)*1440,0)</x:f>
        <x:v>11</x:v>
      </x:c>
      <x:c r="J583" s="13" t="str">
        <x:v>Свежая сложная попытка A</x:v>
      </x:c>
      <x:c r="K583" s="13" t="str">
        <x:v>Только если всё зелёное: попробуй одну рабочую пятёрку или дружелюбную шестёрку по критериям недели — Одна техничная пятёрка на плите; максимум 3 тяжёлые попытки. Шестёрка — только 1–2 движения для знакомства. Максимум 2 попытки, отдых 4 минуты.</x:v>
      </x:c>
      <x:c r="L583" s="13" t="str">
        <x:v>☐ Не начато</x:v>
      </x:c>
      <x:c r="M583" s="13" t="str">
        <x:v>Опционально</x:v>
      </x:c>
      <x:c r="N583" s="13" t="str">
        <x:v>RPE 7–8, без отказа</x:v>
      </x:c>
      <x:c r="O583" s="13" t="str">
        <x:v>Разгрузка. Колено держать по направлению носка; не ловить равновесие болезненным толчком рукой.</x:v>
      </x:c>
      <x:c r="P583" s="13" t="str">
        <x:v>milestone_02_footwork_body_position/week_08_2026-10-26/07_SUNDAY.md</x:v>
      </x:c>
      <x:c r="Q583" s="138" t="str">
        <x:v>Markdown</x:v>
      </x:c>
      <x:c r="R583" s="20" t="str"/>
    </x:row>
    <x:row r="584" ht="36" customHeight="1">
      <x:c r="A584" s="19" t="str">
        <x:v>W08-20261101-0583</x:v>
      </x:c>
      <x:c r="B584" s="13" t="n">
        <x:v>8</x:v>
      </x:c>
      <x:c r="C584" s="13" t="str">
        <x:v>Этап 2 — Ноги и положение корпуса</x:v>
      </x:c>
      <x:c r="D584" s="138" t="str">
        <x:v>2026-11-01</x:v>
      </x:c>
      <x:c r="E584" s="13" t="str">
        <x:v>Воскресенье</x:v>
      </x:c>
      <x:c r="F584" s="13" t="str">
        <x:v>Тренировка C — fun / опционально</x:v>
      </x:c>
      <x:c r="G584" s="44" t="n">
        <x:v>0.04583333333333333</x:v>
      </x:c>
      <x:c r="H584" s="44" t="n">
        <x:v>0.05</x:v>
      </x:c>
      <x:c r="I584" s="32" t="n">
        <x:f>ROUND((H584-G584)*1440,0)</x:f>
        <x:v>6</x:v>
      </x:c>
      <x:c r="J584" s="13" t="str">
        <x:v>Лёгкий финал A</x:v>
      </x:c>
      <x:c r="K584" s="13" t="str">
        <x:v>Одна любимая лёгкая трасса или спокойный спуск. Фингерборда и capacity-круга нет.</x:v>
      </x:c>
      <x:c r="L584" s="13" t="str">
        <x:v>☐ Не начато</x:v>
      </x:c>
      <x:c r="M584" s="13" t="str">
        <x:v>Опционально</x:v>
      </x:c>
      <x:c r="N584" s="13" t="str">
        <x:v>RPE 2–3</x:v>
      </x:c>
      <x:c r="O584" s="13" t="str"/>
      <x:c r="P584" s="13" t="str">
        <x:v>milestone_02_footwork_body_position/week_08_2026-10-26/07_SUNDAY.md</x:v>
      </x:c>
      <x:c r="Q584" s="138" t="str">
        <x:v>Markdown</x:v>
      </x:c>
      <x:c r="R584" s="20" t="str"/>
    </x:row>
    <x:row r="585" ht="36" customHeight="1">
      <x:c r="A585" s="19" t="str">
        <x:v>W08-20261101-0584</x:v>
      </x:c>
      <x:c r="B585" s="13" t="n">
        <x:v>8</x:v>
      </x:c>
      <x:c r="C585" s="13" t="str">
        <x:v>Этап 2 — Ноги и положение корпуса</x:v>
      </x:c>
      <x:c r="D585" s="138" t="str">
        <x:v>2026-11-01</x:v>
      </x:c>
      <x:c r="E585" s="13" t="str">
        <x:v>Воскресенье</x:v>
      </x:c>
      <x:c r="F585" s="13" t="str">
        <x:v>Тренировка C — fun / опционально</x:v>
      </x:c>
      <x:c r="G585" s="44" t="n">
        <x:v>0.05</x:v>
      </x:c>
      <x:c r="H585" s="44" t="n">
        <x:v>0.052083333333333336</x:v>
      </x:c>
      <x:c r="I585" s="32" t="n">
        <x:f>ROUND((H585-G585)*1440,0)</x:f>
        <x:v>3</x:v>
      </x:c>
      <x:c r="J585" s="13" t="str">
        <x:v>Журнал A</x:v>
      </x:c>
      <x:c r="K585" s="13" t="str">
        <x:v>Запиши только 3 вещи: что было весело, один удачный технический момент, состояние пальцев после сессии.</x:v>
      </x:c>
      <x:c r="L585" s="13" t="str">
        <x:v>☐ Не начато</x:v>
      </x:c>
      <x:c r="M585" s="13" t="str">
        <x:v>Опционально</x:v>
      </x:c>
      <x:c r="N585" s="13" t="str">
        <x:v>Без нагрузки</x:v>
      </x:c>
      <x:c r="O585" s="13" t="str"/>
      <x:c r="P585" s="13" t="str">
        <x:v>milestone_02_footwork_body_position/week_08_2026-10-26/07_SUNDAY.md</x:v>
      </x:c>
      <x:c r="Q585" s="138" t="str">
        <x:v>Markdown</x:v>
      </x:c>
      <x:c r="R585" s="20" t="str"/>
    </x:row>
    <x:row r="586" ht="36" customHeight="1">
      <x:c r="A586" s="19" t="str">
        <x:v>W08-20261101-0585</x:v>
      </x:c>
      <x:c r="B586" s="13" t="n">
        <x:v>8</x:v>
      </x:c>
      <x:c r="C586" s="13" t="str">
        <x:v>Этап 2 — Ноги и положение корпуса</x:v>
      </x:c>
      <x:c r="D586" s="138" t="str">
        <x:v>2026-11-01</x:v>
      </x:c>
      <x:c r="E586" s="13" t="str">
        <x:v>Воскресенье</x:v>
      </x:c>
      <x:c r="F586" s="13" t="str">
        <x:v>Восстановление B — дома</x:v>
      </x:c>
      <x:c r="G586" s="44" t="n">
        <x:v>0</x:v>
      </x:c>
      <x:c r="H586" s="44" t="n">
        <x:v>0.010416666666666666</x:v>
      </x:c>
      <x:c r="I586" s="32" t="n">
        <x:f>ROUND((H586-G586)*1440,0)</x:f>
        <x:v>15</x:v>
      </x:c>
      <x:c r="J586" s="13" t="str">
        <x:v>Прогулка B</x:v>
      </x:c>
      <x:c r="K586" s="13" t="str">
        <x:v>Если не идёшь в зал: 15 минут спокойной прогулки.</x:v>
      </x:c>
      <x:c r="L586" s="13" t="str">
        <x:v>☐ Не начато</x:v>
      </x:c>
      <x:c r="M586" s="13" t="str">
        <x:v>Опционально</x:v>
      </x:c>
      <x:c r="N586" s="13" t="str">
        <x:v>RPE 1–2</x:v>
      </x:c>
      <x:c r="O586" s="13" t="str"/>
      <x:c r="P586" s="13" t="str">
        <x:v>milestone_02_footwork_body_position/week_08_2026-10-26/07_SUNDAY.md</x:v>
      </x:c>
      <x:c r="Q586" s="138" t="str">
        <x:v>Markdown</x:v>
      </x:c>
      <x:c r="R586" s="20" t="str"/>
    </x:row>
    <x:row r="587" ht="36" customHeight="1">
      <x:c r="A587" s="19" t="str">
        <x:v>W08-20261101-0586</x:v>
      </x:c>
      <x:c r="B587" s="13" t="n">
        <x:v>8</x:v>
      </x:c>
      <x:c r="C587" s="13" t="str">
        <x:v>Этап 2 — Ноги и положение корпуса</x:v>
      </x:c>
      <x:c r="D587" s="138" t="str">
        <x:v>2026-11-01</x:v>
      </x:c>
      <x:c r="E587" s="13" t="str">
        <x:v>Воскресенье</x:v>
      </x:c>
      <x:c r="F587" s="13" t="str">
        <x:v>Восстановление B — дома</x:v>
      </x:c>
      <x:c r="G587" s="44" t="n">
        <x:v>0.010416666666666666</x:v>
      </x:c>
      <x:c r="H587" s="44" t="n">
        <x:v>0.015277777777777777</x:v>
      </x:c>
      <x:c r="I587" s="32" t="n">
        <x:f>ROUND((H587-G587)*1440,0)</x:f>
        <x:v>7</x:v>
      </x:c>
      <x:c r="J587" s="13" t="str">
        <x:v>Визуализация B</x:v>
      </x:c>
      <x:c r="K587" s="13" t="str">
        <x:v>7 минут: мысленно повтори тему недели «Смена ног» и одну трассу четверга.</x:v>
      </x:c>
      <x:c r="L587" s="13" t="str">
        <x:v>☐ Не начато</x:v>
      </x:c>
      <x:c r="M587" s="13" t="str">
        <x:v>Опционально</x:v>
      </x:c>
      <x:c r="N587" s="13" t="str">
        <x:v>Без нагрузки</x:v>
      </x:c>
      <x:c r="O587" s="13" t="str"/>
      <x:c r="P587" s="13" t="str">
        <x:v>milestone_02_footwork_body_position/week_08_2026-10-26/07_SUNDAY.md</x:v>
      </x:c>
      <x:c r="Q587" s="138" t="str">
        <x:v>Markdown</x:v>
      </x:c>
      <x:c r="R587" s="20" t="str"/>
    </x:row>
    <x:row r="588" ht="36" customHeight="1">
      <x:c r="A588" s="19" t="str">
        <x:v>W08-20261101-0587</x:v>
      </x:c>
      <x:c r="B588" s="13" t="n">
        <x:v>8</x:v>
      </x:c>
      <x:c r="C588" s="13" t="str">
        <x:v>Этап 2 — Ноги и положение корпуса</x:v>
      </x:c>
      <x:c r="D588" s="138" t="str">
        <x:v>2026-11-01</x:v>
      </x:c>
      <x:c r="E588" s="13" t="str">
        <x:v>Воскресенье</x:v>
      </x:c>
      <x:c r="F588" s="13" t="str">
        <x:v>Восстановление B — дома</x:v>
      </x:c>
      <x:c r="G588" s="44" t="n">
        <x:v>0.015277777777777777</x:v>
      </x:c>
      <x:c r="H588" s="44" t="n">
        <x:v>0.017361111111111112</x:v>
      </x:c>
      <x:c r="I588" s="32" t="n">
        <x:f>ROUND((H588-G588)*1440,0)</x:f>
        <x:v>3</x:v>
      </x:c>
      <x:c r="J588" s="13" t="str">
        <x:v>Итог недели B</x:v>
      </x:c>
      <x:c r="K588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588" s="13" t="str">
        <x:v>☐ Не начато</x:v>
      </x:c>
      <x:c r="M588" s="13" t="str">
        <x:v>Опционально</x:v>
      </x:c>
      <x:c r="N588" s="13" t="str">
        <x:v>Без нагрузки</x:v>
      </x:c>
      <x:c r="O588" s="13" t="str"/>
      <x:c r="P588" s="13" t="str">
        <x:v>milestone_02_footwork_body_position/week_08_2026-10-26/07_SUNDAY.md</x:v>
      </x:c>
      <x:c r="Q588" s="138" t="str">
        <x:v>Markdown</x:v>
      </x:c>
      <x:c r="R588" s="20" t="str"/>
    </x:row>
    <x:row r="589" ht="36" customHeight="1">
      <x:c r="A589" s="19" t="str">
        <x:v>W09-20261102-0588</x:v>
      </x:c>
      <x:c r="B589" s="13" t="n">
        <x:v>9</x:v>
      </x:c>
      <x:c r="C589" s="13" t="str">
        <x:v>Этап 3 — Hooks, натяжение корпуса и первые шестёрки</x:v>
      </x:c>
      <x:c r="D589" s="138" t="str">
        <x:v>2026-11-02</x:v>
      </x:c>
      <x:c r="E589" s="13" t="str">
        <x:v>Понедельник</x:v>
      </x:c>
      <x:c r="F589" s="13" t="str">
        <x:v>Дом / теория</x:v>
      </x:c>
      <x:c r="G589" s="44" t="n">
        <x:v>0</x:v>
      </x:c>
      <x:c r="H589" s="44" t="n">
        <x:v>0.0020833333333333333</x:v>
      </x:c>
      <x:c r="I589" s="32" t="n">
        <x:f>ROUND((H589-G589)*1440,0)</x:f>
        <x:v>3</x:v>
      </x:c>
      <x:c r="J589" s="13" t="str">
        <x:v>Самопроверка</x:v>
      </x:c>
      <x:c r="K589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589" s="13" t="str">
        <x:v>☐ Не начато</x:v>
      </x:c>
      <x:c r="M589" s="13" t="str">
        <x:v>Обязательно</x:v>
      </x:c>
      <x:c r="N589" s="13" t="str">
        <x:v>Очень легко</x:v>
      </x:c>
      <x:c r="O589" s="13" t="str">
        <x:v>Не диагностируй травму самостоятельно; используй правила из документа безопасности.</x:v>
      </x:c>
      <x:c r="P589" s="13" t="str">
        <x:v>milestone_03_hooks_tension_first_sixes/week_09_2026-11-02/01_MONDAY.md</x:v>
      </x:c>
      <x:c r="Q589" s="138" t="str">
        <x:v>Markdown</x:v>
      </x:c>
      <x:c r="R589" s="20" t="str"/>
    </x:row>
    <x:row r="590" ht="36" customHeight="1">
      <x:c r="A590" s="19" t="str">
        <x:v>W09-20261102-0589</x:v>
      </x:c>
      <x:c r="B590" s="13" t="n">
        <x:v>9</x:v>
      </x:c>
      <x:c r="C590" s="13" t="str">
        <x:v>Этап 3 — Hooks, натяжение корпуса и первые шестёрки</x:v>
      </x:c>
      <x:c r="D590" s="138" t="str">
        <x:v>2026-11-02</x:v>
      </x:c>
      <x:c r="E590" s="13" t="str">
        <x:v>Понедельник</x:v>
      </x:c>
      <x:c r="F590" s="13" t="str">
        <x:v>Дом / теория</x:v>
      </x:c>
      <x:c r="G590" s="44" t="n">
        <x:v>0.0020833333333333333</x:v>
      </x:c>
      <x:c r="H590" s="44" t="n">
        <x:v>0.005555555555555556</x:v>
      </x:c>
      <x:c r="I590" s="32" t="n">
        <x:f>ROUND((H590-G590)*1440,0)</x:f>
        <x:v>5</x:v>
      </x:c>
      <x:c r="J590" s="13" t="str">
        <x:v>Планирование</x:v>
      </x:c>
      <x:c r="K590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«Пятка сначала ставится, затем постепенно тянет; не бросай на неё весь вес мгновенно.»</x:v>
      </x:c>
      <x:c r="L590" s="13" t="str">
        <x:v>☐ Не начато</x:v>
      </x:c>
      <x:c r="M590" s="13" t="str">
        <x:v>Обязательно</x:v>
      </x:c>
      <x:c r="N590" s="13" t="str">
        <x:v>Без нагрузки</x:v>
      </x:c>
      <x:c r="O590" s="13" t="str"/>
      <x:c r="P590" s="13" t="str">
        <x:v>milestone_03_hooks_tension_first_sixes/week_09_2026-11-02/01_MONDAY.md</x:v>
      </x:c>
      <x:c r="Q590" s="138" t="str">
        <x:v>Markdown</x:v>
      </x:c>
      <x:c r="R590" s="20" t="str"/>
    </x:row>
    <x:row r="591" ht="36" customHeight="1">
      <x:c r="A591" s="19" t="str">
        <x:v>W09-20261102-0590</x:v>
      </x:c>
      <x:c r="B591" s="13" t="n">
        <x:v>9</x:v>
      </x:c>
      <x:c r="C591" s="13" t="str">
        <x:v>Этап 3 — Hooks, натяжение корпуса и первые шестёрки</x:v>
      </x:c>
      <x:c r="D591" s="138" t="str">
        <x:v>2026-11-02</x:v>
      </x:c>
      <x:c r="E591" s="13" t="str">
        <x:v>Понедельник</x:v>
      </x:c>
      <x:c r="F591" s="13" t="str">
        <x:v>Дом / теория</x:v>
      </x:c>
      <x:c r="G591" s="44" t="n">
        <x:v>0.005555555555555556</x:v>
      </x:c>
      <x:c r="H591" s="44" t="n">
        <x:v>0.011111111111111112</x:v>
      </x:c>
      <x:c r="I591" s="32" t="n">
        <x:f>ROUND((H591-G591)*1440,0)</x:f>
        <x:v>8</x:v>
      </x:c>
      <x:c r="J591" s="13" t="str">
        <x:v>Теория</x:v>
      </x:c>
      <x:c r="K591" s="13" t="str">
        <x:v>Посмотри/прочитай [R10: BMC — How to heel hook when climbing](https://www.thebmc.co.uk/en/how-to-heel-hook-video). Задача: Постановка пятки, направление тяги и постепенная загрузка.</x:v>
      </x:c>
      <x:c r="L591" s="13" t="str">
        <x:v>☐ Не начато</x:v>
      </x:c>
      <x:c r="M591" s="13" t="str">
        <x:v>Обязательно</x:v>
      </x:c>
      <x:c r="N591" s="13" t="str">
        <x:v>Без нагрузки</x:v>
      </x:c>
      <x:c r="O591" s="13" t="str"/>
      <x:c r="P591" s="13" t="str">
        <x:v>milestone_03_hooks_tension_first_sixes/week_09_2026-11-02/01_MONDAY.md</x:v>
      </x:c>
      <x:c r="Q591" s="138" t="str">
        <x:v>Markdown</x:v>
      </x:c>
      <x:c r="R591" s="20" t="str"/>
    </x:row>
    <x:row r="592" ht="36" customHeight="1">
      <x:c r="A592" s="19" t="str">
        <x:v>W09-20261102-0591</x:v>
      </x:c>
      <x:c r="B592" s="13" t="n">
        <x:v>9</x:v>
      </x:c>
      <x:c r="C592" s="13" t="str">
        <x:v>Этап 3 — Hooks, натяжение корпуса и первые шестёрки</x:v>
      </x:c>
      <x:c r="D592" s="138" t="str">
        <x:v>2026-11-02</x:v>
      </x:c>
      <x:c r="E592" s="13" t="str">
        <x:v>Понедельник</x:v>
      </x:c>
      <x:c r="F592" s="13" t="str">
        <x:v>Дом / теория</x:v>
      </x:c>
      <x:c r="G592" s="44" t="n">
        <x:v>0.011111111111111112</x:v>
      </x:c>
      <x:c r="H592" s="44" t="n">
        <x:v>0.014583333333333334</x:v>
      </x:c>
      <x:c r="I592" s="32" t="n">
        <x:f>ROUND((H592-G592)*1440,0)</x:f>
        <x:v>5</x:v>
      </x:c>
      <x:c r="J592" s="13" t="str">
        <x:v>Конспект</x:v>
      </x:c>
      <x:c r="K592" s="13" t="str">
        <x:v>Запиши ровно 3 пункта: (1) что делать ногами/тазом; (2) что не делать руками; (3) какой признак успеха проверишь на стене для темы «Heel hook».</x:v>
      </x:c>
      <x:c r="L592" s="13" t="str">
        <x:v>☐ Не начато</x:v>
      </x:c>
      <x:c r="M592" s="13" t="str">
        <x:v>Обязательно</x:v>
      </x:c>
      <x:c r="N592" s="13" t="str">
        <x:v>Без нагрузки</x:v>
      </x:c>
      <x:c r="O592" s="13" t="str"/>
      <x:c r="P592" s="13" t="str">
        <x:v>milestone_03_hooks_tension_first_sixes/week_09_2026-11-02/01_MONDAY.md</x:v>
      </x:c>
      <x:c r="Q592" s="138" t="str">
        <x:v>Markdown</x:v>
      </x:c>
      <x:c r="R592" s="20" t="str"/>
    </x:row>
    <x:row r="593" ht="36" customHeight="1">
      <x:c r="A593" s="19" t="str">
        <x:v>W09-20261102-0592</x:v>
      </x:c>
      <x:c r="B593" s="13" t="n">
        <x:v>9</x:v>
      </x:c>
      <x:c r="C593" s="13" t="str">
        <x:v>Этап 3 — Hooks, натяжение корпуса и первые шестёрки</x:v>
      </x:c>
      <x:c r="D593" s="138" t="str">
        <x:v>2026-11-02</x:v>
      </x:c>
      <x:c r="E593" s="13" t="str">
        <x:v>Понедельник</x:v>
      </x:c>
      <x:c r="F593" s="13" t="str">
        <x:v>Дом / теория</x:v>
      </x:c>
      <x:c r="G593" s="44" t="n">
        <x:v>0.014583333333333334</x:v>
      </x:c>
      <x:c r="H593" s="44" t="n">
        <x:v>0.022916666666666665</x:v>
      </x:c>
      <x:c r="I593" s="32" t="n">
        <x:f>ROUND((H593-G593)*1440,0)</x:f>
        <x:v>12</x:v>
      </x:c>
      <x:c r="J593" s="13" t="str">
        <x:v>Домашняя мобильность</x:v>
      </x:c>
      <x:c r="K593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593" s="13" t="str">
        <x:v>☐ Не начато</x:v>
      </x:c>
      <x:c r="M593" s="13" t="str">
        <x:v>Обязательно</x:v>
      </x:c>
      <x:c r="N593" s="13" t="str">
        <x:v>RPE 2–3</x:v>
      </x:c>
      <x:c r="O593" s="13" t="str">
        <x:v>Никаких скручиваний через боль. Плечом не отталкивайся от стены; касание только для равновесия.</x:v>
      </x:c>
      <x:c r="P593" s="13" t="str">
        <x:v>milestone_03_hooks_tension_first_sixes/week_09_2026-11-02/01_MONDAY.md</x:v>
      </x:c>
      <x:c r="Q593" s="138" t="str">
        <x:v>Markdown</x:v>
      </x:c>
      <x:c r="R593" s="20" t="str"/>
    </x:row>
    <x:row r="594" ht="36" customHeight="1">
      <x:c r="A594" s="19" t="str">
        <x:v>W09-20261102-0593</x:v>
      </x:c>
      <x:c r="B594" s="13" t="n">
        <x:v>9</x:v>
      </x:c>
      <x:c r="C594" s="13" t="str">
        <x:v>Этап 3 — Hooks, натяжение корпуса и первые шестёрки</x:v>
      </x:c>
      <x:c r="D594" s="138" t="str">
        <x:v>2026-11-02</x:v>
      </x:c>
      <x:c r="E594" s="13" t="str">
        <x:v>Понедельник</x:v>
      </x:c>
      <x:c r="F594" s="13" t="str">
        <x:v>Дом / теория</x:v>
      </x:c>
      <x:c r="G594" s="44" t="n">
        <x:v>0.022916666666666665</x:v>
      </x:c>
      <x:c r="H594" s="44" t="n">
        <x:v>0.03680555555555556</x:v>
      </x:c>
      <x:c r="I594" s="32" t="n">
        <x:f>ROUND((H594-G594)*1440,0)</x:f>
        <x:v>20</x:v>
      </x:c>
      <x:c r="J594" s="13" t="str">
        <x:v>Физиотерапия</x:v>
      </x:c>
      <x:c r="K594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594" s="13" t="str">
        <x:v>☐ Не начато</x:v>
      </x:c>
      <x:c r="M594" s="13" t="str">
        <x:v>По назначению</x:v>
      </x:c>
      <x:c r="N594" s="13" t="str">
        <x:v>По назначению физиотерапевта</x:v>
      </x:c>
      <x:c r="O594" s="13" t="str">
        <x:v>Любые указания физиотерапевта имеют приоритет над этим планом.</x:v>
      </x:c>
      <x:c r="P594" s="13" t="str">
        <x:v>milestone_03_hooks_tension_first_sixes/week_09_2026-11-02/01_MONDAY.md</x:v>
      </x:c>
      <x:c r="Q594" s="138" t="str">
        <x:v>Markdown</x:v>
      </x:c>
      <x:c r="R594" s="20" t="str"/>
    </x:row>
    <x:row r="595" ht="36" customHeight="1">
      <x:c r="A595" s="19" t="str">
        <x:v>W09-20261102-0594</x:v>
      </x:c>
      <x:c r="B595" s="13" t="n">
        <x:v>9</x:v>
      </x:c>
      <x:c r="C595" s="13" t="str">
        <x:v>Этап 3 — Hooks, натяжение корпуса и первые шестёрки</x:v>
      </x:c>
      <x:c r="D595" s="138" t="str">
        <x:v>2026-11-02</x:v>
      </x:c>
      <x:c r="E595" s="13" t="str">
        <x:v>Понедельник</x:v>
      </x:c>
      <x:c r="F595" s="13" t="str">
        <x:v>Дом / теория</x:v>
      </x:c>
      <x:c r="G595" s="44" t="n">
        <x:v>0.03680555555555556</x:v>
      </x:c>
      <x:c r="H595" s="44" t="n">
        <x:v>0.03888888888888889</x:v>
      </x:c>
      <x:c r="I595" s="32" t="n">
        <x:f>ROUND((H595-G595)*1440,0)</x:f>
        <x:v>3</x:v>
      </x:c>
      <x:c r="J595" s="13" t="str">
        <x:v>Подготовка</x:v>
      </x:c>
      <x:c r="K595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595" s="13" t="str">
        <x:v>☐ Не начато</x:v>
      </x:c>
      <x:c r="M595" s="13" t="str">
        <x:v>Обязательно</x:v>
      </x:c>
      <x:c r="N595" s="13" t="str">
        <x:v>Без нагрузки</x:v>
      </x:c>
      <x:c r="O595" s="13" t="str">
        <x:v>Кольца и турник — только в рамках программы физиотерапевта.</x:v>
      </x:c>
      <x:c r="P595" s="13" t="str">
        <x:v>milestone_03_hooks_tension_first_sixes/week_09_2026-11-02/01_MONDAY.md</x:v>
      </x:c>
      <x:c r="Q595" s="138" t="str">
        <x:v>Markdown</x:v>
      </x:c>
      <x:c r="R595" s="20" t="str"/>
    </x:row>
    <x:row r="596" ht="36" customHeight="1">
      <x:c r="A596" s="19" t="str">
        <x:v>W09-20261103-0595</x:v>
      </x:c>
      <x:c r="B596" s="13" t="n">
        <x:v>9</x:v>
      </x:c>
      <x:c r="C596" s="13" t="str">
        <x:v>Этап 3 — Hooks, натяжение корпуса и первые шестёрки</x:v>
      </x:c>
      <x:c r="D596" s="138" t="str">
        <x:v>2026-11-03</x:v>
      </x:c>
      <x:c r="E596" s="13" t="str">
        <x:v>Вторник</x:v>
      </x:c>
      <x:c r="F596" s="13" t="str">
        <x:v>Тренировка A — техника/объём</x:v>
      </x:c>
      <x:c r="G596" s="44" t="n">
        <x:v>0</x:v>
      </x:c>
      <x:c r="H596" s="44" t="n">
        <x:v>0.0020833333333333333</x:v>
      </x:c>
      <x:c r="I596" s="32" t="n">
        <x:f>ROUND((H596-G596)*1440,0)</x:f>
        <x:v>3</x:v>
      </x:c>
      <x:c r="J596" s="13" t="str">
        <x:v>Самопроверка</x:v>
      </x:c>
      <x:c r="K596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596" s="13" t="str">
        <x:v>☐ Не начато</x:v>
      </x:c>
      <x:c r="M596" s="13" t="str">
        <x:v>Обязательно</x:v>
      </x:c>
      <x:c r="N596" s="13" t="str">
        <x:v>Без нагрузки</x:v>
      </x:c>
      <x:c r="O596" s="13" t="str">
        <x:v>Красный флаг = не начинать пальцевую нагрузку.</x:v>
      </x:c>
      <x:c r="P596" s="13" t="str">
        <x:v>milestone_03_hooks_tension_first_sixes/week_09_2026-11-02/02_TUESDAY.md</x:v>
      </x:c>
      <x:c r="Q596" s="138" t="str">
        <x:v>Markdown</x:v>
      </x:c>
      <x:c r="R596" s="20" t="str"/>
    </x:row>
    <x:row r="597" ht="36" customHeight="1">
      <x:c r="A597" s="19" t="str">
        <x:v>W09-20261103-0596</x:v>
      </x:c>
      <x:c r="B597" s="13" t="n">
        <x:v>9</x:v>
      </x:c>
      <x:c r="C597" s="13" t="str">
        <x:v>Этап 3 — Hooks, натяжение корпуса и первые шестёрки</x:v>
      </x:c>
      <x:c r="D597" s="138" t="str">
        <x:v>2026-11-03</x:v>
      </x:c>
      <x:c r="E597" s="13" t="str">
        <x:v>Вторник</x:v>
      </x:c>
      <x:c r="F597" s="13" t="str">
        <x:v>Тренировка A — техника/объём</x:v>
      </x:c>
      <x:c r="G597" s="44" t="n">
        <x:v>0.0020833333333333333</x:v>
      </x:c>
      <x:c r="H597" s="44" t="n">
        <x:v>0.005555555555555556</x:v>
      </x:c>
      <x:c r="I597" s="32" t="n">
        <x:f>ROUND((H597-G597)*1440,0)</x:f>
        <x:v>5</x:v>
      </x:c>
      <x:c r="J597" s="13" t="str">
        <x:v>Разминка</x:v>
      </x:c>
      <x:c r="K597" s="13" t="str">
        <x:v>Подними температуру: быстрая ходьба, лестница или лёгкий велотренажёр 5 минут.</x:v>
      </x:c>
      <x:c r="L597" s="13" t="str">
        <x:v>☐ Не начато</x:v>
      </x:c>
      <x:c r="M597" s="13" t="str">
        <x:v>Обязательно</x:v>
      </x:c>
      <x:c r="N597" s="13" t="str">
        <x:v>RPE 2–3</x:v>
      </x:c>
      <x:c r="O597" s="13" t="str"/>
      <x:c r="P597" s="13" t="str">
        <x:v>milestone_03_hooks_tension_first_sixes/week_09_2026-11-02/02_TUESDAY.md</x:v>
      </x:c>
      <x:c r="Q597" s="138" t="str">
        <x:v>Markdown</x:v>
      </x:c>
      <x:c r="R597" s="20" t="str"/>
    </x:row>
    <x:row r="598" ht="36" customHeight="1">
      <x:c r="A598" s="19" t="str">
        <x:v>W09-20261103-0597</x:v>
      </x:c>
      <x:c r="B598" s="13" t="n">
        <x:v>9</x:v>
      </x:c>
      <x:c r="C598" s="13" t="str">
        <x:v>Этап 3 — Hooks, натяжение корпуса и первые шестёрки</x:v>
      </x:c>
      <x:c r="D598" s="138" t="str">
        <x:v>2026-11-03</x:v>
      </x:c>
      <x:c r="E598" s="13" t="str">
        <x:v>Вторник</x:v>
      </x:c>
      <x:c r="F598" s="13" t="str">
        <x:v>Тренировка A — техника/объём</x:v>
      </x:c>
      <x:c r="G598" s="44" t="n">
        <x:v>0.005555555555555556</x:v>
      </x:c>
      <x:c r="H598" s="44" t="n">
        <x:v>0.009027777777777777</x:v>
      </x:c>
      <x:c r="I598" s="32" t="n">
        <x:f>ROUND((H598-G598)*1440,0)</x:f>
        <x:v>5</x:v>
      </x:c>
      <x:c r="J598" s="13" t="str">
        <x:v>Разминка</x:v>
      </x:c>
      <x:c r="K598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598" s="13" t="str">
        <x:v>☐ Не начато</x:v>
      </x:c>
      <x:c r="M598" s="13" t="str">
        <x:v>Обязательно</x:v>
      </x:c>
      <x:c r="N598" s="13" t="str">
        <x:v>Очень легко</x:v>
      </x:c>
      <x:c r="O598" s="13" t="str">
        <x:v>Не делай press/отжимания и движения, которые раздражают плечо.</x:v>
      </x:c>
      <x:c r="P598" s="13" t="str">
        <x:v>milestone_03_hooks_tension_first_sixes/week_09_2026-11-02/02_TUESDAY.md</x:v>
      </x:c>
      <x:c r="Q598" s="138" t="str">
        <x:v>Markdown</x:v>
      </x:c>
      <x:c r="R598" s="20" t="str"/>
    </x:row>
    <x:row r="599" ht="36" customHeight="1">
      <x:c r="A599" s="19" t="str">
        <x:v>W09-20261103-0598</x:v>
      </x:c>
      <x:c r="B599" s="13" t="n">
        <x:v>9</x:v>
      </x:c>
      <x:c r="C599" s="13" t="str">
        <x:v>Этап 3 — Hooks, натяжение корпуса и первые шестёрки</x:v>
      </x:c>
      <x:c r="D599" s="138" t="str">
        <x:v>2026-11-03</x:v>
      </x:c>
      <x:c r="E599" s="13" t="str">
        <x:v>Вторник</x:v>
      </x:c>
      <x:c r="F599" s="13" t="str">
        <x:v>Тренировка A — техника/объём</x:v>
      </x:c>
      <x:c r="G599" s="44" t="n">
        <x:v>0.009027777777777777</x:v>
      </x:c>
      <x:c r="H599" s="44" t="n">
        <x:v>0.011805555555555555</x:v>
      </x:c>
      <x:c r="I599" s="32" t="n">
        <x:f>ROUND((H599-G599)*1440,0)</x:f>
        <x:v>4</x:v>
      </x:c>
      <x:c r="J599" s="13" t="str">
        <x:v>Разминка пальцев</x:v>
      </x:c>
      <x:c r="K599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599" s="13" t="str">
        <x:v>☐ Не начато</x:v>
      </x:c>
      <x:c r="M599" s="13" t="str">
        <x:v>Обязательно</x:v>
      </x:c>
      <x:c r="N599" s="13" t="str">
        <x:v>Очень легко</x:v>
      </x:c>
      <x:c r="O599" s="13" t="str"/>
      <x:c r="P599" s="13" t="str">
        <x:v>milestone_03_hooks_tension_first_sixes/week_09_2026-11-02/02_TUESDAY.md</x:v>
      </x:c>
      <x:c r="Q599" s="138" t="str">
        <x:v>Markdown</x:v>
      </x:c>
      <x:c r="R599" s="20" t="str"/>
    </x:row>
    <x:row r="600" ht="36" customHeight="1">
      <x:c r="A600" s="19" t="str">
        <x:v>W09-20261103-0599</x:v>
      </x:c>
      <x:c r="B600" s="13" t="n">
        <x:v>9</x:v>
      </x:c>
      <x:c r="C600" s="13" t="str">
        <x:v>Этап 3 — Hooks, натяжение корпуса и первые шестёрки</x:v>
      </x:c>
      <x:c r="D600" s="138" t="str">
        <x:v>2026-11-03</x:v>
      </x:c>
      <x:c r="E600" s="13" t="str">
        <x:v>Вторник</x:v>
      </x:c>
      <x:c r="F600" s="13" t="str">
        <x:v>Тренировка A — техника/объём</x:v>
      </x:c>
      <x:c r="G600" s="44" t="n">
        <x:v>0.011805555555555555</x:v>
      </x:c>
      <x:c r="H600" s="44" t="n">
        <x:v>0.014583333333333334</x:v>
      </x:c>
      <x:c r="I600" s="32" t="n">
        <x:f>ROUND((H600-G600)*1440,0)</x:f>
        <x:v>4</x:v>
      </x:c>
      <x:c r="J600" s="13" t="str">
        <x:v>Разминочное лазание</x:v>
      </x:c>
      <x:c r="K600" s="13" t="str">
        <x:v>Пройди 2 очень лёгкие трассы уровня 1–2; двигайся медленно, спускайся по зацепам.</x:v>
      </x:c>
      <x:c r="L600" s="13" t="str">
        <x:v>☐ Не начато</x:v>
      </x:c>
      <x:c r="M600" s="13" t="str">
        <x:v>Обязательно</x:v>
      </x:c>
      <x:c r="N600" s="13" t="str">
        <x:v>RPE 2–3</x:v>
      </x:c>
      <x:c r="O600" s="13" t="str">
        <x:v>Финиш с обязательным болезненным mantle/press пропусти.</x:v>
      </x:c>
      <x:c r="P600" s="13" t="str">
        <x:v>milestone_03_hooks_tension_first_sixes/week_09_2026-11-02/02_TUESDAY.md</x:v>
      </x:c>
      <x:c r="Q600" s="138" t="str">
        <x:v>Markdown</x:v>
      </x:c>
      <x:c r="R600" s="20" t="str"/>
    </x:row>
    <x:row r="601" ht="36" customHeight="1">
      <x:c r="A601" s="19" t="str">
        <x:v>W09-20261103-0600</x:v>
      </x:c>
      <x:c r="B601" s="13" t="n">
        <x:v>9</x:v>
      </x:c>
      <x:c r="C601" s="13" t="str">
        <x:v>Этап 3 — Hooks, натяжение корпуса и первые шестёрки</x:v>
      </x:c>
      <x:c r="D601" s="138" t="str">
        <x:v>2026-11-03</x:v>
      </x:c>
      <x:c r="E601" s="13" t="str">
        <x:v>Вторник</x:v>
      </x:c>
      <x:c r="F601" s="13" t="str">
        <x:v>Тренировка A — техника/объём</x:v>
      </x:c>
      <x:c r="G601" s="44" t="n">
        <x:v>0.014583333333333334</x:v>
      </x:c>
      <x:c r="H601" s="44" t="n">
        <x:v>0.017361111111111112</x:v>
      </x:c>
      <x:c r="I601" s="32" t="n">
        <x:f>ROUND((H601-G601)*1440,0)</x:f>
        <x:v>4</x:v>
      </x:c>
      <x:c r="J601" s="13" t="str">
        <x:v>Разминочное лазание</x:v>
      </x:c>
      <x:c r="K601" s="13" t="str">
        <x:v>Пройди 2 трассы уровня 2–3, затем сделай 2–3 движения на комфортной четвёрке. Между ними 45–60 секунд.</x:v>
      </x:c>
      <x:c r="L601" s="13" t="str">
        <x:v>☐ Не начато</x:v>
      </x:c>
      <x:c r="M601" s="13" t="str">
        <x:v>Обязательно</x:v>
      </x:c>
      <x:c r="N601" s="13" t="str">
        <x:v>RPE 3–4</x:v>
      </x:c>
      <x:c r="O601" s="13" t="str">
        <x:v>Разминка не должна утомить пальцы.</x:v>
      </x:c>
      <x:c r="P601" s="13" t="str">
        <x:v>milestone_03_hooks_tension_first_sixes/week_09_2026-11-02/02_TUESDAY.md</x:v>
      </x:c>
      <x:c r="Q601" s="138" t="str">
        <x:v>Markdown</x:v>
      </x:c>
      <x:c r="R601" s="20" t="str"/>
    </x:row>
    <x:row r="602" ht="36" customHeight="1">
      <x:c r="A602" s="19" t="str">
        <x:v>W09-20261103-0601</x:v>
      </x:c>
      <x:c r="B602" s="13" t="n">
        <x:v>9</x:v>
      </x:c>
      <x:c r="C602" s="13" t="str">
        <x:v>Этап 3 — Hooks, натяжение корпуса и первые шестёрки</x:v>
      </x:c>
      <x:c r="D602" s="138" t="str">
        <x:v>2026-11-03</x:v>
      </x:c>
      <x:c r="E602" s="13" t="str">
        <x:v>Вторник</x:v>
      </x:c>
      <x:c r="F602" s="13" t="str">
        <x:v>Тренировка A — техника/объём</x:v>
      </x:c>
      <x:c r="G602" s="44" t="n">
        <x:v>0.017361111111111112</x:v>
      </x:c>
      <x:c r="H602" s="44" t="n">
        <x:v>0.02013888888888889</x:v>
      </x:c>
      <x:c r="I602" s="32" t="n">
        <x:f>ROUND((H602-G602)*1440,0)</x:f>
        <x:v>4</x:v>
      </x:c>
      <x:c r="J602" s="13" t="str">
        <x:v>Выбор трасс</x:v>
      </x:c>
      <x:c r="K602" s="13" t="str">
        <x:v>Найди трассы для упражнения: 2–3 лёгкие трассы/отдельные позиции с крупным зацепом на уровне таза, где heel hook можно снять в любой момент.</x:v>
      </x:c>
      <x:c r="L602" s="13" t="str">
        <x:v>☐ Не начато</x:v>
      </x:c>
      <x:c r="M602" s="13" t="str">
        <x:v>Обязательно</x:v>
      </x:c>
      <x:c r="N602" s="13" t="str">
        <x:v>Без нагрузки</x:v>
      </x:c>
      <x:c r="O602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02" s="13" t="str">
        <x:v>milestone_03_hooks_tension_first_sixes/week_09_2026-11-02/02_TUESDAY.md</x:v>
      </x:c>
      <x:c r="Q602" s="138" t="str">
        <x:v>Markdown</x:v>
      </x:c>
      <x:c r="R602" s="20" t="str"/>
    </x:row>
    <x:row r="603" ht="36" customHeight="1">
      <x:c r="A603" s="19" t="str">
        <x:v>W09-20261103-0602</x:v>
      </x:c>
      <x:c r="B603" s="13" t="n">
        <x:v>9</x:v>
      </x:c>
      <x:c r="C603" s="13" t="str">
        <x:v>Этап 3 — Hooks, натяжение корпуса и первые шестёрки</x:v>
      </x:c>
      <x:c r="D603" s="138" t="str">
        <x:v>2026-11-03</x:v>
      </x:c>
      <x:c r="E603" s="13" t="str">
        <x:v>Вторник</x:v>
      </x:c>
      <x:c r="F603" s="13" t="str">
        <x:v>Тренировка A — техника/объём</x:v>
      </x:c>
      <x:c r="G603" s="44" t="n">
        <x:v>0.02013888888888889</x:v>
      </x:c>
      <x:c r="H603" s="44" t="n">
        <x:v>0.03194444444444444</x:v>
      </x:c>
      <x:c r="I603" s="32" t="n">
        <x:f>ROUND((H603-G603)*1440,0)</x:f>
        <x:v>17</x:v>
      </x:c>
      <x:c r="J603" s="13" t="str">
        <x:v>Технический блок</x:v>
      </x:c>
      <x:c r="K603" s="13" t="str">
        <x:v>Отработай «Heel hook». Шаги: Положи пятку на устойчивую часть зацепа. Подтяни носок к себе и создай напряжение задней поверхности ноги. Нагружай пятку постепенно, одновременно сохраняя давление другой стопой.</x:v>
      </x:c>
      <x:c r="L603" s="13" t="str">
        <x:v>☐ Не начато</x:v>
      </x:c>
      <x:c r="M603" s="13" t="str">
        <x:v>Обязательно</x:v>
      </x:c>
      <x:c r="N603" s="13" t="str">
        <x:v>RPE 3–5</x:v>
      </x:c>
      <x:c r="O603" s="13" t="str">
        <x:v>Правое колено только в комфортном угле; при вращательной боли использовать другую ногу/бету.</x:v>
      </x:c>
      <x:c r="P603" s="13" t="str">
        <x:v>milestone_03_hooks_tension_first_sixes/week_09_2026-11-02/02_TUESDAY.md</x:v>
      </x:c>
      <x:c r="Q603" s="138" t="str">
        <x:v>Markdown</x:v>
      </x:c>
      <x:c r="R603" s="20" t="str"/>
    </x:row>
    <x:row r="604" ht="36" customHeight="1">
      <x:c r="A604" s="19" t="str">
        <x:v>W09-20261103-0603</x:v>
      </x:c>
      <x:c r="B604" s="13" t="n">
        <x:v>9</x:v>
      </x:c>
      <x:c r="C604" s="13" t="str">
        <x:v>Этап 3 — Hooks, натяжение корпуса и первые шестёрки</x:v>
      </x:c>
      <x:c r="D604" s="138" t="str">
        <x:v>2026-11-03</x:v>
      </x:c>
      <x:c r="E604" s="13" t="str">
        <x:v>Вторник</x:v>
      </x:c>
      <x:c r="F604" s="13" t="str">
        <x:v>Тренировка A — техника/объём</x:v>
      </x:c>
      <x:c r="G604" s="44" t="n">
        <x:v>0.03194444444444444</x:v>
      </x:c>
      <x:c r="H604" s="44" t="n">
        <x:v>0.035416666666666666</x:v>
      </x:c>
      <x:c r="I604" s="32" t="n">
        <x:f>ROUND((H604-G604)*1440,0)</x:f>
        <x:v>5</x:v>
      </x:c>
      <x:c r="J604" s="13" t="str">
        <x:v>Обратная связь</x:v>
      </x:c>
      <x:c r="K604" s="13" t="str">
        <x:v>Повтори лучшую лёгкую трассу и проверь критерий успеха: Можно на секунду ослабить одну руку без рывка и без смещения пятки.</x:v>
      </x:c>
      <x:c r="L604" s="13" t="str">
        <x:v>☐ Не начато</x:v>
      </x:c>
      <x:c r="M604" s="13" t="str">
        <x:v>Обязательно</x:v>
      </x:c>
      <x:c r="N604" s="13" t="str">
        <x:v>RPE 4–5</x:v>
      </x:c>
      <x:c r="O604" s="13" t="str"/>
      <x:c r="P604" s="13" t="str">
        <x:v>milestone_03_hooks_tension_first_sixes/week_09_2026-11-02/02_TUESDAY.md</x:v>
      </x:c>
      <x:c r="Q604" s="138" t="str">
        <x:v>Markdown</x:v>
      </x:c>
      <x:c r="R604" s="20" t="str"/>
    </x:row>
    <x:row r="605" ht="36" customHeight="1">
      <x:c r="A605" s="19" t="str">
        <x:v>W09-20261103-0604</x:v>
      </x:c>
      <x:c r="B605" s="13" t="n">
        <x:v>9</x:v>
      </x:c>
      <x:c r="C605" s="13" t="str">
        <x:v>Этап 3 — Hooks, натяжение корпуса и первые шестёрки</x:v>
      </x:c>
      <x:c r="D605" s="138" t="str">
        <x:v>2026-11-03</x:v>
      </x:c>
      <x:c r="E605" s="13" t="str">
        <x:v>Вторник</x:v>
      </x:c>
      <x:c r="F605" s="13" t="str">
        <x:v>Тренировка A — техника/объём</x:v>
      </x:c>
      <x:c r="G605" s="44" t="n">
        <x:v>0.035416666666666666</x:v>
      </x:c>
      <x:c r="H605" s="44" t="n">
        <x:v>0.04583333333333333</x:v>
      </x:c>
      <x:c r="I605" s="32" t="n">
        <x:f>ROUND((H605-G605)*1440,0)</x:f>
        <x:v>15</x:v>
      </x:c>
      <x:c r="J605" s="13" t="str">
        <x:v>Качественный объём</x:v>
      </x:c>
      <x:c r="K605" s="13" t="str">
        <x:v>Попробуй 2–3 четвёрки, максимум 2 попытки на каждую, отдых 2:00. На неудаче назови техническую причину.</x:v>
      </x:c>
      <x:c r="L605" s="13" t="str">
        <x:v>☐ Не начато</x:v>
      </x:c>
      <x:c r="M605" s="13" t="str">
        <x:v>Обязательно</x:v>
      </x:c>
      <x:c r="N605" s="13" t="str">
        <x:v>RPE 6–7</x:v>
      </x:c>
      <x:c r="O605" s="13" t="str">
        <x:v>Не выбирать подряд три трассы на одинаково маленьких кромках.</x:v>
      </x:c>
      <x:c r="P605" s="13" t="str">
        <x:v>milestone_03_hooks_tension_first_sixes/week_09_2026-11-02/02_TUESDAY.md</x:v>
      </x:c>
      <x:c r="Q605" s="138" t="str">
        <x:v>Markdown</x:v>
      </x:c>
      <x:c r="R605" s="20" t="str"/>
    </x:row>
    <x:row r="606" ht="36" customHeight="1">
      <x:c r="A606" s="19" t="str">
        <x:v>W09-20261103-0605</x:v>
      </x:c>
      <x:c r="B606" s="13" t="n">
        <x:v>9</x:v>
      </x:c>
      <x:c r="C606" s="13" t="str">
        <x:v>Этап 3 — Hooks, натяжение корпуса и первые шестёрки</x:v>
      </x:c>
      <x:c r="D606" s="138" t="str">
        <x:v>2026-11-03</x:v>
      </x:c>
      <x:c r="E606" s="13" t="str">
        <x:v>Вторник</x:v>
      </x:c>
      <x:c r="F606" s="13" t="str">
        <x:v>Тренировка A — техника/объём</x:v>
      </x:c>
      <x:c r="G606" s="44" t="n">
        <x:v>0.04583333333333333</x:v>
      </x:c>
      <x:c r="H606" s="44" t="n">
        <x:v>0.052083333333333336</x:v>
      </x:c>
      <x:c r="I606" s="32" t="n">
        <x:f>ROUND((H606-G606)*1440,0)</x:f>
        <x:v>9</x:v>
      </x:c>
      <x:c r="J606" s="13" t="str">
        <x:v>Рабочая пятёрка</x:v>
      </x:c>
      <x:c r="K606" s="13" t="str">
        <x:v>Одна пятёрка, максимум 2 попытки, отдых 3:00. Цель — применить тему недели, а не обязательно закрыть.</x:v>
      </x:c>
      <x:c r="L606" s="13" t="str">
        <x:v>☐ Не начато</x:v>
      </x:c>
      <x:c r="M606" s="13" t="str">
        <x:v>Обязательно</x:v>
      </x:c>
      <x:c r="N606" s="13" t="str">
        <x:v>RPE 7–8</x:v>
      </x:c>
      <x:c r="O606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06" s="13" t="str">
        <x:v>milestone_03_hooks_tension_first_sixes/week_09_2026-11-02/02_TUESDAY.md</x:v>
      </x:c>
      <x:c r="Q606" s="138" t="str">
        <x:v>Markdown</x:v>
      </x:c>
      <x:c r="R606" s="20" t="str"/>
    </x:row>
    <x:row r="607" ht="36" customHeight="1">
      <x:c r="A607" s="19" t="str">
        <x:v>W09-20261103-0606</x:v>
      </x:c>
      <x:c r="B607" s="13" t="n">
        <x:v>9</x:v>
      </x:c>
      <x:c r="C607" s="13" t="str">
        <x:v>Этап 3 — Hooks, натяжение корпуса и первые шестёрки</x:v>
      </x:c>
      <x:c r="D607" s="138" t="str">
        <x:v>2026-11-03</x:v>
      </x:c>
      <x:c r="E607" s="13" t="str">
        <x:v>Вторник</x:v>
      </x:c>
      <x:c r="F607" s="13" t="str">
        <x:v>Тренировка A — техника/объём</x:v>
      </x:c>
      <x:c r="G607" s="44" t="n">
        <x:v>0.052083333333333336</x:v>
      </x:c>
      <x:c r="H607" s="44" t="n">
        <x:v>0.058333333333333334</x:v>
      </x:c>
      <x:c r="I607" s="32" t="n">
        <x:f>ROUND((H607-G607)*1440,0)</x:f>
        <x:v>9</x:v>
      </x:c>
      <x:c r="J607" s="13" t="str">
        <x:v>Лёгкая выносливость</x:v>
      </x:c>
      <x:c r="K607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607" s="13" t="str">
        <x:v>☐ Не начато</x:v>
      </x:c>
      <x:c r="M607" s="13" t="str">
        <x:v>Обязательно</x:v>
      </x:c>
      <x:c r="N607" s="13" t="str">
        <x:v>Памп максимум 4/10</x:v>
      </x:c>
      <x:c r="O607" s="13" t="str">
        <x:v>Остановиться при неточной постановке ног или разжимании пальцев.</x:v>
      </x:c>
      <x:c r="P607" s="13" t="str">
        <x:v>milestone_03_hooks_tension_first_sixes/week_09_2026-11-02/02_TUESDAY.md</x:v>
      </x:c>
      <x:c r="Q607" s="138" t="str">
        <x:v>Markdown</x:v>
      </x:c>
      <x:c r="R607" s="20" t="str"/>
    </x:row>
    <x:row r="608" ht="36" customHeight="1">
      <x:c r="A608" s="19" t="str">
        <x:v>W09-20261103-0607</x:v>
      </x:c>
      <x:c r="B608" s="13" t="n">
        <x:v>9</x:v>
      </x:c>
      <x:c r="C608" s="13" t="str">
        <x:v>Этап 3 — Hooks, натяжение корпуса и первые шестёрки</x:v>
      </x:c>
      <x:c r="D608" s="138" t="str">
        <x:v>2026-11-03</x:v>
      </x:c>
      <x:c r="E608" s="13" t="str">
        <x:v>Вторник</x:v>
      </x:c>
      <x:c r="F608" s="13" t="str">
        <x:v>Тренировка A — техника/объём</x:v>
      </x:c>
      <x:c r="G608" s="44" t="n">
        <x:v>0.058333333333333334</x:v>
      </x:c>
      <x:c r="H608" s="44" t="n">
        <x:v>0.06041666666666667</x:v>
      </x:c>
      <x:c r="I608" s="32" t="n">
        <x:f>ROUND((H608-G608)*1440,0)</x:f>
        <x:v>3</x:v>
      </x:c>
      <x:c r="J608" s="13" t="str">
        <x:v>Завершение</x:v>
      </x:c>
      <x:c r="K608" s="13" t="str">
        <x:v>Очень лёгкий спуск/ходьба и спокойное встряхивание кистей.</x:v>
      </x:c>
      <x:c r="L608" s="13" t="str">
        <x:v>☐ Не начато</x:v>
      </x:c>
      <x:c r="M608" s="13" t="str">
        <x:v>Обязательно</x:v>
      </x:c>
      <x:c r="N608" s="13" t="str">
        <x:v>RPE 1–2</x:v>
      </x:c>
      <x:c r="O608" s="13" t="str"/>
      <x:c r="P608" s="13" t="str">
        <x:v>milestone_03_hooks_tension_first_sixes/week_09_2026-11-02/02_TUESDAY.md</x:v>
      </x:c>
      <x:c r="Q608" s="138" t="str">
        <x:v>Markdown</x:v>
      </x:c>
      <x:c r="R608" s="20" t="str"/>
    </x:row>
    <x:row r="609" ht="36" customHeight="1">
      <x:c r="A609" s="19" t="str">
        <x:v>W09-20261103-0608</x:v>
      </x:c>
      <x:c r="B609" s="13" t="n">
        <x:v>9</x:v>
      </x:c>
      <x:c r="C609" s="13" t="str">
        <x:v>Этап 3 — Hooks, натяжение корпуса и первые шестёрки</x:v>
      </x:c>
      <x:c r="D609" s="138" t="str">
        <x:v>2026-11-03</x:v>
      </x:c>
      <x:c r="E609" s="13" t="str">
        <x:v>Вторник</x:v>
      </x:c>
      <x:c r="F609" s="13" t="str">
        <x:v>Тренировка A — техника/объём</x:v>
      </x:c>
      <x:c r="G609" s="44" t="n">
        <x:v>0.06041666666666667</x:v>
      </x:c>
      <x:c r="H609" s="44" t="n">
        <x:v>0.0625</x:v>
      </x:c>
      <x:c r="I609" s="32" t="n">
        <x:f>ROUND((H609-G609)*1440,0)</x:f>
        <x:v>3</x:v>
      </x:c>
      <x:c r="J609" s="13" t="str">
        <x:v>Журнал</x:v>
      </x:c>
      <x:c r="K609" s="13" t="str">
        <x:v>Запиши: На лёгкой трассе почувствовать, что heel hook реально разгружает хотя бы одну руку. Также отметь минуту первой просадки хвата.</x:v>
      </x:c>
      <x:c r="L609" s="13" t="str">
        <x:v>☐ Не начато</x:v>
      </x:c>
      <x:c r="M609" s="13" t="str">
        <x:v>Обязательно</x:v>
      </x:c>
      <x:c r="N609" s="13" t="str">
        <x:v>Без нагрузки</x:v>
      </x:c>
      <x:c r="O609" s="13" t="str"/>
      <x:c r="P609" s="13" t="str">
        <x:v>milestone_03_hooks_tension_first_sixes/week_09_2026-11-02/02_TUESDAY.md</x:v>
      </x:c>
      <x:c r="Q609" s="138" t="str">
        <x:v>Markdown</x:v>
      </x:c>
      <x:c r="R609" s="20" t="str"/>
    </x:row>
    <x:row r="610" ht="36" customHeight="1">
      <x:c r="A610" s="19" t="str">
        <x:v>W09-20261104-0609</x:v>
      </x:c>
      <x:c r="B610" s="13" t="n">
        <x:v>9</x:v>
      </x:c>
      <x:c r="C610" s="13" t="str">
        <x:v>Этап 3 — Hooks, натяжение корпуса и первые шестёрки</x:v>
      </x:c>
      <x:c r="D610" s="138" t="str">
        <x:v>2026-11-04</x:v>
      </x:c>
      <x:c r="E610" s="13" t="str">
        <x:v>Среда</x:v>
      </x:c>
      <x:c r="F610" s="13" t="str">
        <x:v>Восстановление / видео</x:v>
      </x:c>
      <x:c r="G610" s="44" t="n">
        <x:v>0</x:v>
      </x:c>
      <x:c r="H610" s="44" t="n">
        <x:v>0.006944444444444444</x:v>
      </x:c>
      <x:c r="I610" s="32" t="n">
        <x:f>ROUND((H610-G610)*1440,0)</x:f>
        <x:v>10</x:v>
      </x:c>
      <x:c r="J610" s="13" t="str">
        <x:v>Восстановление</x:v>
      </x:c>
      <x:c r="K610" s="13" t="str">
        <x:v>10 минут спокойной ходьбы. Руки расслаблены; это не тренировка выносливости.</x:v>
      </x:c>
      <x:c r="L610" s="13" t="str">
        <x:v>☐ Не начато</x:v>
      </x:c>
      <x:c r="M610" s="13" t="str">
        <x:v>Обязательно</x:v>
      </x:c>
      <x:c r="N610" s="13" t="str">
        <x:v>RPE 1–2</x:v>
      </x:c>
      <x:c r="O610" s="13" t="str"/>
      <x:c r="P610" s="13" t="str">
        <x:v>milestone_03_hooks_tension_first_sixes/week_09_2026-11-02/03_WEDNESDAY.md</x:v>
      </x:c>
      <x:c r="Q610" s="138" t="str">
        <x:v>Markdown</x:v>
      </x:c>
      <x:c r="R610" s="20" t="str"/>
    </x:row>
    <x:row r="611" ht="36" customHeight="1">
      <x:c r="A611" s="19" t="str">
        <x:v>W09-20261104-0610</x:v>
      </x:c>
      <x:c r="B611" s="13" t="n">
        <x:v>9</x:v>
      </x:c>
      <x:c r="C611" s="13" t="str">
        <x:v>Этап 3 — Hooks, натяжение корпуса и первые шестёрки</x:v>
      </x:c>
      <x:c r="D611" s="138" t="str">
        <x:v>2026-11-04</x:v>
      </x:c>
      <x:c r="E611" s="13" t="str">
        <x:v>Среда</x:v>
      </x:c>
      <x:c r="F611" s="13" t="str">
        <x:v>Восстановление / видео</x:v>
      </x:c>
      <x:c r="G611" s="44" t="n">
        <x:v>0.006944444444444444</x:v>
      </x:c>
      <x:c r="H611" s="44" t="n">
        <x:v>0.009027777777777777</x:v>
      </x:c>
      <x:c r="I611" s="32" t="n">
        <x:f>ROUND((H611-G611)*1440,0)</x:f>
        <x:v>3</x:v>
      </x:c>
      <x:c r="J611" s="13" t="str">
        <x:v>Самопроверка</x:v>
      </x:c>
      <x:c r="K611" s="13" t="str">
        <x:v>Оцени реакцию после вторника: плечо, пальцы, правое колено 0–10. Запиши, что изменилось относительно вчерашнего утра.</x:v>
      </x:c>
      <x:c r="L611" s="13" t="str">
        <x:v>☐ Не начато</x:v>
      </x:c>
      <x:c r="M611" s="13" t="str">
        <x:v>Обязательно</x:v>
      </x:c>
      <x:c r="N611" s="13" t="str">
        <x:v>Без нагрузки</x:v>
      </x:c>
      <x:c r="O611" s="13" t="str">
        <x:v>Острая локальная боль пальца или ухудшение плеча = не делать четверговую пальцевую нагрузку.</x:v>
      </x:c>
      <x:c r="P611" s="13" t="str">
        <x:v>milestone_03_hooks_tension_first_sixes/week_09_2026-11-02/03_WEDNESDAY.md</x:v>
      </x:c>
      <x:c r="Q611" s="138" t="str">
        <x:v>Markdown</x:v>
      </x:c>
      <x:c r="R611" s="20" t="str"/>
    </x:row>
    <x:row r="612" ht="36" customHeight="1">
      <x:c r="A612" s="19" t="str">
        <x:v>W09-20261104-0611</x:v>
      </x:c>
      <x:c r="B612" s="13" t="n">
        <x:v>9</x:v>
      </x:c>
      <x:c r="C612" s="13" t="str">
        <x:v>Этап 3 — Hooks, натяжение корпуса и первые шестёрки</x:v>
      </x:c>
      <x:c r="D612" s="138" t="str">
        <x:v>2026-11-04</x:v>
      </x:c>
      <x:c r="E612" s="13" t="str">
        <x:v>Среда</x:v>
      </x:c>
      <x:c r="F612" s="13" t="str">
        <x:v>Восстановление / видео</x:v>
      </x:c>
      <x:c r="G612" s="44" t="n">
        <x:v>0.009027777777777777</x:v>
      </x:c>
      <x:c r="H612" s="44" t="n">
        <x:v>0.01597222222222222</x:v>
      </x:c>
      <x:c r="I612" s="32" t="n">
        <x:f>ROUND((H612-G612)*1440,0)</x:f>
        <x:v>10</x:v>
      </x:c>
      <x:c r="J612" s="13" t="str">
        <x:v>Видеоразбор</x:v>
      </x:c>
      <x:c r="K612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612" s="13" t="str">
        <x:v>☐ Не начато</x:v>
      </x:c>
      <x:c r="M612" s="13" t="str">
        <x:v>Обязательно</x:v>
      </x:c>
      <x:c r="N612" s="13" t="str">
        <x:v>Без нагрузки</x:v>
      </x:c>
      <x:c r="O612" s="13" t="str"/>
      <x:c r="P612" s="13" t="str">
        <x:v>milestone_03_hooks_tension_first_sixes/week_09_2026-11-02/03_WEDNESDAY.md</x:v>
      </x:c>
      <x:c r="Q612" s="138" t="str">
        <x:v>Markdown</x:v>
      </x:c>
      <x:c r="R612" s="20" t="str"/>
    </x:row>
    <x:row r="613" ht="36" customHeight="1">
      <x:c r="A613" s="19" t="str">
        <x:v>W09-20261104-0612</x:v>
      </x:c>
      <x:c r="B613" s="13" t="n">
        <x:v>9</x:v>
      </x:c>
      <x:c r="C613" s="13" t="str">
        <x:v>Этап 3 — Hooks, натяжение корпуса и первые шестёрки</x:v>
      </x:c>
      <x:c r="D613" s="138" t="str">
        <x:v>2026-11-04</x:v>
      </x:c>
      <x:c r="E613" s="13" t="str">
        <x:v>Среда</x:v>
      </x:c>
      <x:c r="F613" s="13" t="str">
        <x:v>Восстановление / видео</x:v>
      </x:c>
      <x:c r="G613" s="44" t="n">
        <x:v>0.01597222222222222</x:v>
      </x:c>
      <x:c r="H613" s="44" t="n">
        <x:v>0.01875</x:v>
      </x:c>
      <x:c r="I613" s="32" t="n">
        <x:f>ROUND((H613-G613)*1440,0)</x:f>
        <x:v>4</x:v>
      </x:c>
      <x:c r="J613" s="13" t="str">
        <x:v>Конспект</x:v>
      </x:c>
      <x:c r="K613" s="13" t="str">
        <x:v>Запиши одну правку на четверг в формате «В следующей попытке я…». Используй cue: «Пятка сначала ставится, затем постепенно тянет; не бросай на неё весь вес мгновенно.».</x:v>
      </x:c>
      <x:c r="L613" s="13" t="str">
        <x:v>☐ Не начато</x:v>
      </x:c>
      <x:c r="M613" s="13" t="str">
        <x:v>Обязательно</x:v>
      </x:c>
      <x:c r="N613" s="13" t="str">
        <x:v>Без нагрузки</x:v>
      </x:c>
      <x:c r="O613" s="13" t="str"/>
      <x:c r="P613" s="13" t="str">
        <x:v>milestone_03_hooks_tension_first_sixes/week_09_2026-11-02/03_WEDNESDAY.md</x:v>
      </x:c>
      <x:c r="Q613" s="138" t="str">
        <x:v>Markdown</x:v>
      </x:c>
      <x:c r="R613" s="20" t="str"/>
    </x:row>
    <x:row r="614" ht="36" customHeight="1">
      <x:c r="A614" s="19" t="str">
        <x:v>W09-20261104-0613</x:v>
      </x:c>
      <x:c r="B614" s="13" t="n">
        <x:v>9</x:v>
      </x:c>
      <x:c r="C614" s="13" t="str">
        <x:v>Этап 3 — Hooks, натяжение корпуса и первые шестёрки</x:v>
      </x:c>
      <x:c r="D614" s="138" t="str">
        <x:v>2026-11-04</x:v>
      </x:c>
      <x:c r="E614" s="13" t="str">
        <x:v>Среда</x:v>
      </x:c>
      <x:c r="F614" s="13" t="str">
        <x:v>Восстановление / видео</x:v>
      </x:c>
      <x:c r="G614" s="44" t="n">
        <x:v>0.01875</x:v>
      </x:c>
      <x:c r="H614" s="44" t="n">
        <x:v>0.027083333333333334</x:v>
      </x:c>
      <x:c r="I614" s="32" t="n">
        <x:f>ROUND((H614-G614)*1440,0)</x:f>
        <x:v>12</x:v>
      </x:c>
      <x:c r="J614" s="13" t="str">
        <x:v>Домашняя мобильность</x:v>
      </x:c>
      <x:c r="K614" s="13" t="str">
        <x:v>Выполни комплекс H1 «База: таз, корпус и стопы», 12 минут. Ни турника, ни колец для дополнительного хвата.</x:v>
      </x:c>
      <x:c r="L614" s="13" t="str">
        <x:v>☐ Не начато</x:v>
      </x:c>
      <x:c r="M614" s="13" t="str">
        <x:v>Обязательно</x:v>
      </x:c>
      <x:c r="N614" s="13" t="str">
        <x:v>RPE 2–3</x:v>
      </x:c>
      <x:c r="O614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614" s="13" t="str">
        <x:v>milestone_03_hooks_tension_first_sixes/week_09_2026-11-02/03_WEDNESDAY.md</x:v>
      </x:c>
      <x:c r="Q614" s="138" t="str">
        <x:v>Markdown</x:v>
      </x:c>
      <x:c r="R614" s="20" t="str"/>
    </x:row>
    <x:row r="615" ht="36" customHeight="1">
      <x:c r="A615" s="19" t="str">
        <x:v>W09-20261104-0614</x:v>
      </x:c>
      <x:c r="B615" s="13" t="n">
        <x:v>9</x:v>
      </x:c>
      <x:c r="C615" s="13" t="str">
        <x:v>Этап 3 — Hooks, натяжение корпуса и первые шестёрки</x:v>
      </x:c>
      <x:c r="D615" s="138" t="str">
        <x:v>2026-11-04</x:v>
      </x:c>
      <x:c r="E615" s="13" t="str">
        <x:v>Среда</x:v>
      </x:c>
      <x:c r="F615" s="13" t="str">
        <x:v>Восстановление / видео</x:v>
      </x:c>
      <x:c r="G615" s="44" t="n">
        <x:v>0.027083333333333334</x:v>
      </x:c>
      <x:c r="H615" s="44" t="n">
        <x:v>0.04097222222222222</x:v>
      </x:c>
      <x:c r="I615" s="32" t="n">
        <x:f>ROUND((H615-G615)*1440,0)</x:f>
        <x:v>20</x:v>
      </x:c>
      <x:c r="J615" s="13" t="str">
        <x:v>Физиотерапия</x:v>
      </x:c>
      <x:c r="K615" s="13" t="str">
        <x:v>Выполни свой назначенный физиотерапевтом комплекс, если среда входит в его расписание.</x:v>
      </x:c>
      <x:c r="L615" s="13" t="str">
        <x:v>☐ Не начато</x:v>
      </x:c>
      <x:c r="M615" s="13" t="str">
        <x:v>По назначению</x:v>
      </x:c>
      <x:c r="N615" s="13" t="str">
        <x:v>По назначению</x:v>
      </x:c>
      <x:c r="O615" s="13" t="str">
        <x:v>Назначения физиотерапевта имеют приоритет.</x:v>
      </x:c>
      <x:c r="P615" s="13" t="str">
        <x:v>milestone_03_hooks_tension_first_sixes/week_09_2026-11-02/03_WEDNESDAY.md</x:v>
      </x:c>
      <x:c r="Q615" s="138" t="str">
        <x:v>Markdown</x:v>
      </x:c>
      <x:c r="R615" s="20" t="str"/>
    </x:row>
    <x:row r="616" ht="36" customHeight="1">
      <x:c r="A616" s="19" t="str">
        <x:v>W09-20261104-0615</x:v>
      </x:c>
      <x:c r="B616" s="13" t="n">
        <x:v>9</x:v>
      </x:c>
      <x:c r="C616" s="13" t="str">
        <x:v>Этап 3 — Hooks, натяжение корпуса и первые шестёрки</x:v>
      </x:c>
      <x:c r="D616" s="138" t="str">
        <x:v>2026-11-04</x:v>
      </x:c>
      <x:c r="E616" s="13" t="str">
        <x:v>Среда</x:v>
      </x:c>
      <x:c r="F616" s="13" t="str">
        <x:v>Восстановление / видео</x:v>
      </x:c>
      <x:c r="G616" s="44" t="n">
        <x:v>0.04097222222222222</x:v>
      </x:c>
      <x:c r="H616" s="44" t="n">
        <x:v>0.043055555555555555</x:v>
      </x:c>
      <x:c r="I616" s="32" t="n">
        <x:f>ROUND((H616-G616)*1440,0)</x:f>
        <x:v>3</x:v>
      </x:c>
      <x:c r="J616" s="13" t="str">
        <x:v>Запрет лишней нагрузки</x:v>
      </x:c>
      <x:c r="K616" s="13" t="str">
        <x:v>Поставь отметку: сегодня не было висов, подтягиваний «на проверку», эспандера-сжимателя или тяжёлого ношения.</x:v>
      </x:c>
      <x:c r="L616" s="13" t="str">
        <x:v>☐ Не начато</x:v>
      </x:c>
      <x:c r="M616" s="13" t="str">
        <x:v>Обязательно</x:v>
      </x:c>
      <x:c r="N616" s="13" t="str">
        <x:v>Восстановление</x:v>
      </x:c>
      <x:c r="O616" s="13" t="str"/>
      <x:c r="P616" s="13" t="str">
        <x:v>milestone_03_hooks_tension_first_sixes/week_09_2026-11-02/03_WEDNESDAY.md</x:v>
      </x:c>
      <x:c r="Q616" s="138" t="str">
        <x:v>Markdown</x:v>
      </x:c>
      <x:c r="R616" s="20" t="str"/>
    </x:row>
    <x:row r="617" ht="36" customHeight="1">
      <x:c r="A617" s="19" t="str">
        <x:v>W09-20261105-0616</x:v>
      </x:c>
      <x:c r="B617" s="13" t="n">
        <x:v>9</x:v>
      </x:c>
      <x:c r="C617" s="13" t="str">
        <x:v>Этап 3 — Hooks, натяжение корпуса и первые шестёрки</x:v>
      </x:c>
      <x:c r="D617" s="138" t="str">
        <x:v>2026-11-05</x:v>
      </x:c>
      <x:c r="E617" s="13" t="str">
        <x:v>Четверг</x:v>
      </x:c>
      <x:c r="F617" s="13" t="str">
        <x:v>Тренировка B — пальцы/проект</x:v>
      </x:c>
      <x:c r="G617" s="44" t="n">
        <x:v>0</x:v>
      </x:c>
      <x:c r="H617" s="44" t="n">
        <x:v>0.0020833333333333333</x:v>
      </x:c>
      <x:c r="I617" s="32" t="n">
        <x:f>ROUND((H617-G617)*1440,0)</x:f>
        <x:v>3</x:v>
      </x:c>
      <x:c r="J617" s="13" t="str">
        <x:v>Самопроверка</x:v>
      </x:c>
      <x:c r="K617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617" s="13" t="str">
        <x:v>☐ Не начато</x:v>
      </x:c>
      <x:c r="M617" s="13" t="str">
        <x:v>Обязательно</x:v>
      </x:c>
      <x:c r="N617" s="13" t="str">
        <x:v>Без нагрузки</x:v>
      </x:c>
      <x:c r="O617" s="13" t="str">
        <x:v>Красный флаг = не начинать пальцевую нагрузку.</x:v>
      </x:c>
      <x:c r="P617" s="13" t="str">
        <x:v>milestone_03_hooks_tension_first_sixes/week_09_2026-11-02/04_THURSDAY.md</x:v>
      </x:c>
      <x:c r="Q617" s="138" t="str">
        <x:v>Markdown</x:v>
      </x:c>
      <x:c r="R617" s="20" t="str"/>
    </x:row>
    <x:row r="618" ht="36" customHeight="1">
      <x:c r="A618" s="19" t="str">
        <x:v>W09-20261105-0617</x:v>
      </x:c>
      <x:c r="B618" s="13" t="n">
        <x:v>9</x:v>
      </x:c>
      <x:c r="C618" s="13" t="str">
        <x:v>Этап 3 — Hooks, натяжение корпуса и первые шестёрки</x:v>
      </x:c>
      <x:c r="D618" s="138" t="str">
        <x:v>2026-11-05</x:v>
      </x:c>
      <x:c r="E618" s="13" t="str">
        <x:v>Четверг</x:v>
      </x:c>
      <x:c r="F618" s="13" t="str">
        <x:v>Тренировка B — пальцы/проект</x:v>
      </x:c>
      <x:c r="G618" s="44" t="n">
        <x:v>0.0020833333333333333</x:v>
      </x:c>
      <x:c r="H618" s="44" t="n">
        <x:v>0.005555555555555556</x:v>
      </x:c>
      <x:c r="I618" s="32" t="n">
        <x:f>ROUND((H618-G618)*1440,0)</x:f>
        <x:v>5</x:v>
      </x:c>
      <x:c r="J618" s="13" t="str">
        <x:v>Разминка</x:v>
      </x:c>
      <x:c r="K618" s="13" t="str">
        <x:v>Подними температуру: быстрая ходьба, лестница или лёгкий велотренажёр 5 минут.</x:v>
      </x:c>
      <x:c r="L618" s="13" t="str">
        <x:v>☐ Не начато</x:v>
      </x:c>
      <x:c r="M618" s="13" t="str">
        <x:v>Обязательно</x:v>
      </x:c>
      <x:c r="N618" s="13" t="str">
        <x:v>RPE 2–3</x:v>
      </x:c>
      <x:c r="O618" s="13" t="str"/>
      <x:c r="P618" s="13" t="str">
        <x:v>milestone_03_hooks_tension_first_sixes/week_09_2026-11-02/04_THURSDAY.md</x:v>
      </x:c>
      <x:c r="Q618" s="138" t="str">
        <x:v>Markdown</x:v>
      </x:c>
      <x:c r="R618" s="20" t="str"/>
    </x:row>
    <x:row r="619" ht="36" customHeight="1">
      <x:c r="A619" s="19" t="str">
        <x:v>W09-20261105-0618</x:v>
      </x:c>
      <x:c r="B619" s="13" t="n">
        <x:v>9</x:v>
      </x:c>
      <x:c r="C619" s="13" t="str">
        <x:v>Этап 3 — Hooks, натяжение корпуса и первые шестёрки</x:v>
      </x:c>
      <x:c r="D619" s="138" t="str">
        <x:v>2026-11-05</x:v>
      </x:c>
      <x:c r="E619" s="13" t="str">
        <x:v>Четверг</x:v>
      </x:c>
      <x:c r="F619" s="13" t="str">
        <x:v>Тренировка B — пальцы/проект</x:v>
      </x:c>
      <x:c r="G619" s="44" t="n">
        <x:v>0.005555555555555556</x:v>
      </x:c>
      <x:c r="H619" s="44" t="n">
        <x:v>0.009027777777777777</x:v>
      </x:c>
      <x:c r="I619" s="32" t="n">
        <x:f>ROUND((H619-G619)*1440,0)</x:f>
        <x:v>5</x:v>
      </x:c>
      <x:c r="J619" s="13" t="str">
        <x:v>Разминка</x:v>
      </x:c>
      <x:c r="K619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619" s="13" t="str">
        <x:v>☐ Не начато</x:v>
      </x:c>
      <x:c r="M619" s="13" t="str">
        <x:v>Обязательно</x:v>
      </x:c>
      <x:c r="N619" s="13" t="str">
        <x:v>Очень легко</x:v>
      </x:c>
      <x:c r="O619" s="13" t="str">
        <x:v>Не делай press/отжимания и движения, которые раздражают плечо.</x:v>
      </x:c>
      <x:c r="P619" s="13" t="str">
        <x:v>milestone_03_hooks_tension_first_sixes/week_09_2026-11-02/04_THURSDAY.md</x:v>
      </x:c>
      <x:c r="Q619" s="138" t="str">
        <x:v>Markdown</x:v>
      </x:c>
      <x:c r="R619" s="20" t="str"/>
    </x:row>
    <x:row r="620" ht="36" customHeight="1">
      <x:c r="A620" s="19" t="str">
        <x:v>W09-20261105-0619</x:v>
      </x:c>
      <x:c r="B620" s="13" t="n">
        <x:v>9</x:v>
      </x:c>
      <x:c r="C620" s="13" t="str">
        <x:v>Этап 3 — Hooks, натяжение корпуса и первые шестёрки</x:v>
      </x:c>
      <x:c r="D620" s="138" t="str">
        <x:v>2026-11-05</x:v>
      </x:c>
      <x:c r="E620" s="13" t="str">
        <x:v>Четверг</x:v>
      </x:c>
      <x:c r="F620" s="13" t="str">
        <x:v>Тренировка B — пальцы/проект</x:v>
      </x:c>
      <x:c r="G620" s="44" t="n">
        <x:v>0.009027777777777777</x:v>
      </x:c>
      <x:c r="H620" s="44" t="n">
        <x:v>0.011805555555555555</x:v>
      </x:c>
      <x:c r="I620" s="32" t="n">
        <x:f>ROUND((H620-G620)*1440,0)</x:f>
        <x:v>4</x:v>
      </x:c>
      <x:c r="J620" s="13" t="str">
        <x:v>Разминка пальцев</x:v>
      </x:c>
      <x:c r="K620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620" s="13" t="str">
        <x:v>☐ Не начато</x:v>
      </x:c>
      <x:c r="M620" s="13" t="str">
        <x:v>Обязательно</x:v>
      </x:c>
      <x:c r="N620" s="13" t="str">
        <x:v>Очень легко</x:v>
      </x:c>
      <x:c r="O620" s="13" t="str"/>
      <x:c r="P620" s="13" t="str">
        <x:v>milestone_03_hooks_tension_first_sixes/week_09_2026-11-02/04_THURSDAY.md</x:v>
      </x:c>
      <x:c r="Q620" s="138" t="str">
        <x:v>Markdown</x:v>
      </x:c>
      <x:c r="R620" s="20" t="str"/>
    </x:row>
    <x:row r="621" ht="36" customHeight="1">
      <x:c r="A621" s="19" t="str">
        <x:v>W09-20261105-0620</x:v>
      </x:c>
      <x:c r="B621" s="13" t="n">
        <x:v>9</x:v>
      </x:c>
      <x:c r="C621" s="13" t="str">
        <x:v>Этап 3 — Hooks, натяжение корпуса и первые шестёрки</x:v>
      </x:c>
      <x:c r="D621" s="138" t="str">
        <x:v>2026-11-05</x:v>
      </x:c>
      <x:c r="E621" s="13" t="str">
        <x:v>Четверг</x:v>
      </x:c>
      <x:c r="F621" s="13" t="str">
        <x:v>Тренировка B — пальцы/проект</x:v>
      </x:c>
      <x:c r="G621" s="44" t="n">
        <x:v>0.011805555555555555</x:v>
      </x:c>
      <x:c r="H621" s="44" t="n">
        <x:v>0.014583333333333334</x:v>
      </x:c>
      <x:c r="I621" s="32" t="n">
        <x:f>ROUND((H621-G621)*1440,0)</x:f>
        <x:v>4</x:v>
      </x:c>
      <x:c r="J621" s="13" t="str">
        <x:v>Разминочное лазание</x:v>
      </x:c>
      <x:c r="K621" s="13" t="str">
        <x:v>Пройди 2 очень лёгкие трассы уровня 1–2; двигайся медленно, спускайся по зацепам.</x:v>
      </x:c>
      <x:c r="L621" s="13" t="str">
        <x:v>☐ Не начато</x:v>
      </x:c>
      <x:c r="M621" s="13" t="str">
        <x:v>Обязательно</x:v>
      </x:c>
      <x:c r="N621" s="13" t="str">
        <x:v>RPE 2–3</x:v>
      </x:c>
      <x:c r="O621" s="13" t="str">
        <x:v>Финиш с обязательным болезненным mantle/press пропусти.</x:v>
      </x:c>
      <x:c r="P621" s="13" t="str">
        <x:v>milestone_03_hooks_tension_first_sixes/week_09_2026-11-02/04_THURSDAY.md</x:v>
      </x:c>
      <x:c r="Q621" s="138" t="str">
        <x:v>Markdown</x:v>
      </x:c>
      <x:c r="R621" s="20" t="str"/>
    </x:row>
    <x:row r="622" ht="36" customHeight="1">
      <x:c r="A622" s="19" t="str">
        <x:v>W09-20261105-0621</x:v>
      </x:c>
      <x:c r="B622" s="13" t="n">
        <x:v>9</x:v>
      </x:c>
      <x:c r="C622" s="13" t="str">
        <x:v>Этап 3 — Hooks, натяжение корпуса и первые шестёрки</x:v>
      </x:c>
      <x:c r="D622" s="138" t="str">
        <x:v>2026-11-05</x:v>
      </x:c>
      <x:c r="E622" s="13" t="str">
        <x:v>Четверг</x:v>
      </x:c>
      <x:c r="F622" s="13" t="str">
        <x:v>Тренировка B — пальцы/проект</x:v>
      </x:c>
      <x:c r="G622" s="44" t="n">
        <x:v>0.014583333333333334</x:v>
      </x:c>
      <x:c r="H622" s="44" t="n">
        <x:v>0.017361111111111112</x:v>
      </x:c>
      <x:c r="I622" s="32" t="n">
        <x:f>ROUND((H622-G622)*1440,0)</x:f>
        <x:v>4</x:v>
      </x:c>
      <x:c r="J622" s="13" t="str">
        <x:v>Разминочное лазание</x:v>
      </x:c>
      <x:c r="K622" s="13" t="str">
        <x:v>Пройди 2 трассы уровня 2–3, затем сделай 2–3 движения на комфортной четвёрке. Между ними 45–60 секунд.</x:v>
      </x:c>
      <x:c r="L622" s="13" t="str">
        <x:v>☐ Не начато</x:v>
      </x:c>
      <x:c r="M622" s="13" t="str">
        <x:v>Обязательно</x:v>
      </x:c>
      <x:c r="N622" s="13" t="str">
        <x:v>RPE 3–4</x:v>
      </x:c>
      <x:c r="O622" s="13" t="str">
        <x:v>Разминка не должна утомить пальцы.</x:v>
      </x:c>
      <x:c r="P622" s="13" t="str">
        <x:v>milestone_03_hooks_tension_first_sixes/week_09_2026-11-02/04_THURSDAY.md</x:v>
      </x:c>
      <x:c r="Q622" s="138" t="str">
        <x:v>Markdown</x:v>
      </x:c>
      <x:c r="R622" s="20" t="str"/>
    </x:row>
    <x:row r="623" ht="36" customHeight="1">
      <x:c r="A623" s="19" t="str">
        <x:v>W09-20261105-0622</x:v>
      </x:c>
      <x:c r="B623" s="13" t="n">
        <x:v>9</x:v>
      </x:c>
      <x:c r="C623" s="13" t="str">
        <x:v>Этап 3 — Hooks, натяжение корпуса и первые шестёрки</x:v>
      </x:c>
      <x:c r="D623" s="138" t="str">
        <x:v>2026-11-05</x:v>
      </x:c>
      <x:c r="E623" s="13" t="str">
        <x:v>Четверг</x:v>
      </x:c>
      <x:c r="F623" s="13" t="str">
        <x:v>Тренировка B — пальцы/проект</x:v>
      </x:c>
      <x:c r="G623" s="44" t="n">
        <x:v>0.017361111111111112</x:v>
      </x:c>
      <x:c r="H623" s="44" t="n">
        <x:v>0.019444444444444445</x:v>
      </x:c>
      <x:c r="I623" s="32" t="n">
        <x:f>ROUND((H623-G623)*1440,0)</x:f>
        <x:v>3</x:v>
      </x:c>
      <x:c r="J623" s="13" t="str">
        <x:v>Фингерборд — готовность</x:v>
      </x:c>
      <x:c r="K623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623" s="13" t="str">
        <x:v>☐ Не начато</x:v>
      </x:c>
      <x:c r="M623" s="13" t="str">
        <x:v>Обязательно</x:v>
      </x:c>
      <x:c r="N623" s="13" t="str">
        <x:v>Подготовка</x:v>
      </x:c>
      <x:c r="O623" s="13" t="str">
        <x:v>Плечо полностью спокойно; full crimp, карманы, одна рука и допвес запрещены.</x:v>
      </x:c>
      <x:c r="P623" s="13" t="str">
        <x:v>milestone_03_hooks_tension_first_sixes/week_09_2026-11-02/04_THURSDAY.md</x:v>
      </x:c>
      <x:c r="Q623" s="138" t="str">
        <x:v>Markdown</x:v>
      </x:c>
      <x:c r="R623" s="20" t="str"/>
    </x:row>
    <x:row r="624" ht="36" customHeight="1">
      <x:c r="A624" s="19" t="str">
        <x:v>W09-20261105-0623</x:v>
      </x:c>
      <x:c r="B624" s="13" t="n">
        <x:v>9</x:v>
      </x:c>
      <x:c r="C624" s="13" t="str">
        <x:v>Этап 3 — Hooks, натяжение корпуса и первые шестёрки</x:v>
      </x:c>
      <x:c r="D624" s="138" t="str">
        <x:v>2026-11-05</x:v>
      </x:c>
      <x:c r="E624" s="13" t="str">
        <x:v>Четверг</x:v>
      </x:c>
      <x:c r="F624" s="13" t="str">
        <x:v>Тренировка B — пальцы/проект</x:v>
      </x:c>
      <x:c r="G624" s="44" t="n">
        <x:v>0.019444444444444445</x:v>
      </x:c>
      <x:c r="H624" s="44" t="n">
        <x:v>0.029861111111111113</x:v>
      </x:c>
      <x:c r="I624" s="32" t="n">
        <x:f>ROUND((H624-G624)*1440,0)</x:f>
        <x:v>15</x:v>
      </x:c>
      <x:c r="J624" s="13" t="str">
        <x:v>Фингерборд</x:v>
      </x:c>
      <x:c r="K624" s="13" t="str">
        <x:v>Выполни протокол: 5 × 7 сек, ноги помогают, RPE 6–7, отдых 2:00. Запусти таймер. Каждый вис прекращай с указанным запасом; форма кисти не меняется.</x:v>
      </x:c>
      <x:c r="L624" s="13" t="str">
        <x:v>☐ Не начато</x:v>
      </x:c>
      <x:c r="M624" s="13" t="str">
        <x:v>Обязательно</x:v>
      </x:c>
      <x:c r="N624" s="13" t="str">
        <x:v>5 × 7 сек, ноги помогают, RPE 6–7, отдых 2:00</x:v>
      </x:c>
      <x:c r="O624" s="13" t="str">
        <x:v>Острая боль, дрожь формы, падение RPE-контроля или боль плеча = закончить блок.</x:v>
      </x:c>
      <x:c r="P624" s="13" t="str">
        <x:v>milestone_03_hooks_tension_first_sixes/week_09_2026-11-02/04_THURSDAY.md</x:v>
      </x:c>
      <x:c r="Q624" s="138" t="str">
        <x:v>Markdown</x:v>
      </x:c>
      <x:c r="R624" s="20" t="str"/>
    </x:row>
    <x:row r="625" ht="36" customHeight="1">
      <x:c r="A625" s="19" t="str">
        <x:v>W09-20261105-0624</x:v>
      </x:c>
      <x:c r="B625" s="13" t="n">
        <x:v>9</x:v>
      </x:c>
      <x:c r="C625" s="13" t="str">
        <x:v>Этап 3 — Hooks, натяжение корпуса и первые шестёрки</x:v>
      </x:c>
      <x:c r="D625" s="138" t="str">
        <x:v>2026-11-05</x:v>
      </x:c>
      <x:c r="E625" s="13" t="str">
        <x:v>Четверг</x:v>
      </x:c>
      <x:c r="F625" s="13" t="str">
        <x:v>Тренировка B — пальцы/проект</x:v>
      </x:c>
      <x:c r="G625" s="44" t="n">
        <x:v>0.029861111111111113</x:v>
      </x:c>
      <x:c r="H625" s="44" t="n">
        <x:v>0.03194444444444444</x:v>
      </x:c>
      <x:c r="I625" s="32" t="n">
        <x:f>ROUND((H625-G625)*1440,0)</x:f>
        <x:v>3</x:v>
      </x:c>
      <x:c r="J625" s="13" t="str">
        <x:v>Фингерборд — запись</x:v>
      </x:c>
      <x:c r="K625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625" s="13" t="str">
        <x:v>☐ Не начато</x:v>
      </x:c>
      <x:c r="M625" s="13" t="str">
        <x:v>Обязательно</x:v>
      </x:c>
      <x:c r="N625" s="13" t="str">
        <x:v>Без нагрузки</x:v>
      </x:c>
      <x:c r="O625" s="13" t="str"/>
      <x:c r="P625" s="13" t="str">
        <x:v>milestone_03_hooks_tension_first_sixes/week_09_2026-11-02/04_THURSDAY.md</x:v>
      </x:c>
      <x:c r="Q625" s="138" t="str">
        <x:v>Markdown</x:v>
      </x:c>
      <x:c r="R625" s="20" t="str"/>
    </x:row>
    <x:row r="626" ht="36" customHeight="1">
      <x:c r="A626" s="19" t="str">
        <x:v>W09-20261105-0625</x:v>
      </x:c>
      <x:c r="B626" s="13" t="n">
        <x:v>9</x:v>
      </x:c>
      <x:c r="C626" s="13" t="str">
        <x:v>Этап 3 — Hooks, натяжение корпуса и первые шестёрки</x:v>
      </x:c>
      <x:c r="D626" s="138" t="str">
        <x:v>2026-11-05</x:v>
      </x:c>
      <x:c r="E626" s="13" t="str">
        <x:v>Четверг</x:v>
      </x:c>
      <x:c r="F626" s="13" t="str">
        <x:v>Тренировка B — пальцы/проект</x:v>
      </x:c>
      <x:c r="G626" s="44" t="n">
        <x:v>0.03194444444444444</x:v>
      </x:c>
      <x:c r="H626" s="44" t="n">
        <x:v>0.035416666666666666</x:v>
      </x:c>
      <x:c r="I626" s="32" t="n">
        <x:f>ROUND((H626-G626)*1440,0)</x:f>
        <x:v>5</x:v>
      </x:c>
      <x:c r="J626" s="13" t="str">
        <x:v>Отдых</x:v>
      </x:c>
      <x:c r="K626" s="13" t="str">
        <x:v>5 минут полного отдыха: ходьба, вода, без лазания и без тестового виса.</x:v>
      </x:c>
      <x:c r="L626" s="13" t="str">
        <x:v>☐ Не начато</x:v>
      </x:c>
      <x:c r="M626" s="13" t="str">
        <x:v>Обязательно</x:v>
      </x:c>
      <x:c r="N626" s="13" t="str">
        <x:v>Восстановление</x:v>
      </x:c>
      <x:c r="O626" s="13" t="str"/>
      <x:c r="P626" s="13" t="str">
        <x:v>milestone_03_hooks_tension_first_sixes/week_09_2026-11-02/04_THURSDAY.md</x:v>
      </x:c>
      <x:c r="Q626" s="138" t="str">
        <x:v>Markdown</x:v>
      </x:c>
      <x:c r="R626" s="20" t="str"/>
    </x:row>
    <x:row r="627" ht="36" customHeight="1">
      <x:c r="A627" s="19" t="str">
        <x:v>W09-20261105-0626</x:v>
      </x:c>
      <x:c r="B627" s="13" t="n">
        <x:v>9</x:v>
      </x:c>
      <x:c r="C627" s="13" t="str">
        <x:v>Этап 3 — Hooks, натяжение корпуса и первые шестёрки</x:v>
      </x:c>
      <x:c r="D627" s="138" t="str">
        <x:v>2026-11-05</x:v>
      </x:c>
      <x:c r="E627" s="13" t="str">
        <x:v>Четверг</x:v>
      </x:c>
      <x:c r="F627" s="13" t="str">
        <x:v>Тренировка B — пальцы/проект</x:v>
      </x:c>
      <x:c r="G627" s="44" t="n">
        <x:v>0.035416666666666666</x:v>
      </x:c>
      <x:c r="H627" s="44" t="n">
        <x:v>0.03819444444444445</x:v>
      </x:c>
      <x:c r="I627" s="32" t="n">
        <x:f>ROUND((H627-G627)*1440,0)</x:f>
        <x:v>4</x:v>
      </x:c>
      <x:c r="J627" s="13" t="str">
        <x:v>Выбор проекта</x:v>
      </x:c>
      <x:c r="K627" s="13" t="str">
        <x:v>Выбери трассу по критериям недели: 1 пятёрка с естественным heel hook + 1 «дружелюбная» шестёрка; на шестёрке цель — понять первые 2–4 движения.</x:v>
      </x:c>
      <x:c r="L627" s="13" t="str">
        <x:v>☐ Не начато</x:v>
      </x:c>
      <x:c r="M627" s="13" t="str">
        <x:v>Обязательно</x:v>
      </x:c>
      <x:c r="N627" s="13" t="str">
        <x:v>Без нагрузки</x:v>
      </x:c>
      <x:c r="O627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27" s="13" t="str">
        <x:v>milestone_03_hooks_tension_first_sixes/week_09_2026-11-02/04_THURSDAY.md</x:v>
      </x:c>
      <x:c r="Q627" s="138" t="str">
        <x:v>Markdown</x:v>
      </x:c>
      <x:c r="R627" s="20" t="str"/>
    </x:row>
    <x:row r="628" ht="36" customHeight="1">
      <x:c r="A628" s="19" t="str">
        <x:v>W09-20261105-0627</x:v>
      </x:c>
      <x:c r="B628" s="13" t="n">
        <x:v>9</x:v>
      </x:c>
      <x:c r="C628" s="13" t="str">
        <x:v>Этап 3 — Hooks, натяжение корпуса и первые шестёрки</x:v>
      </x:c>
      <x:c r="D628" s="138" t="str">
        <x:v>2026-11-05</x:v>
      </x:c>
      <x:c r="E628" s="13" t="str">
        <x:v>Четверг</x:v>
      </x:c>
      <x:c r="F628" s="13" t="str">
        <x:v>Тренировка B — пальцы/проект</x:v>
      </x:c>
      <x:c r="G628" s="44" t="n">
        <x:v>0.03819444444444445</x:v>
      </x:c>
      <x:c r="H628" s="44" t="n">
        <x:v>0.041666666666666664</x:v>
      </x:c>
      <x:c r="I628" s="32" t="n">
        <x:f>ROUND((H628-G628)*1440,0)</x:f>
        <x:v>5</x:v>
      </x:c>
      <x:c r="J628" s="13" t="str">
        <x:v>Проект — попытка 1</x:v>
      </x:c>
      <x:c r="K628" s="13" t="str">
        <x:v>Сделай первую полную диагностическую попытку. После падения не повторяй сразу: назови точную причину.</x:v>
      </x:c>
      <x:c r="L628" s="13" t="str">
        <x:v>☐ Не начато</x:v>
      </x:c>
      <x:c r="M628" s="13" t="str">
        <x:v>Обязательно</x:v>
      </x:c>
      <x:c r="N628" s="13" t="str">
        <x:v>RPE 7–8</x:v>
      </x:c>
      <x:c r="O628" s="13" t="str">
        <x:v>Прекратить движение при боли, а не после падения.</x:v>
      </x:c>
      <x:c r="P628" s="13" t="str">
        <x:v>milestone_03_hooks_tension_first_sixes/week_09_2026-11-02/04_THURSDAY.md</x:v>
      </x:c>
      <x:c r="Q628" s="138" t="str">
        <x:v>Markdown</x:v>
      </x:c>
      <x:c r="R628" s="20" t="str"/>
    </x:row>
    <x:row r="629" ht="36" customHeight="1">
      <x:c r="A629" s="19" t="str">
        <x:v>W09-20261105-0628</x:v>
      </x:c>
      <x:c r="B629" s="13" t="n">
        <x:v>9</x:v>
      </x:c>
      <x:c r="C629" s="13" t="str">
        <x:v>Этап 3 — Hooks, натяжение корпуса и первые шестёрки</x:v>
      </x:c>
      <x:c r="D629" s="138" t="str">
        <x:v>2026-11-05</x:v>
      </x:c>
      <x:c r="E629" s="13" t="str">
        <x:v>Четверг</x:v>
      </x:c>
      <x:c r="F629" s="13" t="str">
        <x:v>Тренировка B — пальцы/проект</x:v>
      </x:c>
      <x:c r="G629" s="44" t="n">
        <x:v>0.041666666666666664</x:v>
      </x:c>
      <x:c r="H629" s="44" t="n">
        <x:v>0.04513888888888889</x:v>
      </x:c>
      <x:c r="I629" s="32" t="n">
        <x:f>ROUND((H629-G629)*1440,0)</x:f>
        <x:v>5</x:v>
      </x:c>
      <x:c r="J629" s="13" t="str">
        <x:v>Отдых / гипотеза</x:v>
      </x:c>
      <x:c r="K629" s="13" t="str">
        <x:v>Отдых 4–5 минут. Запиши одну гипотезу: стопа, положение таза, хват или темп.</x:v>
      </x:c>
      <x:c r="L629" s="13" t="str">
        <x:v>☐ Не начато</x:v>
      </x:c>
      <x:c r="M629" s="13" t="str">
        <x:v>Обязательно</x:v>
      </x:c>
      <x:c r="N629" s="13" t="str">
        <x:v>Восстановление</x:v>
      </x:c>
      <x:c r="O629" s="13" t="str"/>
      <x:c r="P629" s="13" t="str">
        <x:v>milestone_03_hooks_tension_first_sixes/week_09_2026-11-02/04_THURSDAY.md</x:v>
      </x:c>
      <x:c r="Q629" s="138" t="str">
        <x:v>Markdown</x:v>
      </x:c>
      <x:c r="R629" s="20" t="str"/>
    </x:row>
    <x:row r="630" ht="36" customHeight="1">
      <x:c r="A630" s="19" t="str">
        <x:v>W09-20261105-0629</x:v>
      </x:c>
      <x:c r="B630" s="13" t="n">
        <x:v>9</x:v>
      </x:c>
      <x:c r="C630" s="13" t="str">
        <x:v>Этап 3 — Hooks, натяжение корпуса и первые шестёрки</x:v>
      </x:c>
      <x:c r="D630" s="138" t="str">
        <x:v>2026-11-05</x:v>
      </x:c>
      <x:c r="E630" s="13" t="str">
        <x:v>Четверг</x:v>
      </x:c>
      <x:c r="F630" s="13" t="str">
        <x:v>Тренировка B — пальцы/проект</x:v>
      </x:c>
      <x:c r="G630" s="44" t="n">
        <x:v>0.04513888888888889</x:v>
      </x:c>
      <x:c r="H630" s="44" t="n">
        <x:v>0.049305555555555554</x:v>
      </x:c>
      <x:c r="I630" s="32" t="n">
        <x:f>ROUND((H630-G630)*1440,0)</x:f>
        <x:v>6</x:v>
      </x:c>
      <x:c r="J630" s="13" t="str">
        <x:v>Проект — попытки 2–3</x:v>
      </x:c>
      <x:c r="K630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630" s="13" t="str">
        <x:v>☐ Не начато</x:v>
      </x:c>
      <x:c r="M630" s="13" t="str">
        <x:v>Обязательно</x:v>
      </x:c>
      <x:c r="N630" s="13" t="str">
        <x:v>RPE 7–8, без отказа</x:v>
      </x:c>
      <x:c r="O630" s="13" t="str">
        <x:v>Не смотреть beta заранее: сначала собственная гипотеза.</x:v>
      </x:c>
      <x:c r="P630" s="13" t="str">
        <x:v>milestone_03_hooks_tension_first_sixes/week_09_2026-11-02/04_THURSDAY.md</x:v>
      </x:c>
      <x:c r="Q630" s="138" t="str">
        <x:v>Markdown</x:v>
      </x:c>
      <x:c r="R630" s="20" t="str"/>
    </x:row>
    <x:row r="631" ht="36" customHeight="1">
      <x:c r="A631" s="19" t="str">
        <x:v>W09-20261105-0630</x:v>
      </x:c>
      <x:c r="B631" s="13" t="n">
        <x:v>9</x:v>
      </x:c>
      <x:c r="C631" s="13" t="str">
        <x:v>Этап 3 — Hooks, натяжение корпуса и первые шестёрки</x:v>
      </x:c>
      <x:c r="D631" s="138" t="str">
        <x:v>2026-11-05</x:v>
      </x:c>
      <x:c r="E631" s="13" t="str">
        <x:v>Четверг</x:v>
      </x:c>
      <x:c r="F631" s="13" t="str">
        <x:v>Тренировка B — пальцы/проект</x:v>
      </x:c>
      <x:c r="G631" s="44" t="n">
        <x:v>0.049305555555555554</x:v>
      </x:c>
      <x:c r="H631" s="44" t="n">
        <x:v>0.05277777777777778</x:v>
      </x:c>
      <x:c r="I631" s="32" t="n">
        <x:f>ROUND((H631-G631)*1440,0)</x:f>
        <x:v>5</x:v>
      </x:c>
      <x:c r="J631" s="13" t="str">
        <x:v>Проект — заключительная попытка</x:v>
      </x:c>
      <x:c r="K631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631" s="13" t="str">
        <x:v>☐ Не начато</x:v>
      </x:c>
      <x:c r="M631" s="13" t="str">
        <x:v>Обязательно</x:v>
      </x:c>
      <x:c r="N631" s="13" t="str">
        <x:v>RPE 8, с запасом</x:v>
      </x:c>
      <x:c r="O631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31" s="13" t="str">
        <x:v>milestone_03_hooks_tension_first_sixes/week_09_2026-11-02/04_THURSDAY.md</x:v>
      </x:c>
      <x:c r="Q631" s="138" t="str">
        <x:v>Markdown</x:v>
      </x:c>
      <x:c r="R631" s="20" t="str"/>
    </x:row>
    <x:row r="632" ht="36" customHeight="1">
      <x:c r="A632" s="19" t="str">
        <x:v>W09-20261105-0631</x:v>
      </x:c>
      <x:c r="B632" s="13" t="n">
        <x:v>9</x:v>
      </x:c>
      <x:c r="C632" s="13" t="str">
        <x:v>Этап 3 — Hooks, натяжение корпуса и первые шестёрки</x:v>
      </x:c>
      <x:c r="D632" s="138" t="str">
        <x:v>2026-11-05</x:v>
      </x:c>
      <x:c r="E632" s="13" t="str">
        <x:v>Четверг</x:v>
      </x:c>
      <x:c r="F632" s="13" t="str">
        <x:v>Тренировка B — пальцы/проект</x:v>
      </x:c>
      <x:c r="G632" s="44" t="n">
        <x:v>0.05277777777777778</x:v>
      </x:c>
      <x:c r="H632" s="44" t="n">
        <x:v>0.05763888888888889</x:v>
      </x:c>
      <x:c r="I632" s="32" t="n">
        <x:f>ROUND((H632-G632)*1440,0)</x:f>
        <x:v>7</x:v>
      </x:c>
      <x:c r="J632" s="13" t="str">
        <x:v>Вторичная трасса</x:v>
      </x:c>
      <x:c r="K632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632" s="13" t="str">
        <x:v>☐ Не начато</x:v>
      </x:c>
      <x:c r="M632" s="13" t="str">
        <x:v>Обязательно</x:v>
      </x:c>
      <x:c r="N632" s="13" t="str">
        <x:v>RPE 5–7</x:v>
      </x:c>
      <x:c r="O632" s="13" t="str">
        <x:v>Пропустить, если хват уже просел.</x:v>
      </x:c>
      <x:c r="P632" s="13" t="str">
        <x:v>milestone_03_hooks_tension_first_sixes/week_09_2026-11-02/04_THURSDAY.md</x:v>
      </x:c>
      <x:c r="Q632" s="138" t="str">
        <x:v>Markdown</x:v>
      </x:c>
      <x:c r="R632" s="20" t="str"/>
    </x:row>
    <x:row r="633" ht="36" customHeight="1">
      <x:c r="A633" s="19" t="str">
        <x:v>W09-20261105-0632</x:v>
      </x:c>
      <x:c r="B633" s="13" t="n">
        <x:v>9</x:v>
      </x:c>
      <x:c r="C633" s="13" t="str">
        <x:v>Этап 3 — Hooks, натяжение корпуса и первые шестёрки</x:v>
      </x:c>
      <x:c r="D633" s="138" t="str">
        <x:v>2026-11-05</x:v>
      </x:c>
      <x:c r="E633" s="13" t="str">
        <x:v>Четверг</x:v>
      </x:c>
      <x:c r="F633" s="13" t="str">
        <x:v>Тренировка B — пальцы/проект</x:v>
      </x:c>
      <x:c r="G633" s="44" t="n">
        <x:v>0.05763888888888889</x:v>
      </x:c>
      <x:c r="H633" s="44" t="n">
        <x:v>0.06041666666666667</x:v>
      </x:c>
      <x:c r="I633" s="32" t="n">
        <x:f>ROUND((H633-G633)*1440,0)</x:f>
        <x:v>4</x:v>
      </x:c>
      <x:c r="J633" s="13" t="str">
        <x:v>Завершение</x:v>
      </x:c>
      <x:c r="K633" s="13" t="str">
        <x:v>Очень лёгкий спуск/ходьба, вода, никаких финишных висов.</x:v>
      </x:c>
      <x:c r="L633" s="13" t="str">
        <x:v>☐ Не начато</x:v>
      </x:c>
      <x:c r="M633" s="13" t="str">
        <x:v>Обязательно</x:v>
      </x:c>
      <x:c r="N633" s="13" t="str">
        <x:v>RPE 1–2</x:v>
      </x:c>
      <x:c r="O633" s="13" t="str"/>
      <x:c r="P633" s="13" t="str">
        <x:v>milestone_03_hooks_tension_first_sixes/week_09_2026-11-02/04_THURSDAY.md</x:v>
      </x:c>
      <x:c r="Q633" s="138" t="str">
        <x:v>Markdown</x:v>
      </x:c>
      <x:c r="R633" s="20" t="str"/>
    </x:row>
    <x:row r="634" ht="36" customHeight="1">
      <x:c r="A634" s="19" t="str">
        <x:v>W09-20261105-0633</x:v>
      </x:c>
      <x:c r="B634" s="13" t="n">
        <x:v>9</x:v>
      </x:c>
      <x:c r="C634" s="13" t="str">
        <x:v>Этап 3 — Hooks, натяжение корпуса и первые шестёрки</x:v>
      </x:c>
      <x:c r="D634" s="138" t="str">
        <x:v>2026-11-05</x:v>
      </x:c>
      <x:c r="E634" s="13" t="str">
        <x:v>Четверг</x:v>
      </x:c>
      <x:c r="F634" s="13" t="str">
        <x:v>Тренировка B — пальцы/проект</x:v>
      </x:c>
      <x:c r="G634" s="44" t="n">
        <x:v>0.06041666666666667</x:v>
      </x:c>
      <x:c r="H634" s="44" t="n">
        <x:v>0.0625</x:v>
      </x:c>
      <x:c r="I634" s="32" t="n">
        <x:f>ROUND((H634-G634)*1440,0)</x:f>
        <x:v>3</x:v>
      </x:c>
      <x:c r="J634" s="13" t="str">
        <x:v>Журнал</x:v>
      </x:c>
      <x:c r="K634" s="13" t="str">
        <x:v>Запиши попытки, лучшую связку, одну правку и benchmark: На лёгкой трассе почувствовать, что heel hook реально разгружает хотя бы одну руку.</x:v>
      </x:c>
      <x:c r="L634" s="13" t="str">
        <x:v>☐ Не начато</x:v>
      </x:c>
      <x:c r="M634" s="13" t="str">
        <x:v>Обязательно</x:v>
      </x:c>
      <x:c r="N634" s="13" t="str">
        <x:v>Без нагрузки</x:v>
      </x:c>
      <x:c r="O634" s="13" t="str"/>
      <x:c r="P634" s="13" t="str">
        <x:v>milestone_03_hooks_tension_first_sixes/week_09_2026-11-02/04_THURSDAY.md</x:v>
      </x:c>
      <x:c r="Q634" s="138" t="str">
        <x:v>Markdown</x:v>
      </x:c>
      <x:c r="R634" s="20" t="str"/>
    </x:row>
    <x:row r="635" ht="36" customHeight="1">
      <x:c r="A635" s="19" t="str">
        <x:v>W09-20261106-0634</x:v>
      </x:c>
      <x:c r="B635" s="13" t="n">
        <x:v>9</x:v>
      </x:c>
      <x:c r="C635" s="13" t="str">
        <x:v>Этап 3 — Hooks, натяжение корпуса и первые шестёрки</x:v>
      </x:c>
      <x:c r="D635" s="138" t="str">
        <x:v>2026-11-06</x:v>
      </x:c>
      <x:c r="E635" s="13" t="str">
        <x:v>Пятница</x:v>
      </x:c>
      <x:c r="F635" s="13" t="str">
        <x:v>Дом / теория</x:v>
      </x:c>
      <x:c r="G635" s="44" t="n">
        <x:v>0</x:v>
      </x:c>
      <x:c r="H635" s="44" t="n">
        <x:v>0.0020833333333333333</x:v>
      </x:c>
      <x:c r="I635" s="32" t="n">
        <x:f>ROUND((H635-G635)*1440,0)</x:f>
        <x:v>3</x:v>
      </x:c>
      <x:c r="J635" s="13" t="str">
        <x:v>Самопроверка</x:v>
      </x:c>
      <x:c r="K635" s="13" t="str">
        <x:v>Оцени утреннюю реакцию после четверга: пальцы/плечо/колено 0–10. Запиши, восстановилась ли обычная сила кисти.</x:v>
      </x:c>
      <x:c r="L635" s="13" t="str">
        <x:v>☐ Не начато</x:v>
      </x:c>
      <x:c r="M635" s="13" t="str">
        <x:v>Обязательно</x:v>
      </x:c>
      <x:c r="N635" s="13" t="str">
        <x:v>Без нагрузки</x:v>
      </x:c>
      <x:c r="O635" s="13" t="str">
        <x:v>Острая локальная боль пальца или усилившаяся боль плеча = воскресенье только восстановительное.</x:v>
      </x:c>
      <x:c r="P635" s="13" t="str">
        <x:v>milestone_03_hooks_tension_first_sixes/week_09_2026-11-02/05_FRIDAY.md</x:v>
      </x:c>
      <x:c r="Q635" s="138" t="str">
        <x:v>Markdown</x:v>
      </x:c>
      <x:c r="R635" s="20" t="str"/>
    </x:row>
    <x:row r="636" ht="36" customHeight="1">
      <x:c r="A636" s="19" t="str">
        <x:v>W09-20261106-0635</x:v>
      </x:c>
      <x:c r="B636" s="13" t="n">
        <x:v>9</x:v>
      </x:c>
      <x:c r="C636" s="13" t="str">
        <x:v>Этап 3 — Hooks, натяжение корпуса и первые шестёрки</x:v>
      </x:c>
      <x:c r="D636" s="138" t="str">
        <x:v>2026-11-06</x:v>
      </x:c>
      <x:c r="E636" s="13" t="str">
        <x:v>Пятница</x:v>
      </x:c>
      <x:c r="F636" s="13" t="str">
        <x:v>Дом / теория</x:v>
      </x:c>
      <x:c r="G636" s="44" t="n">
        <x:v>0.0020833333333333333</x:v>
      </x:c>
      <x:c r="H636" s="44" t="n">
        <x:v>0.007638888888888889</x:v>
      </x:c>
      <x:c r="I636" s="32" t="n">
        <x:f>ROUND((H636-G636)*1440,0)</x:f>
        <x:v>8</x:v>
      </x:c>
      <x:c r="J636" s="13" t="str">
        <x:v>Теория</x:v>
      </x:c>
      <x:c r="K636" s="13" t="str">
        <x:v>Пересмотри ключевой фрагмент ресурса недели: [R10: BMC — How to heel hook when climbing](https://www.thebmc.co.uk/en/how-to-heel-hook-video). Задача: Постановка пятки, направление тяги и постепенная загрузка.</x:v>
      </x:c>
      <x:c r="L636" s="13" t="str">
        <x:v>☐ Не начато</x:v>
      </x:c>
      <x:c r="M636" s="13" t="str">
        <x:v>Обязательно</x:v>
      </x:c>
      <x:c r="N636" s="13" t="str">
        <x:v>Без нагрузки</x:v>
      </x:c>
      <x:c r="O636" s="13" t="str"/>
      <x:c r="P636" s="13" t="str">
        <x:v>milestone_03_hooks_tension_first_sixes/week_09_2026-11-02/05_FRIDAY.md</x:v>
      </x:c>
      <x:c r="Q636" s="138" t="str">
        <x:v>Markdown</x:v>
      </x:c>
      <x:c r="R636" s="20" t="str"/>
    </x:row>
    <x:row r="637" ht="36" customHeight="1">
      <x:c r="A637" s="19" t="str">
        <x:v>W09-20261106-0636</x:v>
      </x:c>
      <x:c r="B637" s="13" t="n">
        <x:v>9</x:v>
      </x:c>
      <x:c r="C637" s="13" t="str">
        <x:v>Этап 3 — Hooks, натяжение корпуса и первые шестёрки</x:v>
      </x:c>
      <x:c r="D637" s="138" t="str">
        <x:v>2026-11-06</x:v>
      </x:c>
      <x:c r="E637" s="13" t="str">
        <x:v>Пятница</x:v>
      </x:c>
      <x:c r="F637" s="13" t="str">
        <x:v>Дом / теория</x:v>
      </x:c>
      <x:c r="G637" s="44" t="n">
        <x:v>0.007638888888888889</x:v>
      </x:c>
      <x:c r="H637" s="44" t="n">
        <x:v>0.011805555555555555</x:v>
      </x:c>
      <x:c r="I637" s="32" t="n">
        <x:f>ROUND((H637-G637)*1440,0)</x:f>
        <x:v>6</x:v>
      </x:c>
      <x:c r="J637" s="13" t="str">
        <x:v>Ментальная репетиция</x:v>
      </x:c>
      <x:c r="K637" s="13" t="str">
        <x:v>Закрой глаза и 3 раза мысленно пройди одну рабочую трассу: руки → ноги → положение таза → дыхание. Визуализируй cue «Пятка сначала ставится, затем постепенно тянет; не бросай на неё весь вес мгновенно.».</x:v>
      </x:c>
      <x:c r="L637" s="13" t="str">
        <x:v>☐ Не начато</x:v>
      </x:c>
      <x:c r="M637" s="13" t="str">
        <x:v>Обязательно</x:v>
      </x:c>
      <x:c r="N637" s="13" t="str">
        <x:v>Без нагрузки</x:v>
      </x:c>
      <x:c r="O637" s="13" t="str"/>
      <x:c r="P637" s="13" t="str">
        <x:v>milestone_03_hooks_tension_first_sixes/week_09_2026-11-02/05_FRIDAY.md</x:v>
      </x:c>
      <x:c r="Q637" s="138" t="str">
        <x:v>Markdown</x:v>
      </x:c>
      <x:c r="R637" s="20" t="str"/>
    </x:row>
    <x:row r="638" ht="36" customHeight="1">
      <x:c r="A638" s="19" t="str">
        <x:v>W09-20261106-0637</x:v>
      </x:c>
      <x:c r="B638" s="13" t="n">
        <x:v>9</x:v>
      </x:c>
      <x:c r="C638" s="13" t="str">
        <x:v>Этап 3 — Hooks, натяжение корпуса и первые шестёрки</x:v>
      </x:c>
      <x:c r="D638" s="138" t="str">
        <x:v>2026-11-06</x:v>
      </x:c>
      <x:c r="E638" s="13" t="str">
        <x:v>Пятница</x:v>
      </x:c>
      <x:c r="F638" s="13" t="str">
        <x:v>Дом / теория</x:v>
      </x:c>
      <x:c r="G638" s="44" t="n">
        <x:v>0.011805555555555555</x:v>
      </x:c>
      <x:c r="H638" s="44" t="n">
        <x:v>0.02013888888888889</x:v>
      </x:c>
      <x:c r="I638" s="32" t="n">
        <x:f>ROUND((H638-G638)*1440,0)</x:f>
        <x:v>12</x:v>
      </x:c>
      <x:c r="J638" s="13" t="str">
        <x:v>Домашняя мобильность</x:v>
      </x:c>
      <x:c r="K638" s="13" t="str">
        <x:v>Выполни H3 «Мобильность таза и контроль корпуса» — 12 минут.</x:v>
      </x:c>
      <x:c r="L638" s="13" t="str">
        <x:v>☐ Не начато</x:v>
      </x:c>
      <x:c r="M638" s="13" t="str">
        <x:v>Обязательно</x:v>
      </x:c>
      <x:c r="N638" s="13" t="str">
        <x:v>RPE 2–3</x:v>
      </x:c>
      <x:c r="O638" s="13" t="str">
        <x:v>Никаких скручиваний через боль. Плечом не отталкивайся от стены; касание только для равновесия.</x:v>
      </x:c>
      <x:c r="P638" s="13" t="str">
        <x:v>milestone_03_hooks_tension_first_sixes/week_09_2026-11-02/05_FRIDAY.md</x:v>
      </x:c>
      <x:c r="Q638" s="138" t="str">
        <x:v>Markdown</x:v>
      </x:c>
      <x:c r="R638" s="20" t="str"/>
    </x:row>
    <x:row r="639" ht="36" customHeight="1">
      <x:c r="A639" s="19" t="str">
        <x:v>W09-20261106-0638</x:v>
      </x:c>
      <x:c r="B639" s="13" t="n">
        <x:v>9</x:v>
      </x:c>
      <x:c r="C639" s="13" t="str">
        <x:v>Этап 3 — Hooks, натяжение корпуса и первые шестёрки</x:v>
      </x:c>
      <x:c r="D639" s="138" t="str">
        <x:v>2026-11-06</x:v>
      </x:c>
      <x:c r="E639" s="13" t="str">
        <x:v>Пятница</x:v>
      </x:c>
      <x:c r="F639" s="13" t="str">
        <x:v>Дом / теория</x:v>
      </x:c>
      <x:c r="G639" s="44" t="n">
        <x:v>0.02013888888888889</x:v>
      </x:c>
      <x:c r="H639" s="44" t="n">
        <x:v>0.034027777777777775</x:v>
      </x:c>
      <x:c r="I639" s="32" t="n">
        <x:f>ROUND((H639-G639)*1440,0)</x:f>
        <x:v>20</x:v>
      </x:c>
      <x:c r="J639" s="13" t="str">
        <x:v>Физиотерапия</x:v>
      </x:c>
      <x:c r="K639" s="13" t="str">
        <x:v>Выполни свой назначенный комплекс, если пятница входит в расписание физиотерапевта.</x:v>
      </x:c>
      <x:c r="L639" s="13" t="str">
        <x:v>☐ Не начато</x:v>
      </x:c>
      <x:c r="M639" s="13" t="str">
        <x:v>По назначению</x:v>
      </x:c>
      <x:c r="N639" s="13" t="str">
        <x:v>По назначению</x:v>
      </x:c>
      <x:c r="O639" s="13" t="str">
        <x:v>Не добавляй упражнения из интернета поверх назначений.</x:v>
      </x:c>
      <x:c r="P639" s="13" t="str">
        <x:v>milestone_03_hooks_tension_first_sixes/week_09_2026-11-02/05_FRIDAY.md</x:v>
      </x:c>
      <x:c r="Q639" s="138" t="str">
        <x:v>Markdown</x:v>
      </x:c>
      <x:c r="R639" s="20" t="str"/>
    </x:row>
    <x:row r="640" ht="36" customHeight="1">
      <x:c r="A640" s="19" t="str">
        <x:v>W09-20261106-0639</x:v>
      </x:c>
      <x:c r="B640" s="13" t="n">
        <x:v>9</x:v>
      </x:c>
      <x:c r="C640" s="13" t="str">
        <x:v>Этап 3 — Hooks, натяжение корпуса и первые шестёрки</x:v>
      </x:c>
      <x:c r="D640" s="138" t="str">
        <x:v>2026-11-06</x:v>
      </x:c>
      <x:c r="E640" s="13" t="str">
        <x:v>Пятница</x:v>
      </x:c>
      <x:c r="F640" s="13" t="str">
        <x:v>Дом / теория</x:v>
      </x:c>
      <x:c r="G640" s="44" t="n">
        <x:v>0.034027777777777775</x:v>
      </x:c>
      <x:c r="H640" s="44" t="n">
        <x:v>0.03680555555555556</x:v>
      </x:c>
      <x:c r="I640" s="32" t="n">
        <x:f>ROUND((H640-G640)*1440,0)</x:f>
        <x:v>4</x:v>
      </x:c>
      <x:c r="J640" s="13" t="str">
        <x:v>Журнал</x:v>
      </x:c>
      <x:c r="K640" s="13" t="str">
        <x:v>Запиши одну вещь, которая сработала на этой неделе, и одну, которую повторишь в воскресенье на лёгкой трассе.</x:v>
      </x:c>
      <x:c r="L640" s="13" t="str">
        <x:v>☐ Не начато</x:v>
      </x:c>
      <x:c r="M640" s="13" t="str">
        <x:v>Обязательно</x:v>
      </x:c>
      <x:c r="N640" s="13" t="str">
        <x:v>Без нагрузки</x:v>
      </x:c>
      <x:c r="O640" s="13" t="str"/>
      <x:c r="P640" s="13" t="str">
        <x:v>milestone_03_hooks_tension_first_sixes/week_09_2026-11-02/05_FRIDAY.md</x:v>
      </x:c>
      <x:c r="Q640" s="138" t="str">
        <x:v>Markdown</x:v>
      </x:c>
      <x:c r="R640" s="20" t="str"/>
    </x:row>
    <x:row r="641" ht="36" customHeight="1">
      <x:c r="A641" s="19" t="str">
        <x:v>W09-20261106-0640</x:v>
      </x:c>
      <x:c r="B641" s="13" t="n">
        <x:v>9</x:v>
      </x:c>
      <x:c r="C641" s="13" t="str">
        <x:v>Этап 3 — Hooks, натяжение корпуса и первые шестёрки</x:v>
      </x:c>
      <x:c r="D641" s="138" t="str">
        <x:v>2026-11-06</x:v>
      </x:c>
      <x:c r="E641" s="13" t="str">
        <x:v>Пятница</x:v>
      </x:c>
      <x:c r="F641" s="13" t="str">
        <x:v>Дом / теория</x:v>
      </x:c>
      <x:c r="G641" s="44" t="n">
        <x:v>0.03680555555555556</x:v>
      </x:c>
      <x:c r="H641" s="44" t="n">
        <x:v>0.03888888888888889</x:v>
      </x:c>
      <x:c r="I641" s="32" t="n">
        <x:f>ROUND((H641-G641)*1440,0)</x:f>
        <x:v>3</x:v>
      </x:c>
      <x:c r="J641" s="13" t="str">
        <x:v>Запрет лишней нагрузки</x:v>
      </x:c>
      <x:c r="K641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641" s="13" t="str">
        <x:v>☐ Не начато</x:v>
      </x:c>
      <x:c r="M641" s="13" t="str">
        <x:v>Обязательно</x:v>
      </x:c>
      <x:c r="N641" s="13" t="str">
        <x:v>Восстановление</x:v>
      </x:c>
      <x:c r="O641" s="13" t="str">
        <x:v>Общая пальцевая нагрузка уже получена в четверг.</x:v>
      </x:c>
      <x:c r="P641" s="13" t="str">
        <x:v>milestone_03_hooks_tension_first_sixes/week_09_2026-11-02/05_FRIDAY.md</x:v>
      </x:c>
      <x:c r="Q641" s="138" t="str">
        <x:v>Markdown</x:v>
      </x:c>
      <x:c r="R641" s="20" t="str"/>
    </x:row>
    <x:row r="642" ht="36" customHeight="1">
      <x:c r="A642" s="19" t="str">
        <x:v>W09-20261107-0641</x:v>
      </x:c>
      <x:c r="B642" s="13" t="n">
        <x:v>9</x:v>
      </x:c>
      <x:c r="C642" s="13" t="str">
        <x:v>Этап 3 — Hooks, натяжение корпуса и первые шестёрки</x:v>
      </x:c>
      <x:c r="D642" s="138" t="str">
        <x:v>2026-11-07</x:v>
      </x:c>
      <x:c r="E642" s="13" t="str">
        <x:v>Суббота</x:v>
      </x:c>
      <x:c r="F642" s="13" t="str">
        <x:v>Отдых / подготовка</x:v>
      </x:c>
      <x:c r="G642" s="44" t="n">
        <x:v>0</x:v>
      </x:c>
      <x:c r="H642" s="44" t="n">
        <x:v>0.003472222222222222</x:v>
      </x:c>
      <x:c r="I642" s="32" t="n">
        <x:f>ROUND((H642-G642)*1440,0)</x:f>
        <x:v>5</x:v>
      </x:c>
      <x:c r="J642" s="13" t="str">
        <x:v>Самопроверка</x:v>
      </x:c>
      <x:c r="K642" s="13" t="str">
        <x:v>Проверь кожу пальцев, ногти, плечо и колено. Никаких тестовых висов.</x:v>
      </x:c>
      <x:c r="L642" s="13" t="str">
        <x:v>☐ Не начато</x:v>
      </x:c>
      <x:c r="M642" s="13" t="str">
        <x:v>Обязательно</x:v>
      </x:c>
      <x:c r="N642" s="13" t="str">
        <x:v>Восстановление</x:v>
      </x:c>
      <x:c r="O642" s="13" t="str"/>
      <x:c r="P642" s="13" t="str">
        <x:v>milestone_03_hooks_tension_first_sixes/week_09_2026-11-02/06_SATURDAY.md</x:v>
      </x:c>
      <x:c r="Q642" s="138" t="str">
        <x:v>Markdown</x:v>
      </x:c>
      <x:c r="R642" s="20" t="str"/>
    </x:row>
    <x:row r="643" ht="36" customHeight="1">
      <x:c r="A643" s="19" t="str">
        <x:v>W09-20261107-0642</x:v>
      </x:c>
      <x:c r="B643" s="13" t="n">
        <x:v>9</x:v>
      </x:c>
      <x:c r="C643" s="13" t="str">
        <x:v>Этап 3 — Hooks, натяжение корпуса и первые шестёрки</x:v>
      </x:c>
      <x:c r="D643" s="138" t="str">
        <x:v>2026-11-07</x:v>
      </x:c>
      <x:c r="E643" s="13" t="str">
        <x:v>Суббота</x:v>
      </x:c>
      <x:c r="F643" s="13" t="str">
        <x:v>Отдых / подготовка</x:v>
      </x:c>
      <x:c r="G643" s="44" t="n">
        <x:v>0.003472222222222222</x:v>
      </x:c>
      <x:c r="H643" s="44" t="n">
        <x:v>0.010416666666666666</x:v>
      </x:c>
      <x:c r="I643" s="32" t="n">
        <x:f>ROUND((H643-G643)*1440,0)</x:f>
        <x:v>10</x:v>
      </x:c>
      <x:c r="J643" s="13" t="str">
        <x:v>Активное восстановление</x:v>
      </x:c>
      <x:c r="K643" s="13" t="str">
        <x:v>10 минут лёгкой прогулки или бытовой активности. Цель — восстановление, не тренировка.</x:v>
      </x:c>
      <x:c r="L643" s="13" t="str">
        <x:v>☐ Не начато</x:v>
      </x:c>
      <x:c r="M643" s="13" t="str">
        <x:v>Обязательно</x:v>
      </x:c>
      <x:c r="N643" s="13" t="str">
        <x:v>RPE 1–2</x:v>
      </x:c>
      <x:c r="O643" s="13" t="str"/>
      <x:c r="P643" s="13" t="str">
        <x:v>milestone_03_hooks_tension_first_sixes/week_09_2026-11-02/06_SATURDAY.md</x:v>
      </x:c>
      <x:c r="Q643" s="138" t="str">
        <x:v>Markdown</x:v>
      </x:c>
      <x:c r="R643" s="20" t="str"/>
    </x:row>
    <x:row r="644" ht="36" customHeight="1">
      <x:c r="A644" s="19" t="str">
        <x:v>W09-20261107-0643</x:v>
      </x:c>
      <x:c r="B644" s="13" t="n">
        <x:v>9</x:v>
      </x:c>
      <x:c r="C644" s="13" t="str">
        <x:v>Этап 3 — Hooks, натяжение корпуса и первые шестёрки</x:v>
      </x:c>
      <x:c r="D644" s="138" t="str">
        <x:v>2026-11-07</x:v>
      </x:c>
      <x:c r="E644" s="13" t="str">
        <x:v>Суббота</x:v>
      </x:c>
      <x:c r="F644" s="13" t="str">
        <x:v>Отдых / подготовка</x:v>
      </x:c>
      <x:c r="G644" s="44" t="n">
        <x:v>0.010416666666666666</x:v>
      </x:c>
      <x:c r="H644" s="44" t="n">
        <x:v>0.013888888888888888</x:v>
      </x:c>
      <x:c r="I644" s="32" t="n">
        <x:f>ROUND((H644-G644)*1440,0)</x:f>
        <x:v>5</x:v>
      </x:c>
      <x:c r="J644" s="13" t="str">
        <x:v>Уход за кожей</x:v>
      </x:c>
      <x:c r="K644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644" s="13" t="str">
        <x:v>☐ Не начато</x:v>
      </x:c>
      <x:c r="M644" s="13" t="str">
        <x:v>Опционально</x:v>
      </x:c>
      <x:c r="N644" s="13" t="str">
        <x:v>Без нагрузки</x:v>
      </x:c>
      <x:c r="O644" s="13" t="str">
        <x:v>Повреждённую/болезненную кожу не шлифовать.</x:v>
      </x:c>
      <x:c r="P644" s="13" t="str">
        <x:v>milestone_03_hooks_tension_first_sixes/week_09_2026-11-02/06_SATURDAY.md</x:v>
      </x:c>
      <x:c r="Q644" s="138" t="str">
        <x:v>Markdown</x:v>
      </x:c>
      <x:c r="R644" s="20" t="str"/>
    </x:row>
    <x:row r="645" ht="36" customHeight="1">
      <x:c r="A645" s="19" t="str">
        <x:v>W09-20261107-0644</x:v>
      </x:c>
      <x:c r="B645" s="13" t="n">
        <x:v>9</x:v>
      </x:c>
      <x:c r="C645" s="13" t="str">
        <x:v>Этап 3 — Hooks, натяжение корпуса и первые шестёрки</x:v>
      </x:c>
      <x:c r="D645" s="138" t="str">
        <x:v>2026-11-07</x:v>
      </x:c>
      <x:c r="E645" s="13" t="str">
        <x:v>Суббота</x:v>
      </x:c>
      <x:c r="F645" s="13" t="str">
        <x:v>Отдых / подготовка</x:v>
      </x:c>
      <x:c r="G645" s="44" t="n">
        <x:v>0.013888888888888888</x:v>
      </x:c>
      <x:c r="H645" s="44" t="n">
        <x:v>0.016666666666666666</x:v>
      </x:c>
      <x:c r="I645" s="32" t="n">
        <x:f>ROUND((H645-G645)*1440,0)</x:f>
        <x:v>4</x:v>
      </x:c>
      <x:c r="J645" s="13" t="str">
        <x:v>Подготовка</x:v>
      </x:c>
      <x:c r="K645" s="13" t="str">
        <x:v>Заряди телефон, освободи память для одного видео, положи щётку и магнезию.</x:v>
      </x:c>
      <x:c r="L645" s="13" t="str">
        <x:v>☐ Не начато</x:v>
      </x:c>
      <x:c r="M645" s="13" t="str">
        <x:v>Обязательно</x:v>
      </x:c>
      <x:c r="N645" s="13" t="str">
        <x:v>Без нагрузки</x:v>
      </x:c>
      <x:c r="O645" s="13" t="str"/>
      <x:c r="P645" s="13" t="str">
        <x:v>milestone_03_hooks_tension_first_sixes/week_09_2026-11-02/06_SATURDAY.md</x:v>
      </x:c>
      <x:c r="Q645" s="138" t="str">
        <x:v>Markdown</x:v>
      </x:c>
      <x:c r="R645" s="20" t="str"/>
    </x:row>
    <x:row r="646" ht="36" customHeight="1">
      <x:c r="A646" s="19" t="str">
        <x:v>W09-20261107-0645</x:v>
      </x:c>
      <x:c r="B646" s="13" t="n">
        <x:v>9</x:v>
      </x:c>
      <x:c r="C646" s="13" t="str">
        <x:v>Этап 3 — Hooks, натяжение корпуса и первые шестёрки</x:v>
      </x:c>
      <x:c r="D646" s="138" t="str">
        <x:v>2026-11-07</x:v>
      </x:c>
      <x:c r="E646" s="13" t="str">
        <x:v>Суббота</x:v>
      </x:c>
      <x:c r="F646" s="13" t="str">
        <x:v>Отдых / подготовка</x:v>
      </x:c>
      <x:c r="G646" s="44" t="n">
        <x:v>0.016666666666666666</x:v>
      </x:c>
      <x:c r="H646" s="44" t="n">
        <x:v>0.01875</x:v>
      </x:c>
      <x:c r="I646" s="32" t="n">
        <x:f>ROUND((H646-G646)*1440,0)</x:f>
        <x:v>3</x:v>
      </x:c>
      <x:c r="J646" s="13" t="str">
        <x:v>План воскресенья</x:v>
      </x:c>
      <x:c r="K646" s="13" t="str">
        <x:v>Выбери заранее одну лёгкую трассу под тему «Heel hook». Воскресенье остаётся развлечением, не третьим тяжёлым днём.</x:v>
      </x:c>
      <x:c r="L646" s="13" t="str">
        <x:v>☐ Не начато</x:v>
      </x:c>
      <x:c r="M646" s="13" t="str">
        <x:v>Обязательно</x:v>
      </x:c>
      <x:c r="N646" s="13" t="str">
        <x:v>Без нагрузки</x:v>
      </x:c>
      <x:c r="O646" s="13" t="str"/>
      <x:c r="P646" s="13" t="str">
        <x:v>milestone_03_hooks_tension_first_sixes/week_09_2026-11-02/06_SATURDAY.md</x:v>
      </x:c>
      <x:c r="Q646" s="138" t="str">
        <x:v>Markdown</x:v>
      </x:c>
      <x:c r="R646" s="20" t="str"/>
    </x:row>
    <x:row r="647" ht="36" customHeight="1">
      <x:c r="A647" s="19" t="str">
        <x:v>W09-20261107-0646</x:v>
      </x:c>
      <x:c r="B647" s="13" t="n">
        <x:v>9</x:v>
      </x:c>
      <x:c r="C647" s="13" t="str">
        <x:v>Этап 3 — Hooks, натяжение корпуса и первые шестёрки</x:v>
      </x:c>
      <x:c r="D647" s="138" t="str">
        <x:v>2026-11-07</x:v>
      </x:c>
      <x:c r="E647" s="13" t="str">
        <x:v>Суббота</x:v>
      </x:c>
      <x:c r="F647" s="13" t="str">
        <x:v>Отдых / подготовка</x:v>
      </x:c>
      <x:c r="G647" s="44" t="n">
        <x:v>0.01875</x:v>
      </x:c>
      <x:c r="H647" s="44" t="n">
        <x:v>0.020833333333333332</x:v>
      </x:c>
      <x:c r="I647" s="32" t="n">
        <x:f>ROUND((H647-G647)*1440,0)</x:f>
        <x:v>3</x:v>
      </x:c>
      <x:c r="J647" s="13" t="str">
        <x:v>Сон / восстановление</x:v>
      </x:c>
      <x:c r="K647" s="13" t="str">
        <x:v>Запланируй обычный сон и нормальный приём пищи; не пытайся «разбудить хват» вечером.</x:v>
      </x:c>
      <x:c r="L647" s="13" t="str">
        <x:v>☐ Не начато</x:v>
      </x:c>
      <x:c r="M647" s="13" t="str">
        <x:v>Обязательно</x:v>
      </x:c>
      <x:c r="N647" s="13" t="str">
        <x:v>Восстановление</x:v>
      </x:c>
      <x:c r="O647" s="13" t="str"/>
      <x:c r="P647" s="13" t="str">
        <x:v>milestone_03_hooks_tension_first_sixes/week_09_2026-11-02/06_SATURDAY.md</x:v>
      </x:c>
      <x:c r="Q647" s="138" t="str">
        <x:v>Markdown</x:v>
      </x:c>
      <x:c r="R647" s="20" t="str"/>
    </x:row>
    <x:row r="648" ht="36" customHeight="1">
      <x:c r="A648" s="19" t="str">
        <x:v>W09-20261108-0647</x:v>
      </x:c>
      <x:c r="B648" s="13" t="n">
        <x:v>9</x:v>
      </x:c>
      <x:c r="C648" s="13" t="str">
        <x:v>Этап 3 — Hooks, натяжение корпуса и первые шестёрки</x:v>
      </x:c>
      <x:c r="D648" s="138" t="str">
        <x:v>2026-11-08</x:v>
      </x:c>
      <x:c r="E648" s="13" t="str">
        <x:v>Воскресенье</x:v>
      </x:c>
      <x:c r="F648" s="13" t="str">
        <x:v>Тренировка C — fun / опционально</x:v>
      </x:c>
      <x:c r="G648" s="44" t="n">
        <x:v>0</x:v>
      </x:c>
      <x:c r="H648" s="44" t="n">
        <x:v>0.0020833333333333333</x:v>
      </x:c>
      <x:c r="I648" s="32" t="n">
        <x:f>ROUND((H648-G648)*1440,0)</x:f>
        <x:v>3</x:v>
      </x:c>
      <x:c r="J648" s="13" t="str">
        <x:v>Выбор сценария</x:v>
      </x:c>
      <x:c r="K648" s="13" t="str">
        <x:v>Выбери один сценарий: (A) fun-сессия 75 минут в зале или (B) восстановительный день дома 25 минут. Не выполнять оба.</x:v>
      </x:c>
      <x:c r="L648" s="13" t="str">
        <x:v>☐ Не начато</x:v>
      </x:c>
      <x:c r="M648" s="13" t="str">
        <x:v>Выбрать один сценарий</x:v>
      </x:c>
      <x:c r="N648" s="13" t="str">
        <x:v>По состоянию</x:v>
      </x:c>
      <x:c r="O648" s="13" t="str"/>
      <x:c r="P648" s="13" t="str">
        <x:v>milestone_03_hooks_tension_first_sixes/week_09_2026-11-02/07_SUNDAY.md</x:v>
      </x:c>
      <x:c r="Q648" s="138" t="str">
        <x:v>Markdown</x:v>
      </x:c>
      <x:c r="R648" s="20" t="str"/>
    </x:row>
    <x:row r="649" ht="36" customHeight="1">
      <x:c r="A649" s="19" t="str">
        <x:v>W09-20261108-0648</x:v>
      </x:c>
      <x:c r="B649" s="13" t="n">
        <x:v>9</x:v>
      </x:c>
      <x:c r="C649" s="13" t="str">
        <x:v>Этап 3 — Hooks, натяжение корпуса и первые шестёрки</x:v>
      </x:c>
      <x:c r="D649" s="138" t="str">
        <x:v>2026-11-08</x:v>
      </x:c>
      <x:c r="E649" s="13" t="str">
        <x:v>Воскресенье</x:v>
      </x:c>
      <x:c r="F649" s="13" t="str">
        <x:v>Тренировка C — fun / опционально</x:v>
      </x:c>
      <x:c r="G649" s="44" t="n">
        <x:v>0.0020833333333333333</x:v>
      </x:c>
      <x:c r="H649" s="44" t="n">
        <x:v>0.005555555555555556</x:v>
      </x:c>
      <x:c r="I649" s="32" t="n">
        <x:f>ROUND((H649-G649)*1440,0)</x:f>
        <x:v>5</x:v>
      </x:c>
      <x:c r="J649" s="13" t="str">
        <x:v>Разминка A</x:v>
      </x:c>
      <x:c r="K649" s="13" t="str">
        <x:v>Если идёшь в зал: 5 минут поднятия температуры.</x:v>
      </x:c>
      <x:c r="L649" s="13" t="str">
        <x:v>☐ Не начато</x:v>
      </x:c>
      <x:c r="M649" s="13" t="str">
        <x:v>Опционально</x:v>
      </x:c>
      <x:c r="N649" s="13" t="str">
        <x:v>RPE 2–3</x:v>
      </x:c>
      <x:c r="O649" s="13" t="str"/>
      <x:c r="P649" s="13" t="str">
        <x:v>milestone_03_hooks_tension_first_sixes/week_09_2026-11-02/07_SUNDAY.md</x:v>
      </x:c>
      <x:c r="Q649" s="138" t="str">
        <x:v>Markdown</x:v>
      </x:c>
      <x:c r="R649" s="20" t="str"/>
    </x:row>
    <x:row r="650" ht="36" customHeight="1">
      <x:c r="A650" s="19" t="str">
        <x:v>W09-20261108-0649</x:v>
      </x:c>
      <x:c r="B650" s="13" t="n">
        <x:v>9</x:v>
      </x:c>
      <x:c r="C650" s="13" t="str">
        <x:v>Этап 3 — Hooks, натяжение корпуса и первые шестёрки</x:v>
      </x:c>
      <x:c r="D650" s="138" t="str">
        <x:v>2026-11-08</x:v>
      </x:c>
      <x:c r="E650" s="13" t="str">
        <x:v>Воскресенье</x:v>
      </x:c>
      <x:c r="F650" s="13" t="str">
        <x:v>Тренировка C — fun / опционально</x:v>
      </x:c>
      <x:c r="G650" s="44" t="n">
        <x:v>0.005555555555555556</x:v>
      </x:c>
      <x:c r="H650" s="44" t="n">
        <x:v>0.009027777777777777</x:v>
      </x:c>
      <x:c r="I650" s="32" t="n">
        <x:f>ROUND((H650-G650)*1440,0)</x:f>
        <x:v>5</x:v>
      </x:c>
      <x:c r="J650" s="13" t="str">
        <x:v>Разминка A</x:v>
      </x:c>
      <x:c r="K650" s="13" t="str">
        <x:v>Динамическая суставная разминка в безболезненном диапазоне; без отжиманий/press.</x:v>
      </x:c>
      <x:c r="L650" s="13" t="str">
        <x:v>☐ Не начато</x:v>
      </x:c>
      <x:c r="M650" s="13" t="str">
        <x:v>Опционально</x:v>
      </x:c>
      <x:c r="N650" s="13" t="str">
        <x:v>Очень легко</x:v>
      </x:c>
      <x:c r="O650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50" s="13" t="str">
        <x:v>milestone_03_hooks_tension_first_sixes/week_09_2026-11-02/07_SUNDAY.md</x:v>
      </x:c>
      <x:c r="Q650" s="138" t="str">
        <x:v>Markdown</x:v>
      </x:c>
      <x:c r="R650" s="20" t="str"/>
    </x:row>
    <x:row r="651" ht="36" customHeight="1">
      <x:c r="A651" s="19" t="str">
        <x:v>W09-20261108-0650</x:v>
      </x:c>
      <x:c r="B651" s="13" t="n">
        <x:v>9</x:v>
      </x:c>
      <x:c r="C651" s="13" t="str">
        <x:v>Этап 3 — Hooks, натяжение корпуса и первые шестёрки</x:v>
      </x:c>
      <x:c r="D651" s="138" t="str">
        <x:v>2026-11-08</x:v>
      </x:c>
      <x:c r="E651" s="13" t="str">
        <x:v>Воскресенье</x:v>
      </x:c>
      <x:c r="F651" s="13" t="str">
        <x:v>Тренировка C — fun / опционально</x:v>
      </x:c>
      <x:c r="G651" s="44" t="n">
        <x:v>0.009027777777777777</x:v>
      </x:c>
      <x:c r="H651" s="44" t="n">
        <x:v>0.013888888888888888</x:v>
      </x:c>
      <x:c r="I651" s="32" t="n">
        <x:f>ROUND((H651-G651)*1440,0)</x:f>
        <x:v>7</x:v>
      </x:c>
      <x:c r="J651" s="13" t="str">
        <x:v>Лёгкое лазание A</x:v>
      </x:c>
      <x:c r="K651" s="13" t="str">
        <x:v>3 очень лёгкие трассы 1–3 с постепенным увеличением сложности.</x:v>
      </x:c>
      <x:c r="L651" s="13" t="str">
        <x:v>☐ Не начато</x:v>
      </x:c>
      <x:c r="M651" s="13" t="str">
        <x:v>Опционально</x:v>
      </x:c>
      <x:c r="N651" s="13" t="str">
        <x:v>RPE 2–4</x:v>
      </x:c>
      <x:c r="O651" s="13" t="str"/>
      <x:c r="P651" s="13" t="str">
        <x:v>milestone_03_hooks_tension_first_sixes/week_09_2026-11-02/07_SUNDAY.md</x:v>
      </x:c>
      <x:c r="Q651" s="138" t="str">
        <x:v>Markdown</x:v>
      </x:c>
      <x:c r="R651" s="20" t="str"/>
    </x:row>
    <x:row r="652" ht="36" customHeight="1">
      <x:c r="A652" s="19" t="str">
        <x:v>W09-20261108-0651</x:v>
      </x:c>
      <x:c r="B652" s="13" t="n">
        <x:v>9</x:v>
      </x:c>
      <x:c r="C652" s="13" t="str">
        <x:v>Этап 3 — Hooks, натяжение корпуса и первые шестёрки</x:v>
      </x:c>
      <x:c r="D652" s="138" t="str">
        <x:v>2026-11-08</x:v>
      </x:c>
      <x:c r="E652" s="13" t="str">
        <x:v>Воскресенье</x:v>
      </x:c>
      <x:c r="F652" s="13" t="str">
        <x:v>Тренировка C — fun / опционально</x:v>
      </x:c>
      <x:c r="G652" s="44" t="n">
        <x:v>0.013888888888888888</x:v>
      </x:c>
      <x:c r="H652" s="44" t="n">
        <x:v>0.020833333333333332</x:v>
      </x:c>
      <x:c r="I652" s="32" t="n">
        <x:f>ROUND((H652-G652)*1440,0)</x:f>
        <x:v>10</x:v>
      </x:c>
      <x:c r="J652" s="13" t="str">
        <x:v>Технический праймер A</x:v>
      </x:c>
      <x:c r="K652" s="13" t="str">
        <x:v>На одной лёгкой трассе дважды повтори «Heel hook». Критерий: Можно на секунду ослабить одну руку без рывка и без смещения пятки.</x:v>
      </x:c>
      <x:c r="L652" s="13" t="str">
        <x:v>☐ Не начато</x:v>
      </x:c>
      <x:c r="M652" s="13" t="str">
        <x:v>Опционально</x:v>
      </x:c>
      <x:c r="N652" s="13" t="str">
        <x:v>RPE 3–4</x:v>
      </x:c>
      <x:c r="O652" s="13" t="str">
        <x:v>Правое колено только в комфортном угле; при вращательной боли использовать другую ногу/бету.</x:v>
      </x:c>
      <x:c r="P652" s="13" t="str">
        <x:v>milestone_03_hooks_tension_first_sixes/week_09_2026-11-02/07_SUNDAY.md</x:v>
      </x:c>
      <x:c r="Q652" s="138" t="str">
        <x:v>Markdown</x:v>
      </x:c>
      <x:c r="R652" s="20" t="str"/>
    </x:row>
    <x:row r="653" ht="36" customHeight="1">
      <x:c r="A653" s="19" t="str">
        <x:v>W09-20261108-0652</x:v>
      </x:c>
      <x:c r="B653" s="13" t="n">
        <x:v>9</x:v>
      </x:c>
      <x:c r="C653" s="13" t="str">
        <x:v>Этап 3 — Hooks, натяжение корпуса и первые шестёрки</x:v>
      </x:c>
      <x:c r="D653" s="138" t="str">
        <x:v>2026-11-08</x:v>
      </x:c>
      <x:c r="E653" s="13" t="str">
        <x:v>Воскресенье</x:v>
      </x:c>
      <x:c r="F653" s="13" t="str">
        <x:v>Тренировка C — fun / опционально</x:v>
      </x:c>
      <x:c r="G653" s="44" t="n">
        <x:v>0.020833333333333332</x:v>
      </x:c>
      <x:c r="H653" s="44" t="n">
        <x:v>0.03819444444444445</x:v>
      </x:c>
      <x:c r="I653" s="32" t="n">
        <x:f>ROUND((H653-G653)*1440,0)</x:f>
        <x:v>25</x:v>
      </x:c>
      <x:c r="J653" s="13" t="str">
        <x:v>Свободное лазание A</x:v>
      </x:c>
      <x:c r="K653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653" s="13" t="str">
        <x:v>☐ Не начато</x:v>
      </x:c>
      <x:c r="M653" s="13" t="str">
        <x:v>Опционально</x:v>
      </x:c>
      <x:c r="N653" s="13" t="str">
        <x:v>RPE 4–7</x:v>
      </x:c>
      <x:c r="O653" s="13" t="str">
        <x:v>Не превращать блок в круг на выносливость.</x:v>
      </x:c>
      <x:c r="P653" s="13" t="str">
        <x:v>milestone_03_hooks_tension_first_sixes/week_09_2026-11-02/07_SUNDAY.md</x:v>
      </x:c>
      <x:c r="Q653" s="138" t="str">
        <x:v>Markdown</x:v>
      </x:c>
      <x:c r="R653" s="20" t="str"/>
    </x:row>
    <x:row r="654" ht="36" customHeight="1">
      <x:c r="A654" s="19" t="str">
        <x:v>W09-20261108-0653</x:v>
      </x:c>
      <x:c r="B654" s="13" t="n">
        <x:v>9</x:v>
      </x:c>
      <x:c r="C654" s="13" t="str">
        <x:v>Этап 3 — Hooks, натяжение корпуса и первые шестёрки</x:v>
      </x:c>
      <x:c r="D654" s="138" t="str">
        <x:v>2026-11-08</x:v>
      </x:c>
      <x:c r="E654" s="13" t="str">
        <x:v>Воскресенье</x:v>
      </x:c>
      <x:c r="F654" s="13" t="str">
        <x:v>Тренировка C — fun / опционально</x:v>
      </x:c>
      <x:c r="G654" s="44" t="n">
        <x:v>0.03819444444444445</x:v>
      </x:c>
      <x:c r="H654" s="44" t="n">
        <x:v>0.04583333333333333</x:v>
      </x:c>
      <x:c r="I654" s="32" t="n">
        <x:f>ROUND((H654-G654)*1440,0)</x:f>
        <x:v>11</x:v>
      </x:c>
      <x:c r="J654" s="13" t="str">
        <x:v>Свежая сложная попытка A</x:v>
      </x:c>
      <x:c r="K654" s="13" t="str">
        <x:v>Только если всё зелёное: попробуй одну рабочую пятёрку или дружелюбную шестёрку по критериям недели — 1 пятёрка с естественным heel hook + 1 «дружелюбная» шестёрка; на шестёрке цель — понять первые 2–4 движения. Максимум 2 попытки, отдых 4 минуты.</x:v>
      </x:c>
      <x:c r="L654" s="13" t="str">
        <x:v>☐ Не начато</x:v>
      </x:c>
      <x:c r="M654" s="13" t="str">
        <x:v>Опционально</x:v>
      </x:c>
      <x:c r="N654" s="13" t="str">
        <x:v>RPE 7–8, без отказа</x:v>
      </x:c>
      <x:c r="O654" s="13" t="str">
        <x:v>Правое колено: пятка только в комфортном угле; при скручивании использовать левую или другую бету. Плечо: не компенсировать hook жёсткой тягой.</x:v>
      </x:c>
      <x:c r="P654" s="13" t="str">
        <x:v>milestone_03_hooks_tension_first_sixes/week_09_2026-11-02/07_SUNDAY.md</x:v>
      </x:c>
      <x:c r="Q654" s="138" t="str">
        <x:v>Markdown</x:v>
      </x:c>
      <x:c r="R654" s="20" t="str"/>
    </x:row>
    <x:row r="655" ht="36" customHeight="1">
      <x:c r="A655" s="19" t="str">
        <x:v>W09-20261108-0654</x:v>
      </x:c>
      <x:c r="B655" s="13" t="n">
        <x:v>9</x:v>
      </x:c>
      <x:c r="C655" s="13" t="str">
        <x:v>Этап 3 — Hooks, натяжение корпуса и первые шестёрки</x:v>
      </x:c>
      <x:c r="D655" s="138" t="str">
        <x:v>2026-11-08</x:v>
      </x:c>
      <x:c r="E655" s="13" t="str">
        <x:v>Воскресенье</x:v>
      </x:c>
      <x:c r="F655" s="13" t="str">
        <x:v>Тренировка C — fun / опционально</x:v>
      </x:c>
      <x:c r="G655" s="44" t="n">
        <x:v>0.04583333333333333</x:v>
      </x:c>
      <x:c r="H655" s="44" t="n">
        <x:v>0.05</x:v>
      </x:c>
      <x:c r="I655" s="32" t="n">
        <x:f>ROUND((H655-G655)*1440,0)</x:f>
        <x:v>6</x:v>
      </x:c>
      <x:c r="J655" s="13" t="str">
        <x:v>Лёгкий финал A</x:v>
      </x:c>
      <x:c r="K655" s="13" t="str">
        <x:v>Одна любимая лёгкая трасса или спокойный спуск. Фингерборда и capacity-круга нет.</x:v>
      </x:c>
      <x:c r="L655" s="13" t="str">
        <x:v>☐ Не начато</x:v>
      </x:c>
      <x:c r="M655" s="13" t="str">
        <x:v>Опционально</x:v>
      </x:c>
      <x:c r="N655" s="13" t="str">
        <x:v>RPE 2–3</x:v>
      </x:c>
      <x:c r="O655" s="13" t="str"/>
      <x:c r="P655" s="13" t="str">
        <x:v>milestone_03_hooks_tension_first_sixes/week_09_2026-11-02/07_SUNDAY.md</x:v>
      </x:c>
      <x:c r="Q655" s="138" t="str">
        <x:v>Markdown</x:v>
      </x:c>
      <x:c r="R655" s="20" t="str"/>
    </x:row>
    <x:row r="656" ht="36" customHeight="1">
      <x:c r="A656" s="19" t="str">
        <x:v>W09-20261108-0655</x:v>
      </x:c>
      <x:c r="B656" s="13" t="n">
        <x:v>9</x:v>
      </x:c>
      <x:c r="C656" s="13" t="str">
        <x:v>Этап 3 — Hooks, натяжение корпуса и первые шестёрки</x:v>
      </x:c>
      <x:c r="D656" s="138" t="str">
        <x:v>2026-11-08</x:v>
      </x:c>
      <x:c r="E656" s="13" t="str">
        <x:v>Воскресенье</x:v>
      </x:c>
      <x:c r="F656" s="13" t="str">
        <x:v>Тренировка C — fun / опционально</x:v>
      </x:c>
      <x:c r="G656" s="44" t="n">
        <x:v>0.05</x:v>
      </x:c>
      <x:c r="H656" s="44" t="n">
        <x:v>0.052083333333333336</x:v>
      </x:c>
      <x:c r="I656" s="32" t="n">
        <x:f>ROUND((H656-G656)*1440,0)</x:f>
        <x:v>3</x:v>
      </x:c>
      <x:c r="J656" s="13" t="str">
        <x:v>Журнал A</x:v>
      </x:c>
      <x:c r="K656" s="13" t="str">
        <x:v>Запиши только 3 вещи: что было весело, один удачный технический момент, состояние пальцев после сессии.</x:v>
      </x:c>
      <x:c r="L656" s="13" t="str">
        <x:v>☐ Не начато</x:v>
      </x:c>
      <x:c r="M656" s="13" t="str">
        <x:v>Опционально</x:v>
      </x:c>
      <x:c r="N656" s="13" t="str">
        <x:v>Без нагрузки</x:v>
      </x:c>
      <x:c r="O656" s="13" t="str"/>
      <x:c r="P656" s="13" t="str">
        <x:v>milestone_03_hooks_tension_first_sixes/week_09_2026-11-02/07_SUNDAY.md</x:v>
      </x:c>
      <x:c r="Q656" s="138" t="str">
        <x:v>Markdown</x:v>
      </x:c>
      <x:c r="R656" s="20" t="str"/>
    </x:row>
    <x:row r="657" ht="36" customHeight="1">
      <x:c r="A657" s="19" t="str">
        <x:v>W09-20261108-0656</x:v>
      </x:c>
      <x:c r="B657" s="13" t="n">
        <x:v>9</x:v>
      </x:c>
      <x:c r="C657" s="13" t="str">
        <x:v>Этап 3 — Hooks, натяжение корпуса и первые шестёрки</x:v>
      </x:c>
      <x:c r="D657" s="138" t="str">
        <x:v>2026-11-08</x:v>
      </x:c>
      <x:c r="E657" s="13" t="str">
        <x:v>Воскресенье</x:v>
      </x:c>
      <x:c r="F657" s="13" t="str">
        <x:v>Восстановление B — дома</x:v>
      </x:c>
      <x:c r="G657" s="44" t="n">
        <x:v>0</x:v>
      </x:c>
      <x:c r="H657" s="44" t="n">
        <x:v>0.010416666666666666</x:v>
      </x:c>
      <x:c r="I657" s="32" t="n">
        <x:f>ROUND((H657-G657)*1440,0)</x:f>
        <x:v>15</x:v>
      </x:c>
      <x:c r="J657" s="13" t="str">
        <x:v>Прогулка B</x:v>
      </x:c>
      <x:c r="K657" s="13" t="str">
        <x:v>Если не идёшь в зал: 15 минут спокойной прогулки.</x:v>
      </x:c>
      <x:c r="L657" s="13" t="str">
        <x:v>☐ Не начато</x:v>
      </x:c>
      <x:c r="M657" s="13" t="str">
        <x:v>Опционально</x:v>
      </x:c>
      <x:c r="N657" s="13" t="str">
        <x:v>RPE 1–2</x:v>
      </x:c>
      <x:c r="O657" s="13" t="str"/>
      <x:c r="P657" s="13" t="str">
        <x:v>milestone_03_hooks_tension_first_sixes/week_09_2026-11-02/07_SUNDAY.md</x:v>
      </x:c>
      <x:c r="Q657" s="138" t="str">
        <x:v>Markdown</x:v>
      </x:c>
      <x:c r="R657" s="20" t="str"/>
    </x:row>
    <x:row r="658" ht="36" customHeight="1">
      <x:c r="A658" s="19" t="str">
        <x:v>W09-20261108-0657</x:v>
      </x:c>
      <x:c r="B658" s="13" t="n">
        <x:v>9</x:v>
      </x:c>
      <x:c r="C658" s="13" t="str">
        <x:v>Этап 3 — Hooks, натяжение корпуса и первые шестёрки</x:v>
      </x:c>
      <x:c r="D658" s="138" t="str">
        <x:v>2026-11-08</x:v>
      </x:c>
      <x:c r="E658" s="13" t="str">
        <x:v>Воскресенье</x:v>
      </x:c>
      <x:c r="F658" s="13" t="str">
        <x:v>Восстановление B — дома</x:v>
      </x:c>
      <x:c r="G658" s="44" t="n">
        <x:v>0.010416666666666666</x:v>
      </x:c>
      <x:c r="H658" s="44" t="n">
        <x:v>0.015277777777777777</x:v>
      </x:c>
      <x:c r="I658" s="32" t="n">
        <x:f>ROUND((H658-G658)*1440,0)</x:f>
        <x:v>7</x:v>
      </x:c>
      <x:c r="J658" s="13" t="str">
        <x:v>Визуализация B</x:v>
      </x:c>
      <x:c r="K658" s="13" t="str">
        <x:v>7 минут: мысленно повтори тему недели «Heel hook» и одну трассу четверга.</x:v>
      </x:c>
      <x:c r="L658" s="13" t="str">
        <x:v>☐ Не начато</x:v>
      </x:c>
      <x:c r="M658" s="13" t="str">
        <x:v>Опционально</x:v>
      </x:c>
      <x:c r="N658" s="13" t="str">
        <x:v>Без нагрузки</x:v>
      </x:c>
      <x:c r="O658" s="13" t="str"/>
      <x:c r="P658" s="13" t="str">
        <x:v>milestone_03_hooks_tension_first_sixes/week_09_2026-11-02/07_SUNDAY.md</x:v>
      </x:c>
      <x:c r="Q658" s="138" t="str">
        <x:v>Markdown</x:v>
      </x:c>
      <x:c r="R658" s="20" t="str"/>
    </x:row>
    <x:row r="659" ht="36" customHeight="1">
      <x:c r="A659" s="19" t="str">
        <x:v>W09-20261108-0658</x:v>
      </x:c>
      <x:c r="B659" s="13" t="n">
        <x:v>9</x:v>
      </x:c>
      <x:c r="C659" s="13" t="str">
        <x:v>Этап 3 — Hooks, натяжение корпуса и первые шестёрки</x:v>
      </x:c>
      <x:c r="D659" s="138" t="str">
        <x:v>2026-11-08</x:v>
      </x:c>
      <x:c r="E659" s="13" t="str">
        <x:v>Воскресенье</x:v>
      </x:c>
      <x:c r="F659" s="13" t="str">
        <x:v>Восстановление B — дома</x:v>
      </x:c>
      <x:c r="G659" s="44" t="n">
        <x:v>0.015277777777777777</x:v>
      </x:c>
      <x:c r="H659" s="44" t="n">
        <x:v>0.017361111111111112</x:v>
      </x:c>
      <x:c r="I659" s="32" t="n">
        <x:f>ROUND((H659-G659)*1440,0)</x:f>
        <x:v>3</x:v>
      </x:c>
      <x:c r="J659" s="13" t="str">
        <x:v>Итог недели B</x:v>
      </x:c>
      <x:c r="K659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659" s="13" t="str">
        <x:v>☐ Не начато</x:v>
      </x:c>
      <x:c r="M659" s="13" t="str">
        <x:v>Опционально</x:v>
      </x:c>
      <x:c r="N659" s="13" t="str">
        <x:v>Без нагрузки</x:v>
      </x:c>
      <x:c r="O659" s="13" t="str"/>
      <x:c r="P659" s="13" t="str">
        <x:v>milestone_03_hooks_tension_first_sixes/week_09_2026-11-02/07_SUNDAY.md</x:v>
      </x:c>
      <x:c r="Q659" s="138" t="str">
        <x:v>Markdown</x:v>
      </x:c>
      <x:c r="R659" s="20" t="str"/>
    </x:row>
    <x:row r="660" ht="36" customHeight="1">
      <x:c r="A660" s="19" t="str">
        <x:v>W10-20261109-0659</x:v>
      </x:c>
      <x:c r="B660" s="13" t="n">
        <x:v>10</x:v>
      </x:c>
      <x:c r="C660" s="13" t="str">
        <x:v>Этап 3 — Hooks, натяжение корпуса и первые шестёрки</x:v>
      </x:c>
      <x:c r="D660" s="138" t="str">
        <x:v>2026-11-09</x:v>
      </x:c>
      <x:c r="E660" s="13" t="str">
        <x:v>Понедельник</x:v>
      </x:c>
      <x:c r="F660" s="13" t="str">
        <x:v>Дом / теория</x:v>
      </x:c>
      <x:c r="G660" s="44" t="n">
        <x:v>0</x:v>
      </x:c>
      <x:c r="H660" s="44" t="n">
        <x:v>0.0020833333333333333</x:v>
      </x:c>
      <x:c r="I660" s="32" t="n">
        <x:f>ROUND((H660-G660)*1440,0)</x:f>
        <x:v>3</x:v>
      </x:c>
      <x:c r="J660" s="13" t="str">
        <x:v>Самопроверка</x:v>
      </x:c>
      <x:c r="K660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660" s="13" t="str">
        <x:v>☐ Не начато</x:v>
      </x:c>
      <x:c r="M660" s="13" t="str">
        <x:v>Обязательно</x:v>
      </x:c>
      <x:c r="N660" s="13" t="str">
        <x:v>Очень легко</x:v>
      </x:c>
      <x:c r="O660" s="13" t="str">
        <x:v>Не диагностируй травму самостоятельно; используй правила из документа безопасности.</x:v>
      </x:c>
      <x:c r="P660" s="13" t="str">
        <x:v>milestone_03_hooks_tension_first_sixes/week_10_2026-11-09/01_MONDAY.md</x:v>
      </x:c>
      <x:c r="Q660" s="138" t="str">
        <x:v>Markdown</x:v>
      </x:c>
      <x:c r="R660" s="20" t="str"/>
    </x:row>
    <x:row r="661" ht="36" customHeight="1">
      <x:c r="A661" s="19" t="str">
        <x:v>W10-20261109-0660</x:v>
      </x:c>
      <x:c r="B661" s="13" t="n">
        <x:v>10</x:v>
      </x:c>
      <x:c r="C661" s="13" t="str">
        <x:v>Этап 3 — Hooks, натяжение корпуса и первые шестёрки</x:v>
      </x:c>
      <x:c r="D661" s="138" t="str">
        <x:v>2026-11-09</x:v>
      </x:c>
      <x:c r="E661" s="13" t="str">
        <x:v>Понедельник</x:v>
      </x:c>
      <x:c r="F661" s="13" t="str">
        <x:v>Дом / теория</x:v>
      </x:c>
      <x:c r="G661" s="44" t="n">
        <x:v>0.0020833333333333333</x:v>
      </x:c>
      <x:c r="H661" s="44" t="n">
        <x:v>0.005555555555555556</x:v>
      </x:c>
      <x:c r="I661" s="32" t="n">
        <x:f>ROUND((H661-G661)*1440,0)</x:f>
        <x:v>5</x:v>
      </x:c>
      <x:c r="J661" s="13" t="str">
        <x:v>Планирование</x:v>
      </x:c>
      <x:c r="K661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«Тяни верхом носка на себя, одновременно дави другой ногой от себя.»</x:v>
      </x:c>
      <x:c r="L661" s="13" t="str">
        <x:v>☐ Не начато</x:v>
      </x:c>
      <x:c r="M661" s="13" t="str">
        <x:v>Обязательно</x:v>
      </x:c>
      <x:c r="N661" s="13" t="str">
        <x:v>Без нагрузки</x:v>
      </x:c>
      <x:c r="O661" s="13" t="str"/>
      <x:c r="P661" s="13" t="str">
        <x:v>milestone_03_hooks_tension_first_sixes/week_10_2026-11-09/01_MONDAY.md</x:v>
      </x:c>
      <x:c r="Q661" s="138" t="str">
        <x:v>Markdown</x:v>
      </x:c>
      <x:c r="R661" s="20" t="str"/>
    </x:row>
    <x:row r="662" ht="36" customHeight="1">
      <x:c r="A662" s="19" t="str">
        <x:v>W10-20261109-0661</x:v>
      </x:c>
      <x:c r="B662" s="13" t="n">
        <x:v>10</x:v>
      </x:c>
      <x:c r="C662" s="13" t="str">
        <x:v>Этап 3 — Hooks, натяжение корпуса и первые шестёрки</x:v>
      </x:c>
      <x:c r="D662" s="138" t="str">
        <x:v>2026-11-09</x:v>
      </x:c>
      <x:c r="E662" s="13" t="str">
        <x:v>Понедельник</x:v>
      </x:c>
      <x:c r="F662" s="13" t="str">
        <x:v>Дом / теория</x:v>
      </x:c>
      <x:c r="G662" s="44" t="n">
        <x:v>0.005555555555555556</x:v>
      </x:c>
      <x:c r="H662" s="44" t="n">
        <x:v>0.011111111111111112</x:v>
      </x:c>
      <x:c r="I662" s="32" t="n">
        <x:f>ROUND((H662-G662)*1440,0)</x:f>
        <x:v>8</x:v>
      </x:c>
      <x:c r="J662" s="13" t="str">
        <x:v>Теория</x:v>
      </x:c>
      <x:c r="K662" s="13" t="str">
        <x:v>Посмотри/прочитай [R11: BMC — How to toe hook when climbing](https://www.thebmc.co.uk/en/how-to-toe-hook-video). Задача: Зацеп верхом носка и удержание корпуса от ухода от стены.</x:v>
      </x:c>
      <x:c r="L662" s="13" t="str">
        <x:v>☐ Не начато</x:v>
      </x:c>
      <x:c r="M662" s="13" t="str">
        <x:v>Обязательно</x:v>
      </x:c>
      <x:c r="N662" s="13" t="str">
        <x:v>Без нагрузки</x:v>
      </x:c>
      <x:c r="O662" s="13" t="str"/>
      <x:c r="P662" s="13" t="str">
        <x:v>milestone_03_hooks_tension_first_sixes/week_10_2026-11-09/01_MONDAY.md</x:v>
      </x:c>
      <x:c r="Q662" s="138" t="str">
        <x:v>Markdown</x:v>
      </x:c>
      <x:c r="R662" s="20" t="str"/>
    </x:row>
    <x:row r="663" ht="36" customHeight="1">
      <x:c r="A663" s="19" t="str">
        <x:v>W10-20261109-0662</x:v>
      </x:c>
      <x:c r="B663" s="13" t="n">
        <x:v>10</x:v>
      </x:c>
      <x:c r="C663" s="13" t="str">
        <x:v>Этап 3 — Hooks, натяжение корпуса и первые шестёрки</x:v>
      </x:c>
      <x:c r="D663" s="138" t="str">
        <x:v>2026-11-09</x:v>
      </x:c>
      <x:c r="E663" s="13" t="str">
        <x:v>Понедельник</x:v>
      </x:c>
      <x:c r="F663" s="13" t="str">
        <x:v>Дом / теория</x:v>
      </x:c>
      <x:c r="G663" s="44" t="n">
        <x:v>0.011111111111111112</x:v>
      </x:c>
      <x:c r="H663" s="44" t="n">
        <x:v>0.014583333333333334</x:v>
      </x:c>
      <x:c r="I663" s="32" t="n">
        <x:f>ROUND((H663-G663)*1440,0)</x:f>
        <x:v>5</x:v>
      </x:c>
      <x:c r="J663" s="13" t="str">
        <x:v>Конспект</x:v>
      </x:c>
      <x:c r="K663" s="13" t="str">
        <x:v>Запиши ровно 3 пункта: (1) что делать ногами/тазом; (2) что не делать руками; (3) какой признак успеха проверишь на стене для темы «Toe hook и bicycle».</x:v>
      </x:c>
      <x:c r="L663" s="13" t="str">
        <x:v>☐ Не начато</x:v>
      </x:c>
      <x:c r="M663" s="13" t="str">
        <x:v>Обязательно</x:v>
      </x:c>
      <x:c r="N663" s="13" t="str">
        <x:v>Без нагрузки</x:v>
      </x:c>
      <x:c r="O663" s="13" t="str"/>
      <x:c r="P663" s="13" t="str">
        <x:v>milestone_03_hooks_tension_first_sixes/week_10_2026-11-09/01_MONDAY.md</x:v>
      </x:c>
      <x:c r="Q663" s="138" t="str">
        <x:v>Markdown</x:v>
      </x:c>
      <x:c r="R663" s="20" t="str"/>
    </x:row>
    <x:row r="664" ht="36" customHeight="1">
      <x:c r="A664" s="19" t="str">
        <x:v>W10-20261109-0663</x:v>
      </x:c>
      <x:c r="B664" s="13" t="n">
        <x:v>10</x:v>
      </x:c>
      <x:c r="C664" s="13" t="str">
        <x:v>Этап 3 — Hooks, натяжение корпуса и первые шестёрки</x:v>
      </x:c>
      <x:c r="D664" s="138" t="str">
        <x:v>2026-11-09</x:v>
      </x:c>
      <x:c r="E664" s="13" t="str">
        <x:v>Понедельник</x:v>
      </x:c>
      <x:c r="F664" s="13" t="str">
        <x:v>Дом / теория</x:v>
      </x:c>
      <x:c r="G664" s="44" t="n">
        <x:v>0.014583333333333334</x:v>
      </x:c>
      <x:c r="H664" s="44" t="n">
        <x:v>0.022916666666666665</x:v>
      </x:c>
      <x:c r="I664" s="32" t="n">
        <x:f>ROUND((H664-G664)*1440,0)</x:f>
        <x:v>12</x:v>
      </x:c>
      <x:c r="J664" s="13" t="str">
        <x:v>Домашняя мобильность</x:v>
      </x:c>
      <x:c r="K664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664" s="13" t="str">
        <x:v>☐ Не начато</x:v>
      </x:c>
      <x:c r="M664" s="13" t="str">
        <x:v>Обязательно</x:v>
      </x:c>
      <x:c r="N664" s="13" t="str">
        <x:v>RPE 2–3</x:v>
      </x:c>
      <x:c r="O664" s="13" t="str">
        <x:v>Никаких скручиваний через боль. Плечом не отталкивайся от стены; касание только для равновесия.</x:v>
      </x:c>
      <x:c r="P664" s="13" t="str">
        <x:v>milestone_03_hooks_tension_first_sixes/week_10_2026-11-09/01_MONDAY.md</x:v>
      </x:c>
      <x:c r="Q664" s="138" t="str">
        <x:v>Markdown</x:v>
      </x:c>
      <x:c r="R664" s="20" t="str"/>
    </x:row>
    <x:row r="665" ht="36" customHeight="1">
      <x:c r="A665" s="19" t="str">
        <x:v>W10-20261109-0664</x:v>
      </x:c>
      <x:c r="B665" s="13" t="n">
        <x:v>10</x:v>
      </x:c>
      <x:c r="C665" s="13" t="str">
        <x:v>Этап 3 — Hooks, натяжение корпуса и первые шестёрки</x:v>
      </x:c>
      <x:c r="D665" s="138" t="str">
        <x:v>2026-11-09</x:v>
      </x:c>
      <x:c r="E665" s="13" t="str">
        <x:v>Понедельник</x:v>
      </x:c>
      <x:c r="F665" s="13" t="str">
        <x:v>Дом / теория</x:v>
      </x:c>
      <x:c r="G665" s="44" t="n">
        <x:v>0.022916666666666665</x:v>
      </x:c>
      <x:c r="H665" s="44" t="n">
        <x:v>0.03680555555555556</x:v>
      </x:c>
      <x:c r="I665" s="32" t="n">
        <x:f>ROUND((H665-G665)*1440,0)</x:f>
        <x:v>20</x:v>
      </x:c>
      <x:c r="J665" s="13" t="str">
        <x:v>Физиотерапия</x:v>
      </x:c>
      <x:c r="K665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665" s="13" t="str">
        <x:v>☐ Не начато</x:v>
      </x:c>
      <x:c r="M665" s="13" t="str">
        <x:v>По назначению</x:v>
      </x:c>
      <x:c r="N665" s="13" t="str">
        <x:v>По назначению физиотерапевта</x:v>
      </x:c>
      <x:c r="O665" s="13" t="str">
        <x:v>Любые указания физиотерапевта имеют приоритет над этим планом.</x:v>
      </x:c>
      <x:c r="P665" s="13" t="str">
        <x:v>milestone_03_hooks_tension_first_sixes/week_10_2026-11-09/01_MONDAY.md</x:v>
      </x:c>
      <x:c r="Q665" s="138" t="str">
        <x:v>Markdown</x:v>
      </x:c>
      <x:c r="R665" s="20" t="str"/>
    </x:row>
    <x:row r="666" ht="36" customHeight="1">
      <x:c r="A666" s="19" t="str">
        <x:v>W10-20261109-0665</x:v>
      </x:c>
      <x:c r="B666" s="13" t="n">
        <x:v>10</x:v>
      </x:c>
      <x:c r="C666" s="13" t="str">
        <x:v>Этап 3 — Hooks, натяжение корпуса и первые шестёрки</x:v>
      </x:c>
      <x:c r="D666" s="138" t="str">
        <x:v>2026-11-09</x:v>
      </x:c>
      <x:c r="E666" s="13" t="str">
        <x:v>Понедельник</x:v>
      </x:c>
      <x:c r="F666" s="13" t="str">
        <x:v>Дом / теория</x:v>
      </x:c>
      <x:c r="G666" s="44" t="n">
        <x:v>0.03680555555555556</x:v>
      </x:c>
      <x:c r="H666" s="44" t="n">
        <x:v>0.03888888888888889</x:v>
      </x:c>
      <x:c r="I666" s="32" t="n">
        <x:f>ROUND((H666-G666)*1440,0)</x:f>
        <x:v>3</x:v>
      </x:c>
      <x:c r="J666" s="13" t="str">
        <x:v>Подготовка</x:v>
      </x:c>
      <x:c r="K666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666" s="13" t="str">
        <x:v>☐ Не начато</x:v>
      </x:c>
      <x:c r="M666" s="13" t="str">
        <x:v>Обязательно</x:v>
      </x:c>
      <x:c r="N666" s="13" t="str">
        <x:v>Без нагрузки</x:v>
      </x:c>
      <x:c r="O666" s="13" t="str">
        <x:v>Кольца и турник — только в рамках программы физиотерапевта.</x:v>
      </x:c>
      <x:c r="P666" s="13" t="str">
        <x:v>milestone_03_hooks_tension_first_sixes/week_10_2026-11-09/01_MONDAY.md</x:v>
      </x:c>
      <x:c r="Q666" s="138" t="str">
        <x:v>Markdown</x:v>
      </x:c>
      <x:c r="R666" s="20" t="str"/>
    </x:row>
    <x:row r="667" ht="36" customHeight="1">
      <x:c r="A667" s="19" t="str">
        <x:v>W10-20261110-0666</x:v>
      </x:c>
      <x:c r="B667" s="13" t="n">
        <x:v>10</x:v>
      </x:c>
      <x:c r="C667" s="13" t="str">
        <x:v>Этап 3 — Hooks, натяжение корпуса и первые шестёрки</x:v>
      </x:c>
      <x:c r="D667" s="138" t="str">
        <x:v>2026-11-10</x:v>
      </x:c>
      <x:c r="E667" s="13" t="str">
        <x:v>Вторник</x:v>
      </x:c>
      <x:c r="F667" s="13" t="str">
        <x:v>Тренировка A — техника/объём</x:v>
      </x:c>
      <x:c r="G667" s="44" t="n">
        <x:v>0</x:v>
      </x:c>
      <x:c r="H667" s="44" t="n">
        <x:v>0.0020833333333333333</x:v>
      </x:c>
      <x:c r="I667" s="32" t="n">
        <x:f>ROUND((H667-G667)*1440,0)</x:f>
        <x:v>3</x:v>
      </x:c>
      <x:c r="J667" s="13" t="str">
        <x:v>Самопроверка</x:v>
      </x:c>
      <x:c r="K667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667" s="13" t="str">
        <x:v>☐ Не начато</x:v>
      </x:c>
      <x:c r="M667" s="13" t="str">
        <x:v>Обязательно</x:v>
      </x:c>
      <x:c r="N667" s="13" t="str">
        <x:v>Без нагрузки</x:v>
      </x:c>
      <x:c r="O667" s="13" t="str">
        <x:v>Красный флаг = не начинать пальцевую нагрузку.</x:v>
      </x:c>
      <x:c r="P667" s="13" t="str">
        <x:v>milestone_03_hooks_tension_first_sixes/week_10_2026-11-09/02_TUESDAY.md</x:v>
      </x:c>
      <x:c r="Q667" s="138" t="str">
        <x:v>Markdown</x:v>
      </x:c>
      <x:c r="R667" s="20" t="str"/>
    </x:row>
    <x:row r="668" ht="36" customHeight="1">
      <x:c r="A668" s="19" t="str">
        <x:v>W10-20261110-0667</x:v>
      </x:c>
      <x:c r="B668" s="13" t="n">
        <x:v>10</x:v>
      </x:c>
      <x:c r="C668" s="13" t="str">
        <x:v>Этап 3 — Hooks, натяжение корпуса и первые шестёрки</x:v>
      </x:c>
      <x:c r="D668" s="138" t="str">
        <x:v>2026-11-10</x:v>
      </x:c>
      <x:c r="E668" s="13" t="str">
        <x:v>Вторник</x:v>
      </x:c>
      <x:c r="F668" s="13" t="str">
        <x:v>Тренировка A — техника/объём</x:v>
      </x:c>
      <x:c r="G668" s="44" t="n">
        <x:v>0.0020833333333333333</x:v>
      </x:c>
      <x:c r="H668" s="44" t="n">
        <x:v>0.005555555555555556</x:v>
      </x:c>
      <x:c r="I668" s="32" t="n">
        <x:f>ROUND((H668-G668)*1440,0)</x:f>
        <x:v>5</x:v>
      </x:c>
      <x:c r="J668" s="13" t="str">
        <x:v>Разминка</x:v>
      </x:c>
      <x:c r="K668" s="13" t="str">
        <x:v>Подними температуру: быстрая ходьба, лестница или лёгкий велотренажёр 5 минут.</x:v>
      </x:c>
      <x:c r="L668" s="13" t="str">
        <x:v>☐ Не начато</x:v>
      </x:c>
      <x:c r="M668" s="13" t="str">
        <x:v>Обязательно</x:v>
      </x:c>
      <x:c r="N668" s="13" t="str">
        <x:v>RPE 2–3</x:v>
      </x:c>
      <x:c r="O668" s="13" t="str"/>
      <x:c r="P668" s="13" t="str">
        <x:v>milestone_03_hooks_tension_first_sixes/week_10_2026-11-09/02_TUESDAY.md</x:v>
      </x:c>
      <x:c r="Q668" s="138" t="str">
        <x:v>Markdown</x:v>
      </x:c>
      <x:c r="R668" s="20" t="str"/>
    </x:row>
    <x:row r="669" ht="36" customHeight="1">
      <x:c r="A669" s="19" t="str">
        <x:v>W10-20261110-0668</x:v>
      </x:c>
      <x:c r="B669" s="13" t="n">
        <x:v>10</x:v>
      </x:c>
      <x:c r="C669" s="13" t="str">
        <x:v>Этап 3 — Hooks, натяжение корпуса и первые шестёрки</x:v>
      </x:c>
      <x:c r="D669" s="138" t="str">
        <x:v>2026-11-10</x:v>
      </x:c>
      <x:c r="E669" s="13" t="str">
        <x:v>Вторник</x:v>
      </x:c>
      <x:c r="F669" s="13" t="str">
        <x:v>Тренировка A — техника/объём</x:v>
      </x:c>
      <x:c r="G669" s="44" t="n">
        <x:v>0.005555555555555556</x:v>
      </x:c>
      <x:c r="H669" s="44" t="n">
        <x:v>0.009027777777777777</x:v>
      </x:c>
      <x:c r="I669" s="32" t="n">
        <x:f>ROUND((H669-G669)*1440,0)</x:f>
        <x:v>5</x:v>
      </x:c>
      <x:c r="J669" s="13" t="str">
        <x:v>Разминка</x:v>
      </x:c>
      <x:c r="K669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669" s="13" t="str">
        <x:v>☐ Не начато</x:v>
      </x:c>
      <x:c r="M669" s="13" t="str">
        <x:v>Обязательно</x:v>
      </x:c>
      <x:c r="N669" s="13" t="str">
        <x:v>Очень легко</x:v>
      </x:c>
      <x:c r="O669" s="13" t="str">
        <x:v>Не делай press/отжимания и движения, которые раздражают плечо.</x:v>
      </x:c>
      <x:c r="P669" s="13" t="str">
        <x:v>milestone_03_hooks_tension_first_sixes/week_10_2026-11-09/02_TUESDAY.md</x:v>
      </x:c>
      <x:c r="Q669" s="138" t="str">
        <x:v>Markdown</x:v>
      </x:c>
      <x:c r="R669" s="20" t="str"/>
    </x:row>
    <x:row r="670" ht="36" customHeight="1">
      <x:c r="A670" s="19" t="str">
        <x:v>W10-20261110-0669</x:v>
      </x:c>
      <x:c r="B670" s="13" t="n">
        <x:v>10</x:v>
      </x:c>
      <x:c r="C670" s="13" t="str">
        <x:v>Этап 3 — Hooks, натяжение корпуса и первые шестёрки</x:v>
      </x:c>
      <x:c r="D670" s="138" t="str">
        <x:v>2026-11-10</x:v>
      </x:c>
      <x:c r="E670" s="13" t="str">
        <x:v>Вторник</x:v>
      </x:c>
      <x:c r="F670" s="13" t="str">
        <x:v>Тренировка A — техника/объём</x:v>
      </x:c>
      <x:c r="G670" s="44" t="n">
        <x:v>0.009027777777777777</x:v>
      </x:c>
      <x:c r="H670" s="44" t="n">
        <x:v>0.011805555555555555</x:v>
      </x:c>
      <x:c r="I670" s="32" t="n">
        <x:f>ROUND((H670-G670)*1440,0)</x:f>
        <x:v>4</x:v>
      </x:c>
      <x:c r="J670" s="13" t="str">
        <x:v>Разминка пальцев</x:v>
      </x:c>
      <x:c r="K670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670" s="13" t="str">
        <x:v>☐ Не начато</x:v>
      </x:c>
      <x:c r="M670" s="13" t="str">
        <x:v>Обязательно</x:v>
      </x:c>
      <x:c r="N670" s="13" t="str">
        <x:v>Очень легко</x:v>
      </x:c>
      <x:c r="O670" s="13" t="str"/>
      <x:c r="P670" s="13" t="str">
        <x:v>milestone_03_hooks_tension_first_sixes/week_10_2026-11-09/02_TUESDAY.md</x:v>
      </x:c>
      <x:c r="Q670" s="138" t="str">
        <x:v>Markdown</x:v>
      </x:c>
      <x:c r="R670" s="20" t="str"/>
    </x:row>
    <x:row r="671" ht="36" customHeight="1">
      <x:c r="A671" s="19" t="str">
        <x:v>W10-20261110-0670</x:v>
      </x:c>
      <x:c r="B671" s="13" t="n">
        <x:v>10</x:v>
      </x:c>
      <x:c r="C671" s="13" t="str">
        <x:v>Этап 3 — Hooks, натяжение корпуса и первые шестёрки</x:v>
      </x:c>
      <x:c r="D671" s="138" t="str">
        <x:v>2026-11-10</x:v>
      </x:c>
      <x:c r="E671" s="13" t="str">
        <x:v>Вторник</x:v>
      </x:c>
      <x:c r="F671" s="13" t="str">
        <x:v>Тренировка A — техника/объём</x:v>
      </x:c>
      <x:c r="G671" s="44" t="n">
        <x:v>0.011805555555555555</x:v>
      </x:c>
      <x:c r="H671" s="44" t="n">
        <x:v>0.014583333333333334</x:v>
      </x:c>
      <x:c r="I671" s="32" t="n">
        <x:f>ROUND((H671-G671)*1440,0)</x:f>
        <x:v>4</x:v>
      </x:c>
      <x:c r="J671" s="13" t="str">
        <x:v>Разминочное лазание</x:v>
      </x:c>
      <x:c r="K671" s="13" t="str">
        <x:v>Пройди 2 очень лёгкие трассы уровня 1–2; двигайся медленно, спускайся по зацепам.</x:v>
      </x:c>
      <x:c r="L671" s="13" t="str">
        <x:v>☐ Не начато</x:v>
      </x:c>
      <x:c r="M671" s="13" t="str">
        <x:v>Обязательно</x:v>
      </x:c>
      <x:c r="N671" s="13" t="str">
        <x:v>RPE 2–3</x:v>
      </x:c>
      <x:c r="O671" s="13" t="str">
        <x:v>Финиш с обязательным болезненным mantle/press пропусти.</x:v>
      </x:c>
      <x:c r="P671" s="13" t="str">
        <x:v>milestone_03_hooks_tension_first_sixes/week_10_2026-11-09/02_TUESDAY.md</x:v>
      </x:c>
      <x:c r="Q671" s="138" t="str">
        <x:v>Markdown</x:v>
      </x:c>
      <x:c r="R671" s="20" t="str"/>
    </x:row>
    <x:row r="672" ht="36" customHeight="1">
      <x:c r="A672" s="19" t="str">
        <x:v>W10-20261110-0671</x:v>
      </x:c>
      <x:c r="B672" s="13" t="n">
        <x:v>10</x:v>
      </x:c>
      <x:c r="C672" s="13" t="str">
        <x:v>Этап 3 — Hooks, натяжение корпуса и первые шестёрки</x:v>
      </x:c>
      <x:c r="D672" s="138" t="str">
        <x:v>2026-11-10</x:v>
      </x:c>
      <x:c r="E672" s="13" t="str">
        <x:v>Вторник</x:v>
      </x:c>
      <x:c r="F672" s="13" t="str">
        <x:v>Тренировка A — техника/объём</x:v>
      </x:c>
      <x:c r="G672" s="44" t="n">
        <x:v>0.014583333333333334</x:v>
      </x:c>
      <x:c r="H672" s="44" t="n">
        <x:v>0.017361111111111112</x:v>
      </x:c>
      <x:c r="I672" s="32" t="n">
        <x:f>ROUND((H672-G672)*1440,0)</x:f>
        <x:v>4</x:v>
      </x:c>
      <x:c r="J672" s="13" t="str">
        <x:v>Разминочное лазание</x:v>
      </x:c>
      <x:c r="K672" s="13" t="str">
        <x:v>Пройди 2 трассы уровня 2–3, затем сделай 2–3 движения на комфортной четвёрке. Между ними 45–60 секунд.</x:v>
      </x:c>
      <x:c r="L672" s="13" t="str">
        <x:v>☐ Не начато</x:v>
      </x:c>
      <x:c r="M672" s="13" t="str">
        <x:v>Обязательно</x:v>
      </x:c>
      <x:c r="N672" s="13" t="str">
        <x:v>RPE 3–4</x:v>
      </x:c>
      <x:c r="O672" s="13" t="str">
        <x:v>Разминка не должна утомить пальцы.</x:v>
      </x:c>
      <x:c r="P672" s="13" t="str">
        <x:v>milestone_03_hooks_tension_first_sixes/week_10_2026-11-09/02_TUESDAY.md</x:v>
      </x:c>
      <x:c r="Q672" s="138" t="str">
        <x:v>Markdown</x:v>
      </x:c>
      <x:c r="R672" s="20" t="str"/>
    </x:row>
    <x:row r="673" ht="36" customHeight="1">
      <x:c r="A673" s="19" t="str">
        <x:v>W10-20261110-0672</x:v>
      </x:c>
      <x:c r="B673" s="13" t="n">
        <x:v>10</x:v>
      </x:c>
      <x:c r="C673" s="13" t="str">
        <x:v>Этап 3 — Hooks, натяжение корпуса и первые шестёрки</x:v>
      </x:c>
      <x:c r="D673" s="138" t="str">
        <x:v>2026-11-10</x:v>
      </x:c>
      <x:c r="E673" s="13" t="str">
        <x:v>Вторник</x:v>
      </x:c>
      <x:c r="F673" s="13" t="str">
        <x:v>Тренировка A — техника/объём</x:v>
      </x:c>
      <x:c r="G673" s="44" t="n">
        <x:v>0.017361111111111112</x:v>
      </x:c>
      <x:c r="H673" s="44" t="n">
        <x:v>0.02013888888888889</x:v>
      </x:c>
      <x:c r="I673" s="32" t="n">
        <x:f>ROUND((H673-G673)*1440,0)</x:f>
        <x:v>4</x:v>
      </x:c>
      <x:c r="J673" s="13" t="str">
        <x:v>Выбор трасс</x:v>
      </x:c>
      <x:c r="K673" s="13" t="str">
        <x:v>Найди трассы для упражнения: 2 лёгкие трассы/позиции на лёгком нависании с крупным выступом для безопасного toe hook; 4–6 коротких повторов.</x:v>
      </x:c>
      <x:c r="L673" s="13" t="str">
        <x:v>☐ Не начато</x:v>
      </x:c>
      <x:c r="M673" s="13" t="str">
        <x:v>Обязательно</x:v>
      </x:c>
      <x:c r="N673" s="13" t="str">
        <x:v>Без нагрузки</x:v>
      </x:c>
      <x:c r="O673" s="13" t="str">
        <x:v>Плечо: компрессия должна быть умеренной; пропусти широкие силовые pinches и резкие ловли. Не подворачивать голеностоп.</x:v>
      </x:c>
      <x:c r="P673" s="13" t="str">
        <x:v>milestone_03_hooks_tension_first_sixes/week_10_2026-11-09/02_TUESDAY.md</x:v>
      </x:c>
      <x:c r="Q673" s="138" t="str">
        <x:v>Markdown</x:v>
      </x:c>
      <x:c r="R673" s="20" t="str"/>
    </x:row>
    <x:row r="674" ht="36" customHeight="1">
      <x:c r="A674" s="19" t="str">
        <x:v>W10-20261110-0673</x:v>
      </x:c>
      <x:c r="B674" s="13" t="n">
        <x:v>10</x:v>
      </x:c>
      <x:c r="C674" s="13" t="str">
        <x:v>Этап 3 — Hooks, натяжение корпуса и первые шестёрки</x:v>
      </x:c>
      <x:c r="D674" s="138" t="str">
        <x:v>2026-11-10</x:v>
      </x:c>
      <x:c r="E674" s="13" t="str">
        <x:v>Вторник</x:v>
      </x:c>
      <x:c r="F674" s="13" t="str">
        <x:v>Тренировка A — техника/объём</x:v>
      </x:c>
      <x:c r="G674" s="44" t="n">
        <x:v>0.02013888888888889</x:v>
      </x:c>
      <x:c r="H674" s="44" t="n">
        <x:v>0.03194444444444444</x:v>
      </x:c>
      <x:c r="I674" s="32" t="n">
        <x:f>ROUND((H674-G674)*1440,0)</x:f>
        <x:v>17</x:v>
      </x:c>
      <x:c r="J674" s="13" t="str">
        <x:v>Технический блок</x:v>
      </x:c>
      <x:c r="K674" s="13" t="str">
        <x:v>Отработай «Toe hook и bicycle». Шаги: Подведи верх носка под/за выступ. Потяни носок на себя, не подворачивая голеностоп. Если есть противоположная стопа, создай мягкое противодавление — bicycle.</x:v>
      </x:c>
      <x:c r="L674" s="13" t="str">
        <x:v>☐ Не начато</x:v>
      </x:c>
      <x:c r="M674" s="13" t="str">
        <x:v>Обязательно</x:v>
      </x:c>
      <x:c r="N674" s="13" t="str">
        <x:v>RPE 3–5</x:v>
      </x:c>
      <x:c r="O674" s="13" t="str">
        <x:v>Широкую компрессию и резкие ловли исключить. Голеностоп остаётся нейтральным.</x:v>
      </x:c>
      <x:c r="P674" s="13" t="str">
        <x:v>milestone_03_hooks_tension_first_sixes/week_10_2026-11-09/02_TUESDAY.md</x:v>
      </x:c>
      <x:c r="Q674" s="138" t="str">
        <x:v>Markdown</x:v>
      </x:c>
      <x:c r="R674" s="20" t="str"/>
    </x:row>
    <x:row r="675" ht="36" customHeight="1">
      <x:c r="A675" s="19" t="str">
        <x:v>W10-20261110-0674</x:v>
      </x:c>
      <x:c r="B675" s="13" t="n">
        <x:v>10</x:v>
      </x:c>
      <x:c r="C675" s="13" t="str">
        <x:v>Этап 3 — Hooks, натяжение корпуса и первые шестёрки</x:v>
      </x:c>
      <x:c r="D675" s="138" t="str">
        <x:v>2026-11-10</x:v>
      </x:c>
      <x:c r="E675" s="13" t="str">
        <x:v>Вторник</x:v>
      </x:c>
      <x:c r="F675" s="13" t="str">
        <x:v>Тренировка A — техника/объём</x:v>
      </x:c>
      <x:c r="G675" s="44" t="n">
        <x:v>0.03194444444444444</x:v>
      </x:c>
      <x:c r="H675" s="44" t="n">
        <x:v>0.035416666666666666</x:v>
      </x:c>
      <x:c r="I675" s="32" t="n">
        <x:f>ROUND((H675-G675)*1440,0)</x:f>
        <x:v>5</x:v>
      </x:c>
      <x:c r="J675" s="13" t="str">
        <x:v>Обратная связь</x:v>
      </x:c>
      <x:c r="K675" s="13" t="str">
        <x:v>Повтори лучшую лёгкую трассу и проверь критерий успеха: Три контролируемых повторения без срыва стопы и без усиления плечевой нагрузки.</x:v>
      </x:c>
      <x:c r="L675" s="13" t="str">
        <x:v>☐ Не начато</x:v>
      </x:c>
      <x:c r="M675" s="13" t="str">
        <x:v>Обязательно</x:v>
      </x:c>
      <x:c r="N675" s="13" t="str">
        <x:v>RPE 4–5</x:v>
      </x:c>
      <x:c r="O675" s="13" t="str"/>
      <x:c r="P675" s="13" t="str">
        <x:v>milestone_03_hooks_tension_first_sixes/week_10_2026-11-09/02_TUESDAY.md</x:v>
      </x:c>
      <x:c r="Q675" s="138" t="str">
        <x:v>Markdown</x:v>
      </x:c>
      <x:c r="R675" s="20" t="str"/>
    </x:row>
    <x:row r="676" ht="36" customHeight="1">
      <x:c r="A676" s="19" t="str">
        <x:v>W10-20261110-0675</x:v>
      </x:c>
      <x:c r="B676" s="13" t="n">
        <x:v>10</x:v>
      </x:c>
      <x:c r="C676" s="13" t="str">
        <x:v>Этап 3 — Hooks, натяжение корпуса и первые шестёрки</x:v>
      </x:c>
      <x:c r="D676" s="138" t="str">
        <x:v>2026-11-10</x:v>
      </x:c>
      <x:c r="E676" s="13" t="str">
        <x:v>Вторник</x:v>
      </x:c>
      <x:c r="F676" s="13" t="str">
        <x:v>Тренировка A — техника/объём</x:v>
      </x:c>
      <x:c r="G676" s="44" t="n">
        <x:v>0.035416666666666666</x:v>
      </x:c>
      <x:c r="H676" s="44" t="n">
        <x:v>0.04583333333333333</x:v>
      </x:c>
      <x:c r="I676" s="32" t="n">
        <x:f>ROUND((H676-G676)*1440,0)</x:f>
        <x:v>15</x:v>
      </x:c>
      <x:c r="J676" s="13" t="str">
        <x:v>Качественный объём</x:v>
      </x:c>
      <x:c r="K676" s="13" t="str">
        <x:v>Попробуй 2–3 четвёрки, максимум 2 попытки на каждую, отдых 2:00. На неудаче назови техническую причину.</x:v>
      </x:c>
      <x:c r="L676" s="13" t="str">
        <x:v>☐ Не начато</x:v>
      </x:c>
      <x:c r="M676" s="13" t="str">
        <x:v>Обязательно</x:v>
      </x:c>
      <x:c r="N676" s="13" t="str">
        <x:v>RPE 6–7</x:v>
      </x:c>
      <x:c r="O676" s="13" t="str">
        <x:v>Не выбирать подряд три трассы на одинаково маленьких кромках.</x:v>
      </x:c>
      <x:c r="P676" s="13" t="str">
        <x:v>milestone_03_hooks_tension_first_sixes/week_10_2026-11-09/02_TUESDAY.md</x:v>
      </x:c>
      <x:c r="Q676" s="138" t="str">
        <x:v>Markdown</x:v>
      </x:c>
      <x:c r="R676" s="20" t="str"/>
    </x:row>
    <x:row r="677" ht="36" customHeight="1">
      <x:c r="A677" s="19" t="str">
        <x:v>W10-20261110-0676</x:v>
      </x:c>
      <x:c r="B677" s="13" t="n">
        <x:v>10</x:v>
      </x:c>
      <x:c r="C677" s="13" t="str">
        <x:v>Этап 3 — Hooks, натяжение корпуса и первые шестёрки</x:v>
      </x:c>
      <x:c r="D677" s="138" t="str">
        <x:v>2026-11-10</x:v>
      </x:c>
      <x:c r="E677" s="13" t="str">
        <x:v>Вторник</x:v>
      </x:c>
      <x:c r="F677" s="13" t="str">
        <x:v>Тренировка A — техника/объём</x:v>
      </x:c>
      <x:c r="G677" s="44" t="n">
        <x:v>0.04583333333333333</x:v>
      </x:c>
      <x:c r="H677" s="44" t="n">
        <x:v>0.052083333333333336</x:v>
      </x:c>
      <x:c r="I677" s="32" t="n">
        <x:f>ROUND((H677-G677)*1440,0)</x:f>
        <x:v>9</x:v>
      </x:c>
      <x:c r="J677" s="13" t="str">
        <x:v>Рабочая пятёрка</x:v>
      </x:c>
      <x:c r="K677" s="13" t="str">
        <x:v>Одна пятёрка, максимум 2 попытки, отдых 3:00. Цель — применить тему недели, а не обязательно закрыть.</x:v>
      </x:c>
      <x:c r="L677" s="13" t="str">
        <x:v>☐ Не начато</x:v>
      </x:c>
      <x:c r="M677" s="13" t="str">
        <x:v>Обязательно</x:v>
      </x:c>
      <x:c r="N677" s="13" t="str">
        <x:v>RPE 7–8</x:v>
      </x:c>
      <x:c r="O677" s="13" t="str">
        <x:v>Плечо: компрессия должна быть умеренной; пропусти широкие силовые pinches и резкие ловли. Не подворачивать голеностоп.</x:v>
      </x:c>
      <x:c r="P677" s="13" t="str">
        <x:v>milestone_03_hooks_tension_first_sixes/week_10_2026-11-09/02_TUESDAY.md</x:v>
      </x:c>
      <x:c r="Q677" s="138" t="str">
        <x:v>Markdown</x:v>
      </x:c>
      <x:c r="R677" s="20" t="str"/>
    </x:row>
    <x:row r="678" ht="36" customHeight="1">
      <x:c r="A678" s="19" t="str">
        <x:v>W10-20261110-0677</x:v>
      </x:c>
      <x:c r="B678" s="13" t="n">
        <x:v>10</x:v>
      </x:c>
      <x:c r="C678" s="13" t="str">
        <x:v>Этап 3 — Hooks, натяжение корпуса и первые шестёрки</x:v>
      </x:c>
      <x:c r="D678" s="138" t="str">
        <x:v>2026-11-10</x:v>
      </x:c>
      <x:c r="E678" s="13" t="str">
        <x:v>Вторник</x:v>
      </x:c>
      <x:c r="F678" s="13" t="str">
        <x:v>Тренировка A — техника/объём</x:v>
      </x:c>
      <x:c r="G678" s="44" t="n">
        <x:v>0.052083333333333336</x:v>
      </x:c>
      <x:c r="H678" s="44" t="n">
        <x:v>0.058333333333333334</x:v>
      </x:c>
      <x:c r="I678" s="32" t="n">
        <x:f>ROUND((H678-G678)*1440,0)</x:f>
        <x:v>9</x:v>
      </x:c>
      <x:c r="J678" s="13" t="str">
        <x:v>Лёгкая выносливость</x:v>
      </x:c>
      <x:c r="K678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678" s="13" t="str">
        <x:v>☐ Не начато</x:v>
      </x:c>
      <x:c r="M678" s="13" t="str">
        <x:v>Обязательно</x:v>
      </x:c>
      <x:c r="N678" s="13" t="str">
        <x:v>Памп максимум 4/10</x:v>
      </x:c>
      <x:c r="O678" s="13" t="str">
        <x:v>Остановиться при неточной постановке ног или разжимании пальцев.</x:v>
      </x:c>
      <x:c r="P678" s="13" t="str">
        <x:v>milestone_03_hooks_tension_first_sixes/week_10_2026-11-09/02_TUESDAY.md</x:v>
      </x:c>
      <x:c r="Q678" s="138" t="str">
        <x:v>Markdown</x:v>
      </x:c>
      <x:c r="R678" s="20" t="str"/>
    </x:row>
    <x:row r="679" ht="36" customHeight="1">
      <x:c r="A679" s="19" t="str">
        <x:v>W10-20261110-0678</x:v>
      </x:c>
      <x:c r="B679" s="13" t="n">
        <x:v>10</x:v>
      </x:c>
      <x:c r="C679" s="13" t="str">
        <x:v>Этап 3 — Hooks, натяжение корпуса и первые шестёрки</x:v>
      </x:c>
      <x:c r="D679" s="138" t="str">
        <x:v>2026-11-10</x:v>
      </x:c>
      <x:c r="E679" s="13" t="str">
        <x:v>Вторник</x:v>
      </x:c>
      <x:c r="F679" s="13" t="str">
        <x:v>Тренировка A — техника/объём</x:v>
      </x:c>
      <x:c r="G679" s="44" t="n">
        <x:v>0.058333333333333334</x:v>
      </x:c>
      <x:c r="H679" s="44" t="n">
        <x:v>0.06041666666666667</x:v>
      </x:c>
      <x:c r="I679" s="32" t="n">
        <x:f>ROUND((H679-G679)*1440,0)</x:f>
        <x:v>3</x:v>
      </x:c>
      <x:c r="J679" s="13" t="str">
        <x:v>Завершение</x:v>
      </x:c>
      <x:c r="K679" s="13" t="str">
        <x:v>Очень лёгкий спуск/ходьба и спокойное встряхивание кистей.</x:v>
      </x:c>
      <x:c r="L679" s="13" t="str">
        <x:v>☐ Не начато</x:v>
      </x:c>
      <x:c r="M679" s="13" t="str">
        <x:v>Обязательно</x:v>
      </x:c>
      <x:c r="N679" s="13" t="str">
        <x:v>RPE 1–2</x:v>
      </x:c>
      <x:c r="O679" s="13" t="str"/>
      <x:c r="P679" s="13" t="str">
        <x:v>milestone_03_hooks_tension_first_sixes/week_10_2026-11-09/02_TUESDAY.md</x:v>
      </x:c>
      <x:c r="Q679" s="138" t="str">
        <x:v>Markdown</x:v>
      </x:c>
      <x:c r="R679" s="20" t="str"/>
    </x:row>
    <x:row r="680" ht="36" customHeight="1">
      <x:c r="A680" s="19" t="str">
        <x:v>W10-20261110-0679</x:v>
      </x:c>
      <x:c r="B680" s="13" t="n">
        <x:v>10</x:v>
      </x:c>
      <x:c r="C680" s="13" t="str">
        <x:v>Этап 3 — Hooks, натяжение корпуса и первые шестёрки</x:v>
      </x:c>
      <x:c r="D680" s="138" t="str">
        <x:v>2026-11-10</x:v>
      </x:c>
      <x:c r="E680" s="13" t="str">
        <x:v>Вторник</x:v>
      </x:c>
      <x:c r="F680" s="13" t="str">
        <x:v>Тренировка A — техника/объём</x:v>
      </x:c>
      <x:c r="G680" s="44" t="n">
        <x:v>0.06041666666666667</x:v>
      </x:c>
      <x:c r="H680" s="44" t="n">
        <x:v>0.0625</x:v>
      </x:c>
      <x:c r="I680" s="32" t="n">
        <x:f>ROUND((H680-G680)*1440,0)</x:f>
        <x:v>3</x:v>
      </x:c>
      <x:c r="J680" s="13" t="str">
        <x:v>Журнал</x:v>
      </x:c>
      <x:c r="K680" s="13" t="str">
        <x:v>Запиши: Сделать 3 контролируемых toe hook без срыва стопы и без усиления боли. Также отметь минуту первой просадки хвата.</x:v>
      </x:c>
      <x:c r="L680" s="13" t="str">
        <x:v>☐ Не начато</x:v>
      </x:c>
      <x:c r="M680" s="13" t="str">
        <x:v>Обязательно</x:v>
      </x:c>
      <x:c r="N680" s="13" t="str">
        <x:v>Без нагрузки</x:v>
      </x:c>
      <x:c r="O680" s="13" t="str"/>
      <x:c r="P680" s="13" t="str">
        <x:v>milestone_03_hooks_tension_first_sixes/week_10_2026-11-09/02_TUESDAY.md</x:v>
      </x:c>
      <x:c r="Q680" s="138" t="str">
        <x:v>Markdown</x:v>
      </x:c>
      <x:c r="R680" s="20" t="str"/>
    </x:row>
    <x:row r="681" ht="36" customHeight="1">
      <x:c r="A681" s="19" t="str">
        <x:v>W10-20261111-0680</x:v>
      </x:c>
      <x:c r="B681" s="13" t="n">
        <x:v>10</x:v>
      </x:c>
      <x:c r="C681" s="13" t="str">
        <x:v>Этап 3 — Hooks, натяжение корпуса и первые шестёрки</x:v>
      </x:c>
      <x:c r="D681" s="138" t="str">
        <x:v>2026-11-11</x:v>
      </x:c>
      <x:c r="E681" s="13" t="str">
        <x:v>Среда</x:v>
      </x:c>
      <x:c r="F681" s="13" t="str">
        <x:v>Восстановление / видео</x:v>
      </x:c>
      <x:c r="G681" s="44" t="n">
        <x:v>0</x:v>
      </x:c>
      <x:c r="H681" s="44" t="n">
        <x:v>0.006944444444444444</x:v>
      </x:c>
      <x:c r="I681" s="32" t="n">
        <x:f>ROUND((H681-G681)*1440,0)</x:f>
        <x:v>10</x:v>
      </x:c>
      <x:c r="J681" s="13" t="str">
        <x:v>Восстановление</x:v>
      </x:c>
      <x:c r="K681" s="13" t="str">
        <x:v>10 минут спокойной ходьбы. Руки расслаблены; это не тренировка выносливости.</x:v>
      </x:c>
      <x:c r="L681" s="13" t="str">
        <x:v>☐ Не начато</x:v>
      </x:c>
      <x:c r="M681" s="13" t="str">
        <x:v>Обязательно</x:v>
      </x:c>
      <x:c r="N681" s="13" t="str">
        <x:v>RPE 1–2</x:v>
      </x:c>
      <x:c r="O681" s="13" t="str"/>
      <x:c r="P681" s="13" t="str">
        <x:v>milestone_03_hooks_tension_first_sixes/week_10_2026-11-09/03_WEDNESDAY.md</x:v>
      </x:c>
      <x:c r="Q681" s="138" t="str">
        <x:v>Markdown</x:v>
      </x:c>
      <x:c r="R681" s="20" t="str"/>
    </x:row>
    <x:row r="682" ht="36" customHeight="1">
      <x:c r="A682" s="19" t="str">
        <x:v>W10-20261111-0681</x:v>
      </x:c>
      <x:c r="B682" s="13" t="n">
        <x:v>10</x:v>
      </x:c>
      <x:c r="C682" s="13" t="str">
        <x:v>Этап 3 — Hooks, натяжение корпуса и первые шестёрки</x:v>
      </x:c>
      <x:c r="D682" s="138" t="str">
        <x:v>2026-11-11</x:v>
      </x:c>
      <x:c r="E682" s="13" t="str">
        <x:v>Среда</x:v>
      </x:c>
      <x:c r="F682" s="13" t="str">
        <x:v>Восстановление / видео</x:v>
      </x:c>
      <x:c r="G682" s="44" t="n">
        <x:v>0.006944444444444444</x:v>
      </x:c>
      <x:c r="H682" s="44" t="n">
        <x:v>0.009027777777777777</x:v>
      </x:c>
      <x:c r="I682" s="32" t="n">
        <x:f>ROUND((H682-G682)*1440,0)</x:f>
        <x:v>3</x:v>
      </x:c>
      <x:c r="J682" s="13" t="str">
        <x:v>Самопроверка</x:v>
      </x:c>
      <x:c r="K682" s="13" t="str">
        <x:v>Оцени реакцию после вторника: плечо, пальцы, правое колено 0–10. Запиши, что изменилось относительно вчерашнего утра.</x:v>
      </x:c>
      <x:c r="L682" s="13" t="str">
        <x:v>☐ Не начато</x:v>
      </x:c>
      <x:c r="M682" s="13" t="str">
        <x:v>Обязательно</x:v>
      </x:c>
      <x:c r="N682" s="13" t="str">
        <x:v>Без нагрузки</x:v>
      </x:c>
      <x:c r="O682" s="13" t="str">
        <x:v>Острая локальная боль пальца или ухудшение плеча = не делать четверговую пальцевую нагрузку.</x:v>
      </x:c>
      <x:c r="P682" s="13" t="str">
        <x:v>milestone_03_hooks_tension_first_sixes/week_10_2026-11-09/03_WEDNESDAY.md</x:v>
      </x:c>
      <x:c r="Q682" s="138" t="str">
        <x:v>Markdown</x:v>
      </x:c>
      <x:c r="R682" s="20" t="str"/>
    </x:row>
    <x:row r="683" ht="36" customHeight="1">
      <x:c r="A683" s="19" t="str">
        <x:v>W10-20261111-0682</x:v>
      </x:c>
      <x:c r="B683" s="13" t="n">
        <x:v>10</x:v>
      </x:c>
      <x:c r="C683" s="13" t="str">
        <x:v>Этап 3 — Hooks, натяжение корпуса и первые шестёрки</x:v>
      </x:c>
      <x:c r="D683" s="138" t="str">
        <x:v>2026-11-11</x:v>
      </x:c>
      <x:c r="E683" s="13" t="str">
        <x:v>Среда</x:v>
      </x:c>
      <x:c r="F683" s="13" t="str">
        <x:v>Восстановление / видео</x:v>
      </x:c>
      <x:c r="G683" s="44" t="n">
        <x:v>0.009027777777777777</x:v>
      </x:c>
      <x:c r="H683" s="44" t="n">
        <x:v>0.01597222222222222</x:v>
      </x:c>
      <x:c r="I683" s="32" t="n">
        <x:f>ROUND((H683-G683)*1440,0)</x:f>
        <x:v>10</x:v>
      </x:c>
      <x:c r="J683" s="13" t="str">
        <x:v>Видеоразбор</x:v>
      </x:c>
      <x:c r="K683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683" s="13" t="str">
        <x:v>☐ Не начато</x:v>
      </x:c>
      <x:c r="M683" s="13" t="str">
        <x:v>Обязательно</x:v>
      </x:c>
      <x:c r="N683" s="13" t="str">
        <x:v>Без нагрузки</x:v>
      </x:c>
      <x:c r="O683" s="13" t="str"/>
      <x:c r="P683" s="13" t="str">
        <x:v>milestone_03_hooks_tension_first_sixes/week_10_2026-11-09/03_WEDNESDAY.md</x:v>
      </x:c>
      <x:c r="Q683" s="138" t="str">
        <x:v>Markdown</x:v>
      </x:c>
      <x:c r="R683" s="20" t="str"/>
    </x:row>
    <x:row r="684" ht="36" customHeight="1">
      <x:c r="A684" s="19" t="str">
        <x:v>W10-20261111-0683</x:v>
      </x:c>
      <x:c r="B684" s="13" t="n">
        <x:v>10</x:v>
      </x:c>
      <x:c r="C684" s="13" t="str">
        <x:v>Этап 3 — Hooks, натяжение корпуса и первые шестёрки</x:v>
      </x:c>
      <x:c r="D684" s="138" t="str">
        <x:v>2026-11-11</x:v>
      </x:c>
      <x:c r="E684" s="13" t="str">
        <x:v>Среда</x:v>
      </x:c>
      <x:c r="F684" s="13" t="str">
        <x:v>Восстановление / видео</x:v>
      </x:c>
      <x:c r="G684" s="44" t="n">
        <x:v>0.01597222222222222</x:v>
      </x:c>
      <x:c r="H684" s="44" t="n">
        <x:v>0.01875</x:v>
      </x:c>
      <x:c r="I684" s="32" t="n">
        <x:f>ROUND((H684-G684)*1440,0)</x:f>
        <x:v>4</x:v>
      </x:c>
      <x:c r="J684" s="13" t="str">
        <x:v>Конспект</x:v>
      </x:c>
      <x:c r="K684" s="13" t="str">
        <x:v>Запиши одну правку на четверг в формате «В следующей попытке я…». Используй cue: «Тяни верхом носка на себя, одновременно дави другой ногой от себя.».</x:v>
      </x:c>
      <x:c r="L684" s="13" t="str">
        <x:v>☐ Не начато</x:v>
      </x:c>
      <x:c r="M684" s="13" t="str">
        <x:v>Обязательно</x:v>
      </x:c>
      <x:c r="N684" s="13" t="str">
        <x:v>Без нагрузки</x:v>
      </x:c>
      <x:c r="O684" s="13" t="str"/>
      <x:c r="P684" s="13" t="str">
        <x:v>milestone_03_hooks_tension_first_sixes/week_10_2026-11-09/03_WEDNESDAY.md</x:v>
      </x:c>
      <x:c r="Q684" s="138" t="str">
        <x:v>Markdown</x:v>
      </x:c>
      <x:c r="R684" s="20" t="str"/>
    </x:row>
    <x:row r="685" ht="36" customHeight="1">
      <x:c r="A685" s="19" t="str">
        <x:v>W10-20261111-0684</x:v>
      </x:c>
      <x:c r="B685" s="13" t="n">
        <x:v>10</x:v>
      </x:c>
      <x:c r="C685" s="13" t="str">
        <x:v>Этап 3 — Hooks, натяжение корпуса и первые шестёрки</x:v>
      </x:c>
      <x:c r="D685" s="138" t="str">
        <x:v>2026-11-11</x:v>
      </x:c>
      <x:c r="E685" s="13" t="str">
        <x:v>Среда</x:v>
      </x:c>
      <x:c r="F685" s="13" t="str">
        <x:v>Восстановление / видео</x:v>
      </x:c>
      <x:c r="G685" s="44" t="n">
        <x:v>0.01875</x:v>
      </x:c>
      <x:c r="H685" s="44" t="n">
        <x:v>0.027083333333333334</x:v>
      </x:c>
      <x:c r="I685" s="32" t="n">
        <x:f>ROUND((H685-G685)*1440,0)</x:f>
        <x:v>12</x:v>
      </x:c>
      <x:c r="J685" s="13" t="str">
        <x:v>Домашняя мобильность</x:v>
      </x:c>
      <x:c r="K685" s="13" t="str">
        <x:v>Выполни комплекс H1 «База: таз, корпус и стопы», 12 минут. Ни турника, ни колец для дополнительного хвата.</x:v>
      </x:c>
      <x:c r="L685" s="13" t="str">
        <x:v>☐ Не начато</x:v>
      </x:c>
      <x:c r="M685" s="13" t="str">
        <x:v>Обязательно</x:v>
      </x:c>
      <x:c r="N685" s="13" t="str">
        <x:v>RPE 2–3</x:v>
      </x:c>
      <x:c r="O685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685" s="13" t="str">
        <x:v>milestone_03_hooks_tension_first_sixes/week_10_2026-11-09/03_WEDNESDAY.md</x:v>
      </x:c>
      <x:c r="Q685" s="138" t="str">
        <x:v>Markdown</x:v>
      </x:c>
      <x:c r="R685" s="20" t="str"/>
    </x:row>
    <x:row r="686" ht="36" customHeight="1">
      <x:c r="A686" s="19" t="str">
        <x:v>W10-20261111-0685</x:v>
      </x:c>
      <x:c r="B686" s="13" t="n">
        <x:v>10</x:v>
      </x:c>
      <x:c r="C686" s="13" t="str">
        <x:v>Этап 3 — Hooks, натяжение корпуса и первые шестёрки</x:v>
      </x:c>
      <x:c r="D686" s="138" t="str">
        <x:v>2026-11-11</x:v>
      </x:c>
      <x:c r="E686" s="13" t="str">
        <x:v>Среда</x:v>
      </x:c>
      <x:c r="F686" s="13" t="str">
        <x:v>Восстановление / видео</x:v>
      </x:c>
      <x:c r="G686" s="44" t="n">
        <x:v>0.027083333333333334</x:v>
      </x:c>
      <x:c r="H686" s="44" t="n">
        <x:v>0.04097222222222222</x:v>
      </x:c>
      <x:c r="I686" s="32" t="n">
        <x:f>ROUND((H686-G686)*1440,0)</x:f>
        <x:v>20</x:v>
      </x:c>
      <x:c r="J686" s="13" t="str">
        <x:v>Физиотерапия</x:v>
      </x:c>
      <x:c r="K686" s="13" t="str">
        <x:v>Выполни свой назначенный физиотерапевтом комплекс, если среда входит в его расписание.</x:v>
      </x:c>
      <x:c r="L686" s="13" t="str">
        <x:v>☐ Не начато</x:v>
      </x:c>
      <x:c r="M686" s="13" t="str">
        <x:v>По назначению</x:v>
      </x:c>
      <x:c r="N686" s="13" t="str">
        <x:v>По назначению</x:v>
      </x:c>
      <x:c r="O686" s="13" t="str">
        <x:v>Назначения физиотерапевта имеют приоритет.</x:v>
      </x:c>
      <x:c r="P686" s="13" t="str">
        <x:v>milestone_03_hooks_tension_first_sixes/week_10_2026-11-09/03_WEDNESDAY.md</x:v>
      </x:c>
      <x:c r="Q686" s="138" t="str">
        <x:v>Markdown</x:v>
      </x:c>
      <x:c r="R686" s="20" t="str"/>
    </x:row>
    <x:row r="687" ht="36" customHeight="1">
      <x:c r="A687" s="19" t="str">
        <x:v>W10-20261111-0686</x:v>
      </x:c>
      <x:c r="B687" s="13" t="n">
        <x:v>10</x:v>
      </x:c>
      <x:c r="C687" s="13" t="str">
        <x:v>Этап 3 — Hooks, натяжение корпуса и первые шестёрки</x:v>
      </x:c>
      <x:c r="D687" s="138" t="str">
        <x:v>2026-11-11</x:v>
      </x:c>
      <x:c r="E687" s="13" t="str">
        <x:v>Среда</x:v>
      </x:c>
      <x:c r="F687" s="13" t="str">
        <x:v>Восстановление / видео</x:v>
      </x:c>
      <x:c r="G687" s="44" t="n">
        <x:v>0.04097222222222222</x:v>
      </x:c>
      <x:c r="H687" s="44" t="n">
        <x:v>0.043055555555555555</x:v>
      </x:c>
      <x:c r="I687" s="32" t="n">
        <x:f>ROUND((H687-G687)*1440,0)</x:f>
        <x:v>3</x:v>
      </x:c>
      <x:c r="J687" s="13" t="str">
        <x:v>Запрет лишней нагрузки</x:v>
      </x:c>
      <x:c r="K687" s="13" t="str">
        <x:v>Поставь отметку: сегодня не было висов, подтягиваний «на проверку», эспандера-сжимателя или тяжёлого ношения.</x:v>
      </x:c>
      <x:c r="L687" s="13" t="str">
        <x:v>☐ Не начато</x:v>
      </x:c>
      <x:c r="M687" s="13" t="str">
        <x:v>Обязательно</x:v>
      </x:c>
      <x:c r="N687" s="13" t="str">
        <x:v>Восстановление</x:v>
      </x:c>
      <x:c r="O687" s="13" t="str"/>
      <x:c r="P687" s="13" t="str">
        <x:v>milestone_03_hooks_tension_first_sixes/week_10_2026-11-09/03_WEDNESDAY.md</x:v>
      </x:c>
      <x:c r="Q687" s="138" t="str">
        <x:v>Markdown</x:v>
      </x:c>
      <x:c r="R687" s="20" t="str"/>
    </x:row>
    <x:row r="688" ht="36" customHeight="1">
      <x:c r="A688" s="19" t="str">
        <x:v>W10-20261112-0687</x:v>
      </x:c>
      <x:c r="B688" s="13" t="n">
        <x:v>10</x:v>
      </x:c>
      <x:c r="C688" s="13" t="str">
        <x:v>Этап 3 — Hooks, натяжение корпуса и первые шестёрки</x:v>
      </x:c>
      <x:c r="D688" s="138" t="str">
        <x:v>2026-11-12</x:v>
      </x:c>
      <x:c r="E688" s="13" t="str">
        <x:v>Четверг</x:v>
      </x:c>
      <x:c r="F688" s="13" t="str">
        <x:v>Тренировка B — пальцы/проект</x:v>
      </x:c>
      <x:c r="G688" s="44" t="n">
        <x:v>0</x:v>
      </x:c>
      <x:c r="H688" s="44" t="n">
        <x:v>0.0020833333333333333</x:v>
      </x:c>
      <x:c r="I688" s="32" t="n">
        <x:f>ROUND((H688-G688)*1440,0)</x:f>
        <x:v>3</x:v>
      </x:c>
      <x:c r="J688" s="13" t="str">
        <x:v>Самопроверка</x:v>
      </x:c>
      <x:c r="K688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688" s="13" t="str">
        <x:v>☐ Не начато</x:v>
      </x:c>
      <x:c r="M688" s="13" t="str">
        <x:v>Обязательно</x:v>
      </x:c>
      <x:c r="N688" s="13" t="str">
        <x:v>Без нагрузки</x:v>
      </x:c>
      <x:c r="O688" s="13" t="str">
        <x:v>Красный флаг = не начинать пальцевую нагрузку.</x:v>
      </x:c>
      <x:c r="P688" s="13" t="str">
        <x:v>milestone_03_hooks_tension_first_sixes/week_10_2026-11-09/04_THURSDAY.md</x:v>
      </x:c>
      <x:c r="Q688" s="138" t="str">
        <x:v>Markdown</x:v>
      </x:c>
      <x:c r="R688" s="20" t="str"/>
    </x:row>
    <x:row r="689" ht="36" customHeight="1">
      <x:c r="A689" s="19" t="str">
        <x:v>W10-20261112-0688</x:v>
      </x:c>
      <x:c r="B689" s="13" t="n">
        <x:v>10</x:v>
      </x:c>
      <x:c r="C689" s="13" t="str">
        <x:v>Этап 3 — Hooks, натяжение корпуса и первые шестёрки</x:v>
      </x:c>
      <x:c r="D689" s="138" t="str">
        <x:v>2026-11-12</x:v>
      </x:c>
      <x:c r="E689" s="13" t="str">
        <x:v>Четверг</x:v>
      </x:c>
      <x:c r="F689" s="13" t="str">
        <x:v>Тренировка B — пальцы/проект</x:v>
      </x:c>
      <x:c r="G689" s="44" t="n">
        <x:v>0.0020833333333333333</x:v>
      </x:c>
      <x:c r="H689" s="44" t="n">
        <x:v>0.005555555555555556</x:v>
      </x:c>
      <x:c r="I689" s="32" t="n">
        <x:f>ROUND((H689-G689)*1440,0)</x:f>
        <x:v>5</x:v>
      </x:c>
      <x:c r="J689" s="13" t="str">
        <x:v>Разминка</x:v>
      </x:c>
      <x:c r="K689" s="13" t="str">
        <x:v>Подними температуру: быстрая ходьба, лестница или лёгкий велотренажёр 5 минут.</x:v>
      </x:c>
      <x:c r="L689" s="13" t="str">
        <x:v>☐ Не начато</x:v>
      </x:c>
      <x:c r="M689" s="13" t="str">
        <x:v>Обязательно</x:v>
      </x:c>
      <x:c r="N689" s="13" t="str">
        <x:v>RPE 2–3</x:v>
      </x:c>
      <x:c r="O689" s="13" t="str"/>
      <x:c r="P689" s="13" t="str">
        <x:v>milestone_03_hooks_tension_first_sixes/week_10_2026-11-09/04_THURSDAY.md</x:v>
      </x:c>
      <x:c r="Q689" s="138" t="str">
        <x:v>Markdown</x:v>
      </x:c>
      <x:c r="R689" s="20" t="str"/>
    </x:row>
    <x:row r="690" ht="36" customHeight="1">
      <x:c r="A690" s="19" t="str">
        <x:v>W10-20261112-0689</x:v>
      </x:c>
      <x:c r="B690" s="13" t="n">
        <x:v>10</x:v>
      </x:c>
      <x:c r="C690" s="13" t="str">
        <x:v>Этап 3 — Hooks, натяжение корпуса и первые шестёрки</x:v>
      </x:c>
      <x:c r="D690" s="138" t="str">
        <x:v>2026-11-12</x:v>
      </x:c>
      <x:c r="E690" s="13" t="str">
        <x:v>Четверг</x:v>
      </x:c>
      <x:c r="F690" s="13" t="str">
        <x:v>Тренировка B — пальцы/проект</x:v>
      </x:c>
      <x:c r="G690" s="44" t="n">
        <x:v>0.005555555555555556</x:v>
      </x:c>
      <x:c r="H690" s="44" t="n">
        <x:v>0.009027777777777777</x:v>
      </x:c>
      <x:c r="I690" s="32" t="n">
        <x:f>ROUND((H690-G690)*1440,0)</x:f>
        <x:v>5</x:v>
      </x:c>
      <x:c r="J690" s="13" t="str">
        <x:v>Разминка</x:v>
      </x:c>
      <x:c r="K690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690" s="13" t="str">
        <x:v>☐ Не начато</x:v>
      </x:c>
      <x:c r="M690" s="13" t="str">
        <x:v>Обязательно</x:v>
      </x:c>
      <x:c r="N690" s="13" t="str">
        <x:v>Очень легко</x:v>
      </x:c>
      <x:c r="O690" s="13" t="str">
        <x:v>Не делай press/отжимания и движения, которые раздражают плечо.</x:v>
      </x:c>
      <x:c r="P690" s="13" t="str">
        <x:v>milestone_03_hooks_tension_first_sixes/week_10_2026-11-09/04_THURSDAY.md</x:v>
      </x:c>
      <x:c r="Q690" s="138" t="str">
        <x:v>Markdown</x:v>
      </x:c>
      <x:c r="R690" s="20" t="str"/>
    </x:row>
    <x:row r="691" ht="36" customHeight="1">
      <x:c r="A691" s="19" t="str">
        <x:v>W10-20261112-0690</x:v>
      </x:c>
      <x:c r="B691" s="13" t="n">
        <x:v>10</x:v>
      </x:c>
      <x:c r="C691" s="13" t="str">
        <x:v>Этап 3 — Hooks, натяжение корпуса и первые шестёрки</x:v>
      </x:c>
      <x:c r="D691" s="138" t="str">
        <x:v>2026-11-12</x:v>
      </x:c>
      <x:c r="E691" s="13" t="str">
        <x:v>Четверг</x:v>
      </x:c>
      <x:c r="F691" s="13" t="str">
        <x:v>Тренировка B — пальцы/проект</x:v>
      </x:c>
      <x:c r="G691" s="44" t="n">
        <x:v>0.009027777777777777</x:v>
      </x:c>
      <x:c r="H691" s="44" t="n">
        <x:v>0.011805555555555555</x:v>
      </x:c>
      <x:c r="I691" s="32" t="n">
        <x:f>ROUND((H691-G691)*1440,0)</x:f>
        <x:v>4</x:v>
      </x:c>
      <x:c r="J691" s="13" t="str">
        <x:v>Разминка пальцев</x:v>
      </x:c>
      <x:c r="K691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691" s="13" t="str">
        <x:v>☐ Не начато</x:v>
      </x:c>
      <x:c r="M691" s="13" t="str">
        <x:v>Обязательно</x:v>
      </x:c>
      <x:c r="N691" s="13" t="str">
        <x:v>Очень легко</x:v>
      </x:c>
      <x:c r="O691" s="13" t="str"/>
      <x:c r="P691" s="13" t="str">
        <x:v>milestone_03_hooks_tension_first_sixes/week_10_2026-11-09/04_THURSDAY.md</x:v>
      </x:c>
      <x:c r="Q691" s="138" t="str">
        <x:v>Markdown</x:v>
      </x:c>
      <x:c r="R691" s="20" t="str"/>
    </x:row>
    <x:row r="692" ht="36" customHeight="1">
      <x:c r="A692" s="19" t="str">
        <x:v>W10-20261112-0691</x:v>
      </x:c>
      <x:c r="B692" s="13" t="n">
        <x:v>10</x:v>
      </x:c>
      <x:c r="C692" s="13" t="str">
        <x:v>Этап 3 — Hooks, натяжение корпуса и первые шестёрки</x:v>
      </x:c>
      <x:c r="D692" s="138" t="str">
        <x:v>2026-11-12</x:v>
      </x:c>
      <x:c r="E692" s="13" t="str">
        <x:v>Четверг</x:v>
      </x:c>
      <x:c r="F692" s="13" t="str">
        <x:v>Тренировка B — пальцы/проект</x:v>
      </x:c>
      <x:c r="G692" s="44" t="n">
        <x:v>0.011805555555555555</x:v>
      </x:c>
      <x:c r="H692" s="44" t="n">
        <x:v>0.014583333333333334</x:v>
      </x:c>
      <x:c r="I692" s="32" t="n">
        <x:f>ROUND((H692-G692)*1440,0)</x:f>
        <x:v>4</x:v>
      </x:c>
      <x:c r="J692" s="13" t="str">
        <x:v>Разминочное лазание</x:v>
      </x:c>
      <x:c r="K692" s="13" t="str">
        <x:v>Пройди 2 очень лёгкие трассы уровня 1–2; двигайся медленно, спускайся по зацепам.</x:v>
      </x:c>
      <x:c r="L692" s="13" t="str">
        <x:v>☐ Не начато</x:v>
      </x:c>
      <x:c r="M692" s="13" t="str">
        <x:v>Обязательно</x:v>
      </x:c>
      <x:c r="N692" s="13" t="str">
        <x:v>RPE 2–3</x:v>
      </x:c>
      <x:c r="O692" s="13" t="str">
        <x:v>Финиш с обязательным болезненным mantle/press пропусти.</x:v>
      </x:c>
      <x:c r="P692" s="13" t="str">
        <x:v>milestone_03_hooks_tension_first_sixes/week_10_2026-11-09/04_THURSDAY.md</x:v>
      </x:c>
      <x:c r="Q692" s="138" t="str">
        <x:v>Markdown</x:v>
      </x:c>
      <x:c r="R692" s="20" t="str"/>
    </x:row>
    <x:row r="693" ht="36" customHeight="1">
      <x:c r="A693" s="19" t="str">
        <x:v>W10-20261112-0692</x:v>
      </x:c>
      <x:c r="B693" s="13" t="n">
        <x:v>10</x:v>
      </x:c>
      <x:c r="C693" s="13" t="str">
        <x:v>Этап 3 — Hooks, натяжение корпуса и первые шестёрки</x:v>
      </x:c>
      <x:c r="D693" s="138" t="str">
        <x:v>2026-11-12</x:v>
      </x:c>
      <x:c r="E693" s="13" t="str">
        <x:v>Четверг</x:v>
      </x:c>
      <x:c r="F693" s="13" t="str">
        <x:v>Тренировка B — пальцы/проект</x:v>
      </x:c>
      <x:c r="G693" s="44" t="n">
        <x:v>0.014583333333333334</x:v>
      </x:c>
      <x:c r="H693" s="44" t="n">
        <x:v>0.017361111111111112</x:v>
      </x:c>
      <x:c r="I693" s="32" t="n">
        <x:f>ROUND((H693-G693)*1440,0)</x:f>
        <x:v>4</x:v>
      </x:c>
      <x:c r="J693" s="13" t="str">
        <x:v>Разминочное лазание</x:v>
      </x:c>
      <x:c r="K693" s="13" t="str">
        <x:v>Пройди 2 трассы уровня 2–3, затем сделай 2–3 движения на комфортной четвёрке. Между ними 45–60 секунд.</x:v>
      </x:c>
      <x:c r="L693" s="13" t="str">
        <x:v>☐ Не начато</x:v>
      </x:c>
      <x:c r="M693" s="13" t="str">
        <x:v>Обязательно</x:v>
      </x:c>
      <x:c r="N693" s="13" t="str">
        <x:v>RPE 3–4</x:v>
      </x:c>
      <x:c r="O693" s="13" t="str">
        <x:v>Разминка не должна утомить пальцы.</x:v>
      </x:c>
      <x:c r="P693" s="13" t="str">
        <x:v>milestone_03_hooks_tension_first_sixes/week_10_2026-11-09/04_THURSDAY.md</x:v>
      </x:c>
      <x:c r="Q693" s="138" t="str">
        <x:v>Markdown</x:v>
      </x:c>
      <x:c r="R693" s="20" t="str"/>
    </x:row>
    <x:row r="694" ht="36" customHeight="1">
      <x:c r="A694" s="19" t="str">
        <x:v>W10-20261112-0693</x:v>
      </x:c>
      <x:c r="B694" s="13" t="n">
        <x:v>10</x:v>
      </x:c>
      <x:c r="C694" s="13" t="str">
        <x:v>Этап 3 — Hooks, натяжение корпуса и первые шестёрки</x:v>
      </x:c>
      <x:c r="D694" s="138" t="str">
        <x:v>2026-11-12</x:v>
      </x:c>
      <x:c r="E694" s="13" t="str">
        <x:v>Четверг</x:v>
      </x:c>
      <x:c r="F694" s="13" t="str">
        <x:v>Тренировка B — пальцы/проект</x:v>
      </x:c>
      <x:c r="G694" s="44" t="n">
        <x:v>0.017361111111111112</x:v>
      </x:c>
      <x:c r="H694" s="44" t="n">
        <x:v>0.019444444444444445</x:v>
      </x:c>
      <x:c r="I694" s="32" t="n">
        <x:f>ROUND((H694-G694)*1440,0)</x:f>
        <x:v>3</x:v>
      </x:c>
      <x:c r="J694" s="13" t="str">
        <x:v>Фингерборд — готовность</x:v>
      </x:c>
      <x:c r="K694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694" s="13" t="str">
        <x:v>☐ Не начато</x:v>
      </x:c>
      <x:c r="M694" s="13" t="str">
        <x:v>Обязательно</x:v>
      </x:c>
      <x:c r="N694" s="13" t="str">
        <x:v>Подготовка</x:v>
      </x:c>
      <x:c r="O694" s="13" t="str">
        <x:v>Плечо полностью спокойно; full crimp, карманы, одна рука и допвес запрещены.</x:v>
      </x:c>
      <x:c r="P694" s="13" t="str">
        <x:v>milestone_03_hooks_tension_first_sixes/week_10_2026-11-09/04_THURSDAY.md</x:v>
      </x:c>
      <x:c r="Q694" s="138" t="str">
        <x:v>Markdown</x:v>
      </x:c>
      <x:c r="R694" s="20" t="str"/>
    </x:row>
    <x:row r="695" ht="36" customHeight="1">
      <x:c r="A695" s="19" t="str">
        <x:v>W10-20261112-0694</x:v>
      </x:c>
      <x:c r="B695" s="13" t="n">
        <x:v>10</x:v>
      </x:c>
      <x:c r="C695" s="13" t="str">
        <x:v>Этап 3 — Hooks, натяжение корпуса и первые шестёрки</x:v>
      </x:c>
      <x:c r="D695" s="138" t="str">
        <x:v>2026-11-12</x:v>
      </x:c>
      <x:c r="E695" s="13" t="str">
        <x:v>Четверг</x:v>
      </x:c>
      <x:c r="F695" s="13" t="str">
        <x:v>Тренировка B — пальцы/проект</x:v>
      </x:c>
      <x:c r="G695" s="44" t="n">
        <x:v>0.019444444444444445</x:v>
      </x:c>
      <x:c r="H695" s="44" t="n">
        <x:v>0.029861111111111113</x:v>
      </x:c>
      <x:c r="I695" s="32" t="n">
        <x:f>ROUND((H695-G695)*1440,0)</x:f>
        <x:v>15</x:v>
      </x:c>
      <x:c r="J695" s="13" t="str">
        <x:v>Фингерборд</x:v>
      </x:c>
      <x:c r="K695" s="13" t="str">
        <x:v>Выполни протокол: 5 × 7 сек, ноги помогают, RPE 6–7, отдых 2:00. Запусти таймер. Каждый вис прекращай с указанным запасом; форма кисти не меняется.</x:v>
      </x:c>
      <x:c r="L695" s="13" t="str">
        <x:v>☐ Не начато</x:v>
      </x:c>
      <x:c r="M695" s="13" t="str">
        <x:v>Обязательно</x:v>
      </x:c>
      <x:c r="N695" s="13" t="str">
        <x:v>5 × 7 сек, ноги помогают, RPE 6–7, отдых 2:00</x:v>
      </x:c>
      <x:c r="O695" s="13" t="str">
        <x:v>Острая боль, дрожь формы, падение RPE-контроля или боль плеча = закончить блок.</x:v>
      </x:c>
      <x:c r="P695" s="13" t="str">
        <x:v>milestone_03_hooks_tension_first_sixes/week_10_2026-11-09/04_THURSDAY.md</x:v>
      </x:c>
      <x:c r="Q695" s="138" t="str">
        <x:v>Markdown</x:v>
      </x:c>
      <x:c r="R695" s="20" t="str"/>
    </x:row>
    <x:row r="696" ht="36" customHeight="1">
      <x:c r="A696" s="19" t="str">
        <x:v>W10-20261112-0695</x:v>
      </x:c>
      <x:c r="B696" s="13" t="n">
        <x:v>10</x:v>
      </x:c>
      <x:c r="C696" s="13" t="str">
        <x:v>Этап 3 — Hooks, натяжение корпуса и первые шестёрки</x:v>
      </x:c>
      <x:c r="D696" s="138" t="str">
        <x:v>2026-11-12</x:v>
      </x:c>
      <x:c r="E696" s="13" t="str">
        <x:v>Четверг</x:v>
      </x:c>
      <x:c r="F696" s="13" t="str">
        <x:v>Тренировка B — пальцы/проект</x:v>
      </x:c>
      <x:c r="G696" s="44" t="n">
        <x:v>0.029861111111111113</x:v>
      </x:c>
      <x:c r="H696" s="44" t="n">
        <x:v>0.03194444444444444</x:v>
      </x:c>
      <x:c r="I696" s="32" t="n">
        <x:f>ROUND((H696-G696)*1440,0)</x:f>
        <x:v>3</x:v>
      </x:c>
      <x:c r="J696" s="13" t="str">
        <x:v>Фингерборд — запись</x:v>
      </x:c>
      <x:c r="K696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696" s="13" t="str">
        <x:v>☐ Не начато</x:v>
      </x:c>
      <x:c r="M696" s="13" t="str">
        <x:v>Обязательно</x:v>
      </x:c>
      <x:c r="N696" s="13" t="str">
        <x:v>Без нагрузки</x:v>
      </x:c>
      <x:c r="O696" s="13" t="str"/>
      <x:c r="P696" s="13" t="str">
        <x:v>milestone_03_hooks_tension_first_sixes/week_10_2026-11-09/04_THURSDAY.md</x:v>
      </x:c>
      <x:c r="Q696" s="138" t="str">
        <x:v>Markdown</x:v>
      </x:c>
      <x:c r="R696" s="20" t="str"/>
    </x:row>
    <x:row r="697" ht="36" customHeight="1">
      <x:c r="A697" s="19" t="str">
        <x:v>W10-20261112-0696</x:v>
      </x:c>
      <x:c r="B697" s="13" t="n">
        <x:v>10</x:v>
      </x:c>
      <x:c r="C697" s="13" t="str">
        <x:v>Этап 3 — Hooks, натяжение корпуса и первые шестёрки</x:v>
      </x:c>
      <x:c r="D697" s="138" t="str">
        <x:v>2026-11-12</x:v>
      </x:c>
      <x:c r="E697" s="13" t="str">
        <x:v>Четверг</x:v>
      </x:c>
      <x:c r="F697" s="13" t="str">
        <x:v>Тренировка B — пальцы/проект</x:v>
      </x:c>
      <x:c r="G697" s="44" t="n">
        <x:v>0.03194444444444444</x:v>
      </x:c>
      <x:c r="H697" s="44" t="n">
        <x:v>0.035416666666666666</x:v>
      </x:c>
      <x:c r="I697" s="32" t="n">
        <x:f>ROUND((H697-G697)*1440,0)</x:f>
        <x:v>5</x:v>
      </x:c>
      <x:c r="J697" s="13" t="str">
        <x:v>Отдых</x:v>
      </x:c>
      <x:c r="K697" s="13" t="str">
        <x:v>5 минут полного отдыха: ходьба, вода, без лазания и без тестового виса.</x:v>
      </x:c>
      <x:c r="L697" s="13" t="str">
        <x:v>☐ Не начато</x:v>
      </x:c>
      <x:c r="M697" s="13" t="str">
        <x:v>Обязательно</x:v>
      </x:c>
      <x:c r="N697" s="13" t="str">
        <x:v>Восстановление</x:v>
      </x:c>
      <x:c r="O697" s="13" t="str"/>
      <x:c r="P697" s="13" t="str">
        <x:v>milestone_03_hooks_tension_first_sixes/week_10_2026-11-09/04_THURSDAY.md</x:v>
      </x:c>
      <x:c r="Q697" s="138" t="str">
        <x:v>Markdown</x:v>
      </x:c>
      <x:c r="R697" s="20" t="str"/>
    </x:row>
    <x:row r="698" ht="36" customHeight="1">
      <x:c r="A698" s="19" t="str">
        <x:v>W10-20261112-0697</x:v>
      </x:c>
      <x:c r="B698" s="13" t="n">
        <x:v>10</x:v>
      </x:c>
      <x:c r="C698" s="13" t="str">
        <x:v>Этап 3 — Hooks, натяжение корпуса и первые шестёрки</x:v>
      </x:c>
      <x:c r="D698" s="138" t="str">
        <x:v>2026-11-12</x:v>
      </x:c>
      <x:c r="E698" s="13" t="str">
        <x:v>Четверг</x:v>
      </x:c>
      <x:c r="F698" s="13" t="str">
        <x:v>Тренировка B — пальцы/проект</x:v>
      </x:c>
      <x:c r="G698" s="44" t="n">
        <x:v>0.035416666666666666</x:v>
      </x:c>
      <x:c r="H698" s="44" t="n">
        <x:v>0.03819444444444445</x:v>
      </x:c>
      <x:c r="I698" s="32" t="n">
        <x:f>ROUND((H698-G698)*1440,0)</x:f>
        <x:v>4</x:v>
      </x:c>
      <x:c r="J698" s="13" t="str">
        <x:v>Выбор проекта</x:v>
      </x:c>
      <x:c r="K698" s="13" t="str">
        <x:v>Выбери трассу по критериям недели: Пятёрка с toe hook или противодавлением ног + та же/похожая шестёрка недели 9.</x:v>
      </x:c>
      <x:c r="L698" s="13" t="str">
        <x:v>☐ Не начато</x:v>
      </x:c>
      <x:c r="M698" s="13" t="str">
        <x:v>Обязательно</x:v>
      </x:c>
      <x:c r="N698" s="13" t="str">
        <x:v>Без нагрузки</x:v>
      </x:c>
      <x:c r="O698" s="13" t="str">
        <x:v>Плечо: компрессия должна быть умеренной; пропусти широкие силовые pinches и резкие ловли. Не подворачивать голеностоп.</x:v>
      </x:c>
      <x:c r="P698" s="13" t="str">
        <x:v>milestone_03_hooks_tension_first_sixes/week_10_2026-11-09/04_THURSDAY.md</x:v>
      </x:c>
      <x:c r="Q698" s="138" t="str">
        <x:v>Markdown</x:v>
      </x:c>
      <x:c r="R698" s="20" t="str"/>
    </x:row>
    <x:row r="699" ht="36" customHeight="1">
      <x:c r="A699" s="19" t="str">
        <x:v>W10-20261112-0698</x:v>
      </x:c>
      <x:c r="B699" s="13" t="n">
        <x:v>10</x:v>
      </x:c>
      <x:c r="C699" s="13" t="str">
        <x:v>Этап 3 — Hooks, натяжение корпуса и первые шестёрки</x:v>
      </x:c>
      <x:c r="D699" s="138" t="str">
        <x:v>2026-11-12</x:v>
      </x:c>
      <x:c r="E699" s="13" t="str">
        <x:v>Четверг</x:v>
      </x:c>
      <x:c r="F699" s="13" t="str">
        <x:v>Тренировка B — пальцы/проект</x:v>
      </x:c>
      <x:c r="G699" s="44" t="n">
        <x:v>0.03819444444444445</x:v>
      </x:c>
      <x:c r="H699" s="44" t="n">
        <x:v>0.041666666666666664</x:v>
      </x:c>
      <x:c r="I699" s="32" t="n">
        <x:f>ROUND((H699-G699)*1440,0)</x:f>
        <x:v>5</x:v>
      </x:c>
      <x:c r="J699" s="13" t="str">
        <x:v>Проект — попытка 1</x:v>
      </x:c>
      <x:c r="K699" s="13" t="str">
        <x:v>Сделай первую полную диагностическую попытку. После падения не повторяй сразу: назови точную причину.</x:v>
      </x:c>
      <x:c r="L699" s="13" t="str">
        <x:v>☐ Не начато</x:v>
      </x:c>
      <x:c r="M699" s="13" t="str">
        <x:v>Обязательно</x:v>
      </x:c>
      <x:c r="N699" s="13" t="str">
        <x:v>RPE 7–8</x:v>
      </x:c>
      <x:c r="O699" s="13" t="str">
        <x:v>Прекратить движение при боли, а не после падения.</x:v>
      </x:c>
      <x:c r="P699" s="13" t="str">
        <x:v>milestone_03_hooks_tension_first_sixes/week_10_2026-11-09/04_THURSDAY.md</x:v>
      </x:c>
      <x:c r="Q699" s="138" t="str">
        <x:v>Markdown</x:v>
      </x:c>
      <x:c r="R699" s="20" t="str"/>
    </x:row>
    <x:row r="700" ht="36" customHeight="1">
      <x:c r="A700" s="19" t="str">
        <x:v>W10-20261112-0699</x:v>
      </x:c>
      <x:c r="B700" s="13" t="n">
        <x:v>10</x:v>
      </x:c>
      <x:c r="C700" s="13" t="str">
        <x:v>Этап 3 — Hooks, натяжение корпуса и первые шестёрки</x:v>
      </x:c>
      <x:c r="D700" s="138" t="str">
        <x:v>2026-11-12</x:v>
      </x:c>
      <x:c r="E700" s="13" t="str">
        <x:v>Четверг</x:v>
      </x:c>
      <x:c r="F700" s="13" t="str">
        <x:v>Тренировка B — пальцы/проект</x:v>
      </x:c>
      <x:c r="G700" s="44" t="n">
        <x:v>0.041666666666666664</x:v>
      </x:c>
      <x:c r="H700" s="44" t="n">
        <x:v>0.04513888888888889</x:v>
      </x:c>
      <x:c r="I700" s="32" t="n">
        <x:f>ROUND((H700-G700)*1440,0)</x:f>
        <x:v>5</x:v>
      </x:c>
      <x:c r="J700" s="13" t="str">
        <x:v>Отдых / гипотеза</x:v>
      </x:c>
      <x:c r="K700" s="13" t="str">
        <x:v>Отдых 4–5 минут. Запиши одну гипотезу: стопа, положение таза, хват или темп.</x:v>
      </x:c>
      <x:c r="L700" s="13" t="str">
        <x:v>☐ Не начато</x:v>
      </x:c>
      <x:c r="M700" s="13" t="str">
        <x:v>Обязательно</x:v>
      </x:c>
      <x:c r="N700" s="13" t="str">
        <x:v>Восстановление</x:v>
      </x:c>
      <x:c r="O700" s="13" t="str"/>
      <x:c r="P700" s="13" t="str">
        <x:v>milestone_03_hooks_tension_first_sixes/week_10_2026-11-09/04_THURSDAY.md</x:v>
      </x:c>
      <x:c r="Q700" s="138" t="str">
        <x:v>Markdown</x:v>
      </x:c>
      <x:c r="R700" s="20" t="str"/>
    </x:row>
    <x:row r="701" ht="36" customHeight="1">
      <x:c r="A701" s="19" t="str">
        <x:v>W10-20261112-0700</x:v>
      </x:c>
      <x:c r="B701" s="13" t="n">
        <x:v>10</x:v>
      </x:c>
      <x:c r="C701" s="13" t="str">
        <x:v>Этап 3 — Hooks, натяжение корпуса и первые шестёрки</x:v>
      </x:c>
      <x:c r="D701" s="138" t="str">
        <x:v>2026-11-12</x:v>
      </x:c>
      <x:c r="E701" s="13" t="str">
        <x:v>Четверг</x:v>
      </x:c>
      <x:c r="F701" s="13" t="str">
        <x:v>Тренировка B — пальцы/проект</x:v>
      </x:c>
      <x:c r="G701" s="44" t="n">
        <x:v>0.04513888888888889</x:v>
      </x:c>
      <x:c r="H701" s="44" t="n">
        <x:v>0.049305555555555554</x:v>
      </x:c>
      <x:c r="I701" s="32" t="n">
        <x:f>ROUND((H701-G701)*1440,0)</x:f>
        <x:v>6</x:v>
      </x:c>
      <x:c r="J701" s="13" t="str">
        <x:v>Проект — попытки 2–3</x:v>
      </x:c>
      <x:c r="K701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701" s="13" t="str">
        <x:v>☐ Не начато</x:v>
      </x:c>
      <x:c r="M701" s="13" t="str">
        <x:v>Обязательно</x:v>
      </x:c>
      <x:c r="N701" s="13" t="str">
        <x:v>RPE 7–8, без отказа</x:v>
      </x:c>
      <x:c r="O701" s="13" t="str">
        <x:v>Не смотреть beta заранее: сначала собственная гипотеза.</x:v>
      </x:c>
      <x:c r="P701" s="13" t="str">
        <x:v>milestone_03_hooks_tension_first_sixes/week_10_2026-11-09/04_THURSDAY.md</x:v>
      </x:c>
      <x:c r="Q701" s="138" t="str">
        <x:v>Markdown</x:v>
      </x:c>
      <x:c r="R701" s="20" t="str"/>
    </x:row>
    <x:row r="702" ht="36" customHeight="1">
      <x:c r="A702" s="19" t="str">
        <x:v>W10-20261112-0701</x:v>
      </x:c>
      <x:c r="B702" s="13" t="n">
        <x:v>10</x:v>
      </x:c>
      <x:c r="C702" s="13" t="str">
        <x:v>Этап 3 — Hooks, натяжение корпуса и первые шестёрки</x:v>
      </x:c>
      <x:c r="D702" s="138" t="str">
        <x:v>2026-11-12</x:v>
      </x:c>
      <x:c r="E702" s="13" t="str">
        <x:v>Четверг</x:v>
      </x:c>
      <x:c r="F702" s="13" t="str">
        <x:v>Тренировка B — пальцы/проект</x:v>
      </x:c>
      <x:c r="G702" s="44" t="n">
        <x:v>0.049305555555555554</x:v>
      </x:c>
      <x:c r="H702" s="44" t="n">
        <x:v>0.05277777777777778</x:v>
      </x:c>
      <x:c r="I702" s="32" t="n">
        <x:f>ROUND((H702-G702)*1440,0)</x:f>
        <x:v>5</x:v>
      </x:c>
      <x:c r="J702" s="13" t="str">
        <x:v>Проект — заключительная попытка</x:v>
      </x:c>
      <x:c r="K702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702" s="13" t="str">
        <x:v>☐ Не начато</x:v>
      </x:c>
      <x:c r="M702" s="13" t="str">
        <x:v>Обязательно</x:v>
      </x:c>
      <x:c r="N702" s="13" t="str">
        <x:v>RPE 8, с запасом</x:v>
      </x:c>
      <x:c r="O702" s="13" t="str">
        <x:v>Плечо: компрессия должна быть умеренной; пропусти широкие силовые pinches и резкие ловли. Не подворачивать голеностоп.</x:v>
      </x:c>
      <x:c r="P702" s="13" t="str">
        <x:v>milestone_03_hooks_tension_first_sixes/week_10_2026-11-09/04_THURSDAY.md</x:v>
      </x:c>
      <x:c r="Q702" s="138" t="str">
        <x:v>Markdown</x:v>
      </x:c>
      <x:c r="R702" s="20" t="str"/>
    </x:row>
    <x:row r="703" ht="36" customHeight="1">
      <x:c r="A703" s="19" t="str">
        <x:v>W10-20261112-0702</x:v>
      </x:c>
      <x:c r="B703" s="13" t="n">
        <x:v>10</x:v>
      </x:c>
      <x:c r="C703" s="13" t="str">
        <x:v>Этап 3 — Hooks, натяжение корпуса и первые шестёрки</x:v>
      </x:c>
      <x:c r="D703" s="138" t="str">
        <x:v>2026-11-12</x:v>
      </x:c>
      <x:c r="E703" s="13" t="str">
        <x:v>Четверг</x:v>
      </x:c>
      <x:c r="F703" s="13" t="str">
        <x:v>Тренировка B — пальцы/проект</x:v>
      </x:c>
      <x:c r="G703" s="44" t="n">
        <x:v>0.05277777777777778</x:v>
      </x:c>
      <x:c r="H703" s="44" t="n">
        <x:v>0.05763888888888889</x:v>
      </x:c>
      <x:c r="I703" s="32" t="n">
        <x:f>ROUND((H703-G703)*1440,0)</x:f>
        <x:v>7</x:v>
      </x:c>
      <x:c r="J703" s="13" t="str">
        <x:v>Вторичная трасса</x:v>
      </x:c>
      <x:c r="K703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703" s="13" t="str">
        <x:v>☐ Не начато</x:v>
      </x:c>
      <x:c r="M703" s="13" t="str">
        <x:v>Обязательно</x:v>
      </x:c>
      <x:c r="N703" s="13" t="str">
        <x:v>RPE 5–7</x:v>
      </x:c>
      <x:c r="O703" s="13" t="str">
        <x:v>Пропустить, если хват уже просел.</x:v>
      </x:c>
      <x:c r="P703" s="13" t="str">
        <x:v>milestone_03_hooks_tension_first_sixes/week_10_2026-11-09/04_THURSDAY.md</x:v>
      </x:c>
      <x:c r="Q703" s="138" t="str">
        <x:v>Markdown</x:v>
      </x:c>
      <x:c r="R703" s="20" t="str"/>
    </x:row>
    <x:row r="704" ht="36" customHeight="1">
      <x:c r="A704" s="19" t="str">
        <x:v>W10-20261112-0703</x:v>
      </x:c>
      <x:c r="B704" s="13" t="n">
        <x:v>10</x:v>
      </x:c>
      <x:c r="C704" s="13" t="str">
        <x:v>Этап 3 — Hooks, натяжение корпуса и первые шестёрки</x:v>
      </x:c>
      <x:c r="D704" s="138" t="str">
        <x:v>2026-11-12</x:v>
      </x:c>
      <x:c r="E704" s="13" t="str">
        <x:v>Четверг</x:v>
      </x:c>
      <x:c r="F704" s="13" t="str">
        <x:v>Тренировка B — пальцы/проект</x:v>
      </x:c>
      <x:c r="G704" s="44" t="n">
        <x:v>0.05763888888888889</x:v>
      </x:c>
      <x:c r="H704" s="44" t="n">
        <x:v>0.06041666666666667</x:v>
      </x:c>
      <x:c r="I704" s="32" t="n">
        <x:f>ROUND((H704-G704)*1440,0)</x:f>
        <x:v>4</x:v>
      </x:c>
      <x:c r="J704" s="13" t="str">
        <x:v>Завершение</x:v>
      </x:c>
      <x:c r="K704" s="13" t="str">
        <x:v>Очень лёгкий спуск/ходьба, вода, никаких финишных висов.</x:v>
      </x:c>
      <x:c r="L704" s="13" t="str">
        <x:v>☐ Не начато</x:v>
      </x:c>
      <x:c r="M704" s="13" t="str">
        <x:v>Обязательно</x:v>
      </x:c>
      <x:c r="N704" s="13" t="str">
        <x:v>RPE 1–2</x:v>
      </x:c>
      <x:c r="O704" s="13" t="str"/>
      <x:c r="P704" s="13" t="str">
        <x:v>milestone_03_hooks_tension_first_sixes/week_10_2026-11-09/04_THURSDAY.md</x:v>
      </x:c>
      <x:c r="Q704" s="138" t="str">
        <x:v>Markdown</x:v>
      </x:c>
      <x:c r="R704" s="20" t="str"/>
    </x:row>
    <x:row r="705" ht="36" customHeight="1">
      <x:c r="A705" s="19" t="str">
        <x:v>W10-20261112-0704</x:v>
      </x:c>
      <x:c r="B705" s="13" t="n">
        <x:v>10</x:v>
      </x:c>
      <x:c r="C705" s="13" t="str">
        <x:v>Этап 3 — Hooks, натяжение корпуса и первые шестёрки</x:v>
      </x:c>
      <x:c r="D705" s="138" t="str">
        <x:v>2026-11-12</x:v>
      </x:c>
      <x:c r="E705" s="13" t="str">
        <x:v>Четверг</x:v>
      </x:c>
      <x:c r="F705" s="13" t="str">
        <x:v>Тренировка B — пальцы/проект</x:v>
      </x:c>
      <x:c r="G705" s="44" t="n">
        <x:v>0.06041666666666667</x:v>
      </x:c>
      <x:c r="H705" s="44" t="n">
        <x:v>0.0625</x:v>
      </x:c>
      <x:c r="I705" s="32" t="n">
        <x:f>ROUND((H705-G705)*1440,0)</x:f>
        <x:v>3</x:v>
      </x:c>
      <x:c r="J705" s="13" t="str">
        <x:v>Журнал</x:v>
      </x:c>
      <x:c r="K705" s="13" t="str">
        <x:v>Запиши попытки, лучшую связку, одну правку и benchmark: Сделать 3 контролируемых toe hook без срыва стопы и без усиления боли.</x:v>
      </x:c>
      <x:c r="L705" s="13" t="str">
        <x:v>☐ Не начато</x:v>
      </x:c>
      <x:c r="M705" s="13" t="str">
        <x:v>Обязательно</x:v>
      </x:c>
      <x:c r="N705" s="13" t="str">
        <x:v>Без нагрузки</x:v>
      </x:c>
      <x:c r="O705" s="13" t="str"/>
      <x:c r="P705" s="13" t="str">
        <x:v>milestone_03_hooks_tension_first_sixes/week_10_2026-11-09/04_THURSDAY.md</x:v>
      </x:c>
      <x:c r="Q705" s="138" t="str">
        <x:v>Markdown</x:v>
      </x:c>
      <x:c r="R705" s="20" t="str"/>
    </x:row>
    <x:row r="706" ht="36" customHeight="1">
      <x:c r="A706" s="19" t="str">
        <x:v>W10-20261113-0705</x:v>
      </x:c>
      <x:c r="B706" s="13" t="n">
        <x:v>10</x:v>
      </x:c>
      <x:c r="C706" s="13" t="str">
        <x:v>Этап 3 — Hooks, натяжение корпуса и первые шестёрки</x:v>
      </x:c>
      <x:c r="D706" s="138" t="str">
        <x:v>2026-11-13</x:v>
      </x:c>
      <x:c r="E706" s="13" t="str">
        <x:v>Пятница</x:v>
      </x:c>
      <x:c r="F706" s="13" t="str">
        <x:v>Дом / теория</x:v>
      </x:c>
      <x:c r="G706" s="44" t="n">
        <x:v>0</x:v>
      </x:c>
      <x:c r="H706" s="44" t="n">
        <x:v>0.0020833333333333333</x:v>
      </x:c>
      <x:c r="I706" s="32" t="n">
        <x:f>ROUND((H706-G706)*1440,0)</x:f>
        <x:v>3</x:v>
      </x:c>
      <x:c r="J706" s="13" t="str">
        <x:v>Самопроверка</x:v>
      </x:c>
      <x:c r="K706" s="13" t="str">
        <x:v>Оцени утреннюю реакцию после четверга: пальцы/плечо/колено 0–10. Запиши, восстановилась ли обычная сила кисти.</x:v>
      </x:c>
      <x:c r="L706" s="13" t="str">
        <x:v>☐ Не начато</x:v>
      </x:c>
      <x:c r="M706" s="13" t="str">
        <x:v>Обязательно</x:v>
      </x:c>
      <x:c r="N706" s="13" t="str">
        <x:v>Без нагрузки</x:v>
      </x:c>
      <x:c r="O706" s="13" t="str">
        <x:v>Острая локальная боль пальца или усилившаяся боль плеча = воскресенье только восстановительное.</x:v>
      </x:c>
      <x:c r="P706" s="13" t="str">
        <x:v>milestone_03_hooks_tension_first_sixes/week_10_2026-11-09/05_FRIDAY.md</x:v>
      </x:c>
      <x:c r="Q706" s="138" t="str">
        <x:v>Markdown</x:v>
      </x:c>
      <x:c r="R706" s="20" t="str"/>
    </x:row>
    <x:row r="707" ht="36" customHeight="1">
      <x:c r="A707" s="19" t="str">
        <x:v>W10-20261113-0706</x:v>
      </x:c>
      <x:c r="B707" s="13" t="n">
        <x:v>10</x:v>
      </x:c>
      <x:c r="C707" s="13" t="str">
        <x:v>Этап 3 — Hooks, натяжение корпуса и первые шестёрки</x:v>
      </x:c>
      <x:c r="D707" s="138" t="str">
        <x:v>2026-11-13</x:v>
      </x:c>
      <x:c r="E707" s="13" t="str">
        <x:v>Пятница</x:v>
      </x:c>
      <x:c r="F707" s="13" t="str">
        <x:v>Дом / теория</x:v>
      </x:c>
      <x:c r="G707" s="44" t="n">
        <x:v>0.0020833333333333333</x:v>
      </x:c>
      <x:c r="H707" s="44" t="n">
        <x:v>0.007638888888888889</x:v>
      </x:c>
      <x:c r="I707" s="32" t="n">
        <x:f>ROUND((H707-G707)*1440,0)</x:f>
        <x:v>8</x:v>
      </x:c>
      <x:c r="J707" s="13" t="str">
        <x:v>Теория</x:v>
      </x:c>
      <x:c r="K707" s="13" t="str">
        <x:v>Пересмотри ключевой фрагмент ресурса недели: [R11: BMC — How to toe hook when climbing](https://www.thebmc.co.uk/en/how-to-toe-hook-video). Задача: Зацеп верхом носка и удержание корпуса от ухода от стены.</x:v>
      </x:c>
      <x:c r="L707" s="13" t="str">
        <x:v>☐ Не начато</x:v>
      </x:c>
      <x:c r="M707" s="13" t="str">
        <x:v>Обязательно</x:v>
      </x:c>
      <x:c r="N707" s="13" t="str">
        <x:v>Без нагрузки</x:v>
      </x:c>
      <x:c r="O707" s="13" t="str"/>
      <x:c r="P707" s="13" t="str">
        <x:v>milestone_03_hooks_tension_first_sixes/week_10_2026-11-09/05_FRIDAY.md</x:v>
      </x:c>
      <x:c r="Q707" s="138" t="str">
        <x:v>Markdown</x:v>
      </x:c>
      <x:c r="R707" s="20" t="str"/>
    </x:row>
    <x:row r="708" ht="36" customHeight="1">
      <x:c r="A708" s="19" t="str">
        <x:v>W10-20261113-0707</x:v>
      </x:c>
      <x:c r="B708" s="13" t="n">
        <x:v>10</x:v>
      </x:c>
      <x:c r="C708" s="13" t="str">
        <x:v>Этап 3 — Hooks, натяжение корпуса и первые шестёрки</x:v>
      </x:c>
      <x:c r="D708" s="138" t="str">
        <x:v>2026-11-13</x:v>
      </x:c>
      <x:c r="E708" s="13" t="str">
        <x:v>Пятница</x:v>
      </x:c>
      <x:c r="F708" s="13" t="str">
        <x:v>Дом / теория</x:v>
      </x:c>
      <x:c r="G708" s="44" t="n">
        <x:v>0.007638888888888889</x:v>
      </x:c>
      <x:c r="H708" s="44" t="n">
        <x:v>0.011805555555555555</x:v>
      </x:c>
      <x:c r="I708" s="32" t="n">
        <x:f>ROUND((H708-G708)*1440,0)</x:f>
        <x:v>6</x:v>
      </x:c>
      <x:c r="J708" s="13" t="str">
        <x:v>Ментальная репетиция</x:v>
      </x:c>
      <x:c r="K708" s="13" t="str">
        <x:v>Закрой глаза и 3 раза мысленно пройди одну рабочую трассу: руки → ноги → положение таза → дыхание. Визуализируй cue «Тяни верхом носка на себя, одновременно дави другой ногой от себя.».</x:v>
      </x:c>
      <x:c r="L708" s="13" t="str">
        <x:v>☐ Не начато</x:v>
      </x:c>
      <x:c r="M708" s="13" t="str">
        <x:v>Обязательно</x:v>
      </x:c>
      <x:c r="N708" s="13" t="str">
        <x:v>Без нагрузки</x:v>
      </x:c>
      <x:c r="O708" s="13" t="str"/>
      <x:c r="P708" s="13" t="str">
        <x:v>milestone_03_hooks_tension_first_sixes/week_10_2026-11-09/05_FRIDAY.md</x:v>
      </x:c>
      <x:c r="Q708" s="138" t="str">
        <x:v>Markdown</x:v>
      </x:c>
      <x:c r="R708" s="20" t="str"/>
    </x:row>
    <x:row r="709" ht="36" customHeight="1">
      <x:c r="A709" s="19" t="str">
        <x:v>W10-20261113-0708</x:v>
      </x:c>
      <x:c r="B709" s="13" t="n">
        <x:v>10</x:v>
      </x:c>
      <x:c r="C709" s="13" t="str">
        <x:v>Этап 3 — Hooks, натяжение корпуса и первые шестёрки</x:v>
      </x:c>
      <x:c r="D709" s="138" t="str">
        <x:v>2026-11-13</x:v>
      </x:c>
      <x:c r="E709" s="13" t="str">
        <x:v>Пятница</x:v>
      </x:c>
      <x:c r="F709" s="13" t="str">
        <x:v>Дом / теория</x:v>
      </x:c>
      <x:c r="G709" s="44" t="n">
        <x:v>0.011805555555555555</x:v>
      </x:c>
      <x:c r="H709" s="44" t="n">
        <x:v>0.02013888888888889</x:v>
      </x:c>
      <x:c r="I709" s="32" t="n">
        <x:f>ROUND((H709-G709)*1440,0)</x:f>
        <x:v>12</x:v>
      </x:c>
      <x:c r="J709" s="13" t="str">
        <x:v>Домашняя мобильность</x:v>
      </x:c>
      <x:c r="K709" s="13" t="str">
        <x:v>Выполни H3 «Мобильность таза и контроль корпуса» — 12 минут.</x:v>
      </x:c>
      <x:c r="L709" s="13" t="str">
        <x:v>☐ Не начато</x:v>
      </x:c>
      <x:c r="M709" s="13" t="str">
        <x:v>Обязательно</x:v>
      </x:c>
      <x:c r="N709" s="13" t="str">
        <x:v>RPE 2–3</x:v>
      </x:c>
      <x:c r="O709" s="13" t="str">
        <x:v>Никаких скручиваний через боль. Плечом не отталкивайся от стены; касание только для равновесия.</x:v>
      </x:c>
      <x:c r="P709" s="13" t="str">
        <x:v>milestone_03_hooks_tension_first_sixes/week_10_2026-11-09/05_FRIDAY.md</x:v>
      </x:c>
      <x:c r="Q709" s="138" t="str">
        <x:v>Markdown</x:v>
      </x:c>
      <x:c r="R709" s="20" t="str"/>
    </x:row>
    <x:row r="710" ht="36" customHeight="1">
      <x:c r="A710" s="19" t="str">
        <x:v>W10-20261113-0709</x:v>
      </x:c>
      <x:c r="B710" s="13" t="n">
        <x:v>10</x:v>
      </x:c>
      <x:c r="C710" s="13" t="str">
        <x:v>Этап 3 — Hooks, натяжение корпуса и первые шестёрки</x:v>
      </x:c>
      <x:c r="D710" s="138" t="str">
        <x:v>2026-11-13</x:v>
      </x:c>
      <x:c r="E710" s="13" t="str">
        <x:v>Пятница</x:v>
      </x:c>
      <x:c r="F710" s="13" t="str">
        <x:v>Дом / теория</x:v>
      </x:c>
      <x:c r="G710" s="44" t="n">
        <x:v>0.02013888888888889</x:v>
      </x:c>
      <x:c r="H710" s="44" t="n">
        <x:v>0.034027777777777775</x:v>
      </x:c>
      <x:c r="I710" s="32" t="n">
        <x:f>ROUND((H710-G710)*1440,0)</x:f>
        <x:v>20</x:v>
      </x:c>
      <x:c r="J710" s="13" t="str">
        <x:v>Физиотерапия</x:v>
      </x:c>
      <x:c r="K710" s="13" t="str">
        <x:v>Выполни свой назначенный комплекс, если пятница входит в расписание физиотерапевта.</x:v>
      </x:c>
      <x:c r="L710" s="13" t="str">
        <x:v>☐ Не начато</x:v>
      </x:c>
      <x:c r="M710" s="13" t="str">
        <x:v>По назначению</x:v>
      </x:c>
      <x:c r="N710" s="13" t="str">
        <x:v>По назначению</x:v>
      </x:c>
      <x:c r="O710" s="13" t="str">
        <x:v>Не добавляй упражнения из интернета поверх назначений.</x:v>
      </x:c>
      <x:c r="P710" s="13" t="str">
        <x:v>milestone_03_hooks_tension_first_sixes/week_10_2026-11-09/05_FRIDAY.md</x:v>
      </x:c>
      <x:c r="Q710" s="138" t="str">
        <x:v>Markdown</x:v>
      </x:c>
      <x:c r="R710" s="20" t="str"/>
    </x:row>
    <x:row r="711" ht="36" customHeight="1">
      <x:c r="A711" s="19" t="str">
        <x:v>W10-20261113-0710</x:v>
      </x:c>
      <x:c r="B711" s="13" t="n">
        <x:v>10</x:v>
      </x:c>
      <x:c r="C711" s="13" t="str">
        <x:v>Этап 3 — Hooks, натяжение корпуса и первые шестёрки</x:v>
      </x:c>
      <x:c r="D711" s="138" t="str">
        <x:v>2026-11-13</x:v>
      </x:c>
      <x:c r="E711" s="13" t="str">
        <x:v>Пятница</x:v>
      </x:c>
      <x:c r="F711" s="13" t="str">
        <x:v>Дом / теория</x:v>
      </x:c>
      <x:c r="G711" s="44" t="n">
        <x:v>0.034027777777777775</x:v>
      </x:c>
      <x:c r="H711" s="44" t="n">
        <x:v>0.03680555555555556</x:v>
      </x:c>
      <x:c r="I711" s="32" t="n">
        <x:f>ROUND((H711-G711)*1440,0)</x:f>
        <x:v>4</x:v>
      </x:c>
      <x:c r="J711" s="13" t="str">
        <x:v>Журнал</x:v>
      </x:c>
      <x:c r="K711" s="13" t="str">
        <x:v>Запиши одну вещь, которая сработала на этой неделе, и одну, которую повторишь в воскресенье на лёгкой трассе.</x:v>
      </x:c>
      <x:c r="L711" s="13" t="str">
        <x:v>☐ Не начато</x:v>
      </x:c>
      <x:c r="M711" s="13" t="str">
        <x:v>Обязательно</x:v>
      </x:c>
      <x:c r="N711" s="13" t="str">
        <x:v>Без нагрузки</x:v>
      </x:c>
      <x:c r="O711" s="13" t="str"/>
      <x:c r="P711" s="13" t="str">
        <x:v>milestone_03_hooks_tension_first_sixes/week_10_2026-11-09/05_FRIDAY.md</x:v>
      </x:c>
      <x:c r="Q711" s="138" t="str">
        <x:v>Markdown</x:v>
      </x:c>
      <x:c r="R711" s="20" t="str"/>
    </x:row>
    <x:row r="712" ht="36" customHeight="1">
      <x:c r="A712" s="19" t="str">
        <x:v>W10-20261113-0711</x:v>
      </x:c>
      <x:c r="B712" s="13" t="n">
        <x:v>10</x:v>
      </x:c>
      <x:c r="C712" s="13" t="str">
        <x:v>Этап 3 — Hooks, натяжение корпуса и первые шестёрки</x:v>
      </x:c>
      <x:c r="D712" s="138" t="str">
        <x:v>2026-11-13</x:v>
      </x:c>
      <x:c r="E712" s="13" t="str">
        <x:v>Пятница</x:v>
      </x:c>
      <x:c r="F712" s="13" t="str">
        <x:v>Дом / теория</x:v>
      </x:c>
      <x:c r="G712" s="44" t="n">
        <x:v>0.03680555555555556</x:v>
      </x:c>
      <x:c r="H712" s="44" t="n">
        <x:v>0.03888888888888889</x:v>
      </x:c>
      <x:c r="I712" s="32" t="n">
        <x:f>ROUND((H712-G712)*1440,0)</x:f>
        <x:v>3</x:v>
      </x:c>
      <x:c r="J712" s="13" t="str">
        <x:v>Запрет лишней нагрузки</x:v>
      </x:c>
      <x:c r="K712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712" s="13" t="str">
        <x:v>☐ Не начато</x:v>
      </x:c>
      <x:c r="M712" s="13" t="str">
        <x:v>Обязательно</x:v>
      </x:c>
      <x:c r="N712" s="13" t="str">
        <x:v>Восстановление</x:v>
      </x:c>
      <x:c r="O712" s="13" t="str">
        <x:v>Общая пальцевая нагрузка уже получена в четверг.</x:v>
      </x:c>
      <x:c r="P712" s="13" t="str">
        <x:v>milestone_03_hooks_tension_first_sixes/week_10_2026-11-09/05_FRIDAY.md</x:v>
      </x:c>
      <x:c r="Q712" s="138" t="str">
        <x:v>Markdown</x:v>
      </x:c>
      <x:c r="R712" s="20" t="str"/>
    </x:row>
    <x:row r="713" ht="36" customHeight="1">
      <x:c r="A713" s="19" t="str">
        <x:v>W10-20261114-0712</x:v>
      </x:c>
      <x:c r="B713" s="13" t="n">
        <x:v>10</x:v>
      </x:c>
      <x:c r="C713" s="13" t="str">
        <x:v>Этап 3 — Hooks, натяжение корпуса и первые шестёрки</x:v>
      </x:c>
      <x:c r="D713" s="138" t="str">
        <x:v>2026-11-14</x:v>
      </x:c>
      <x:c r="E713" s="13" t="str">
        <x:v>Суббота</x:v>
      </x:c>
      <x:c r="F713" s="13" t="str">
        <x:v>Отдых / подготовка</x:v>
      </x:c>
      <x:c r="G713" s="44" t="n">
        <x:v>0</x:v>
      </x:c>
      <x:c r="H713" s="44" t="n">
        <x:v>0.003472222222222222</x:v>
      </x:c>
      <x:c r="I713" s="32" t="n">
        <x:f>ROUND((H713-G713)*1440,0)</x:f>
        <x:v>5</x:v>
      </x:c>
      <x:c r="J713" s="13" t="str">
        <x:v>Самопроверка</x:v>
      </x:c>
      <x:c r="K713" s="13" t="str">
        <x:v>Проверь кожу пальцев, ногти, плечо и колено. Никаких тестовых висов.</x:v>
      </x:c>
      <x:c r="L713" s="13" t="str">
        <x:v>☐ Не начато</x:v>
      </x:c>
      <x:c r="M713" s="13" t="str">
        <x:v>Обязательно</x:v>
      </x:c>
      <x:c r="N713" s="13" t="str">
        <x:v>Восстановление</x:v>
      </x:c>
      <x:c r="O713" s="13" t="str"/>
      <x:c r="P713" s="13" t="str">
        <x:v>milestone_03_hooks_tension_first_sixes/week_10_2026-11-09/06_SATURDAY.md</x:v>
      </x:c>
      <x:c r="Q713" s="138" t="str">
        <x:v>Markdown</x:v>
      </x:c>
      <x:c r="R713" s="20" t="str"/>
    </x:row>
    <x:row r="714" ht="36" customHeight="1">
      <x:c r="A714" s="19" t="str">
        <x:v>W10-20261114-0713</x:v>
      </x:c>
      <x:c r="B714" s="13" t="n">
        <x:v>10</x:v>
      </x:c>
      <x:c r="C714" s="13" t="str">
        <x:v>Этап 3 — Hooks, натяжение корпуса и первые шестёрки</x:v>
      </x:c>
      <x:c r="D714" s="138" t="str">
        <x:v>2026-11-14</x:v>
      </x:c>
      <x:c r="E714" s="13" t="str">
        <x:v>Суббота</x:v>
      </x:c>
      <x:c r="F714" s="13" t="str">
        <x:v>Отдых / подготовка</x:v>
      </x:c>
      <x:c r="G714" s="44" t="n">
        <x:v>0.003472222222222222</x:v>
      </x:c>
      <x:c r="H714" s="44" t="n">
        <x:v>0.010416666666666666</x:v>
      </x:c>
      <x:c r="I714" s="32" t="n">
        <x:f>ROUND((H714-G714)*1440,0)</x:f>
        <x:v>10</x:v>
      </x:c>
      <x:c r="J714" s="13" t="str">
        <x:v>Активное восстановление</x:v>
      </x:c>
      <x:c r="K714" s="13" t="str">
        <x:v>10 минут лёгкой прогулки или бытовой активности. Цель — восстановление, не тренировка.</x:v>
      </x:c>
      <x:c r="L714" s="13" t="str">
        <x:v>☐ Не начато</x:v>
      </x:c>
      <x:c r="M714" s="13" t="str">
        <x:v>Обязательно</x:v>
      </x:c>
      <x:c r="N714" s="13" t="str">
        <x:v>RPE 1–2</x:v>
      </x:c>
      <x:c r="O714" s="13" t="str"/>
      <x:c r="P714" s="13" t="str">
        <x:v>milestone_03_hooks_tension_first_sixes/week_10_2026-11-09/06_SATURDAY.md</x:v>
      </x:c>
      <x:c r="Q714" s="138" t="str">
        <x:v>Markdown</x:v>
      </x:c>
      <x:c r="R714" s="20" t="str"/>
    </x:row>
    <x:row r="715" ht="36" customHeight="1">
      <x:c r="A715" s="19" t="str">
        <x:v>W10-20261114-0714</x:v>
      </x:c>
      <x:c r="B715" s="13" t="n">
        <x:v>10</x:v>
      </x:c>
      <x:c r="C715" s="13" t="str">
        <x:v>Этап 3 — Hooks, натяжение корпуса и первые шестёрки</x:v>
      </x:c>
      <x:c r="D715" s="138" t="str">
        <x:v>2026-11-14</x:v>
      </x:c>
      <x:c r="E715" s="13" t="str">
        <x:v>Суббота</x:v>
      </x:c>
      <x:c r="F715" s="13" t="str">
        <x:v>Отдых / подготовка</x:v>
      </x:c>
      <x:c r="G715" s="44" t="n">
        <x:v>0.010416666666666666</x:v>
      </x:c>
      <x:c r="H715" s="44" t="n">
        <x:v>0.013888888888888888</x:v>
      </x:c>
      <x:c r="I715" s="32" t="n">
        <x:f>ROUND((H715-G715)*1440,0)</x:f>
        <x:v>5</x:v>
      </x:c>
      <x:c r="J715" s="13" t="str">
        <x:v>Уход за кожей</x:v>
      </x:c>
      <x:c r="K715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715" s="13" t="str">
        <x:v>☐ Не начато</x:v>
      </x:c>
      <x:c r="M715" s="13" t="str">
        <x:v>Опционально</x:v>
      </x:c>
      <x:c r="N715" s="13" t="str">
        <x:v>Без нагрузки</x:v>
      </x:c>
      <x:c r="O715" s="13" t="str">
        <x:v>Повреждённую/болезненную кожу не шлифовать.</x:v>
      </x:c>
      <x:c r="P715" s="13" t="str">
        <x:v>milestone_03_hooks_tension_first_sixes/week_10_2026-11-09/06_SATURDAY.md</x:v>
      </x:c>
      <x:c r="Q715" s="138" t="str">
        <x:v>Markdown</x:v>
      </x:c>
      <x:c r="R715" s="20" t="str"/>
    </x:row>
    <x:row r="716" ht="36" customHeight="1">
      <x:c r="A716" s="19" t="str">
        <x:v>W10-20261114-0715</x:v>
      </x:c>
      <x:c r="B716" s="13" t="n">
        <x:v>10</x:v>
      </x:c>
      <x:c r="C716" s="13" t="str">
        <x:v>Этап 3 — Hooks, натяжение корпуса и первые шестёрки</x:v>
      </x:c>
      <x:c r="D716" s="138" t="str">
        <x:v>2026-11-14</x:v>
      </x:c>
      <x:c r="E716" s="13" t="str">
        <x:v>Суббота</x:v>
      </x:c>
      <x:c r="F716" s="13" t="str">
        <x:v>Отдых / подготовка</x:v>
      </x:c>
      <x:c r="G716" s="44" t="n">
        <x:v>0.013888888888888888</x:v>
      </x:c>
      <x:c r="H716" s="44" t="n">
        <x:v>0.016666666666666666</x:v>
      </x:c>
      <x:c r="I716" s="32" t="n">
        <x:f>ROUND((H716-G716)*1440,0)</x:f>
        <x:v>4</x:v>
      </x:c>
      <x:c r="J716" s="13" t="str">
        <x:v>Подготовка</x:v>
      </x:c>
      <x:c r="K716" s="13" t="str">
        <x:v>Заряди телефон, освободи память для одного видео, положи щётку и магнезию.</x:v>
      </x:c>
      <x:c r="L716" s="13" t="str">
        <x:v>☐ Не начато</x:v>
      </x:c>
      <x:c r="M716" s="13" t="str">
        <x:v>Обязательно</x:v>
      </x:c>
      <x:c r="N716" s="13" t="str">
        <x:v>Без нагрузки</x:v>
      </x:c>
      <x:c r="O716" s="13" t="str"/>
      <x:c r="P716" s="13" t="str">
        <x:v>milestone_03_hooks_tension_first_sixes/week_10_2026-11-09/06_SATURDAY.md</x:v>
      </x:c>
      <x:c r="Q716" s="138" t="str">
        <x:v>Markdown</x:v>
      </x:c>
      <x:c r="R716" s="20" t="str"/>
    </x:row>
    <x:row r="717" ht="36" customHeight="1">
      <x:c r="A717" s="19" t="str">
        <x:v>W10-20261114-0716</x:v>
      </x:c>
      <x:c r="B717" s="13" t="n">
        <x:v>10</x:v>
      </x:c>
      <x:c r="C717" s="13" t="str">
        <x:v>Этап 3 — Hooks, натяжение корпуса и первые шестёрки</x:v>
      </x:c>
      <x:c r="D717" s="138" t="str">
        <x:v>2026-11-14</x:v>
      </x:c>
      <x:c r="E717" s="13" t="str">
        <x:v>Суббота</x:v>
      </x:c>
      <x:c r="F717" s="13" t="str">
        <x:v>Отдых / подготовка</x:v>
      </x:c>
      <x:c r="G717" s="44" t="n">
        <x:v>0.016666666666666666</x:v>
      </x:c>
      <x:c r="H717" s="44" t="n">
        <x:v>0.01875</x:v>
      </x:c>
      <x:c r="I717" s="32" t="n">
        <x:f>ROUND((H717-G717)*1440,0)</x:f>
        <x:v>3</x:v>
      </x:c>
      <x:c r="J717" s="13" t="str">
        <x:v>План воскресенья</x:v>
      </x:c>
      <x:c r="K717" s="13" t="str">
        <x:v>Выбери заранее одну лёгкую трассу под тему «Toe hook и bicycle». Воскресенье остаётся развлечением, не третьим тяжёлым днём.</x:v>
      </x:c>
      <x:c r="L717" s="13" t="str">
        <x:v>☐ Не начато</x:v>
      </x:c>
      <x:c r="M717" s="13" t="str">
        <x:v>Обязательно</x:v>
      </x:c>
      <x:c r="N717" s="13" t="str">
        <x:v>Без нагрузки</x:v>
      </x:c>
      <x:c r="O717" s="13" t="str"/>
      <x:c r="P717" s="13" t="str">
        <x:v>milestone_03_hooks_tension_first_sixes/week_10_2026-11-09/06_SATURDAY.md</x:v>
      </x:c>
      <x:c r="Q717" s="138" t="str">
        <x:v>Markdown</x:v>
      </x:c>
      <x:c r="R717" s="20" t="str"/>
    </x:row>
    <x:row r="718" ht="36" customHeight="1">
      <x:c r="A718" s="19" t="str">
        <x:v>W10-20261114-0717</x:v>
      </x:c>
      <x:c r="B718" s="13" t="n">
        <x:v>10</x:v>
      </x:c>
      <x:c r="C718" s="13" t="str">
        <x:v>Этап 3 — Hooks, натяжение корпуса и первые шестёрки</x:v>
      </x:c>
      <x:c r="D718" s="138" t="str">
        <x:v>2026-11-14</x:v>
      </x:c>
      <x:c r="E718" s="13" t="str">
        <x:v>Суббота</x:v>
      </x:c>
      <x:c r="F718" s="13" t="str">
        <x:v>Отдых / подготовка</x:v>
      </x:c>
      <x:c r="G718" s="44" t="n">
        <x:v>0.01875</x:v>
      </x:c>
      <x:c r="H718" s="44" t="n">
        <x:v>0.020833333333333332</x:v>
      </x:c>
      <x:c r="I718" s="32" t="n">
        <x:f>ROUND((H718-G718)*1440,0)</x:f>
        <x:v>3</x:v>
      </x:c>
      <x:c r="J718" s="13" t="str">
        <x:v>Сон / восстановление</x:v>
      </x:c>
      <x:c r="K718" s="13" t="str">
        <x:v>Запланируй обычный сон и нормальный приём пищи; не пытайся «разбудить хват» вечером.</x:v>
      </x:c>
      <x:c r="L718" s="13" t="str">
        <x:v>☐ Не начато</x:v>
      </x:c>
      <x:c r="M718" s="13" t="str">
        <x:v>Обязательно</x:v>
      </x:c>
      <x:c r="N718" s="13" t="str">
        <x:v>Восстановление</x:v>
      </x:c>
      <x:c r="O718" s="13" t="str"/>
      <x:c r="P718" s="13" t="str">
        <x:v>milestone_03_hooks_tension_first_sixes/week_10_2026-11-09/06_SATURDAY.md</x:v>
      </x:c>
      <x:c r="Q718" s="138" t="str">
        <x:v>Markdown</x:v>
      </x:c>
      <x:c r="R718" s="20" t="str"/>
    </x:row>
    <x:row r="719" ht="36" customHeight="1">
      <x:c r="A719" s="19" t="str">
        <x:v>W10-20261115-0718</x:v>
      </x:c>
      <x:c r="B719" s="13" t="n">
        <x:v>10</x:v>
      </x:c>
      <x:c r="C719" s="13" t="str">
        <x:v>Этап 3 — Hooks, натяжение корпуса и первые шестёрки</x:v>
      </x:c>
      <x:c r="D719" s="138" t="str">
        <x:v>2026-11-15</x:v>
      </x:c>
      <x:c r="E719" s="13" t="str">
        <x:v>Воскресенье</x:v>
      </x:c>
      <x:c r="F719" s="13" t="str">
        <x:v>Тренировка C — fun / опционально</x:v>
      </x:c>
      <x:c r="G719" s="44" t="n">
        <x:v>0</x:v>
      </x:c>
      <x:c r="H719" s="44" t="n">
        <x:v>0.0020833333333333333</x:v>
      </x:c>
      <x:c r="I719" s="32" t="n">
        <x:f>ROUND((H719-G719)*1440,0)</x:f>
        <x:v>3</x:v>
      </x:c>
      <x:c r="J719" s="13" t="str">
        <x:v>Выбор сценария</x:v>
      </x:c>
      <x:c r="K719" s="13" t="str">
        <x:v>Выбери один сценарий: (A) fun-сессия 75 минут в зале или (B) восстановительный день дома 25 минут. Не выполнять оба.</x:v>
      </x:c>
      <x:c r="L719" s="13" t="str">
        <x:v>☐ Не начато</x:v>
      </x:c>
      <x:c r="M719" s="13" t="str">
        <x:v>Выбрать один сценарий</x:v>
      </x:c>
      <x:c r="N719" s="13" t="str">
        <x:v>По состоянию</x:v>
      </x:c>
      <x:c r="O719" s="13" t="str"/>
      <x:c r="P719" s="13" t="str">
        <x:v>milestone_03_hooks_tension_first_sixes/week_10_2026-11-09/07_SUNDAY.md</x:v>
      </x:c>
      <x:c r="Q719" s="138" t="str">
        <x:v>Markdown</x:v>
      </x:c>
      <x:c r="R719" s="20" t="str"/>
    </x:row>
    <x:row r="720" ht="36" customHeight="1">
      <x:c r="A720" s="19" t="str">
        <x:v>W10-20261115-0719</x:v>
      </x:c>
      <x:c r="B720" s="13" t="n">
        <x:v>10</x:v>
      </x:c>
      <x:c r="C720" s="13" t="str">
        <x:v>Этап 3 — Hooks, натяжение корпуса и первые шестёрки</x:v>
      </x:c>
      <x:c r="D720" s="138" t="str">
        <x:v>2026-11-15</x:v>
      </x:c>
      <x:c r="E720" s="13" t="str">
        <x:v>Воскресенье</x:v>
      </x:c>
      <x:c r="F720" s="13" t="str">
        <x:v>Тренировка C — fun / опционально</x:v>
      </x:c>
      <x:c r="G720" s="44" t="n">
        <x:v>0.0020833333333333333</x:v>
      </x:c>
      <x:c r="H720" s="44" t="n">
        <x:v>0.005555555555555556</x:v>
      </x:c>
      <x:c r="I720" s="32" t="n">
        <x:f>ROUND((H720-G720)*1440,0)</x:f>
        <x:v>5</x:v>
      </x:c>
      <x:c r="J720" s="13" t="str">
        <x:v>Разминка A</x:v>
      </x:c>
      <x:c r="K720" s="13" t="str">
        <x:v>Если идёшь в зал: 5 минут поднятия температуры.</x:v>
      </x:c>
      <x:c r="L720" s="13" t="str">
        <x:v>☐ Не начато</x:v>
      </x:c>
      <x:c r="M720" s="13" t="str">
        <x:v>Опционально</x:v>
      </x:c>
      <x:c r="N720" s="13" t="str">
        <x:v>RPE 2–3</x:v>
      </x:c>
      <x:c r="O720" s="13" t="str"/>
      <x:c r="P720" s="13" t="str">
        <x:v>milestone_03_hooks_tension_first_sixes/week_10_2026-11-09/07_SUNDAY.md</x:v>
      </x:c>
      <x:c r="Q720" s="138" t="str">
        <x:v>Markdown</x:v>
      </x:c>
      <x:c r="R720" s="20" t="str"/>
    </x:row>
    <x:row r="721" ht="36" customHeight="1">
      <x:c r="A721" s="19" t="str">
        <x:v>W10-20261115-0720</x:v>
      </x:c>
      <x:c r="B721" s="13" t="n">
        <x:v>10</x:v>
      </x:c>
      <x:c r="C721" s="13" t="str">
        <x:v>Этап 3 — Hooks, натяжение корпуса и первые шестёрки</x:v>
      </x:c>
      <x:c r="D721" s="138" t="str">
        <x:v>2026-11-15</x:v>
      </x:c>
      <x:c r="E721" s="13" t="str">
        <x:v>Воскресенье</x:v>
      </x:c>
      <x:c r="F721" s="13" t="str">
        <x:v>Тренировка C — fun / опционально</x:v>
      </x:c>
      <x:c r="G721" s="44" t="n">
        <x:v>0.005555555555555556</x:v>
      </x:c>
      <x:c r="H721" s="44" t="n">
        <x:v>0.009027777777777777</x:v>
      </x:c>
      <x:c r="I721" s="32" t="n">
        <x:f>ROUND((H721-G721)*1440,0)</x:f>
        <x:v>5</x:v>
      </x:c>
      <x:c r="J721" s="13" t="str">
        <x:v>Разминка A</x:v>
      </x:c>
      <x:c r="K721" s="13" t="str">
        <x:v>Динамическая суставная разминка в безболезненном диапазоне; без отжиманий/press.</x:v>
      </x:c>
      <x:c r="L721" s="13" t="str">
        <x:v>☐ Не начато</x:v>
      </x:c>
      <x:c r="M721" s="13" t="str">
        <x:v>Опционально</x:v>
      </x:c>
      <x:c r="N721" s="13" t="str">
        <x:v>Очень легко</x:v>
      </x:c>
      <x:c r="O721" s="13" t="str">
        <x:v>Плечо: компрессия должна быть умеренной; пропусти широкие силовые pinches и резкие ловли. Не подворачивать голеностоп.</x:v>
      </x:c>
      <x:c r="P721" s="13" t="str">
        <x:v>milestone_03_hooks_tension_first_sixes/week_10_2026-11-09/07_SUNDAY.md</x:v>
      </x:c>
      <x:c r="Q721" s="138" t="str">
        <x:v>Markdown</x:v>
      </x:c>
      <x:c r="R721" s="20" t="str"/>
    </x:row>
    <x:row r="722" ht="36" customHeight="1">
      <x:c r="A722" s="19" t="str">
        <x:v>W10-20261115-0721</x:v>
      </x:c>
      <x:c r="B722" s="13" t="n">
        <x:v>10</x:v>
      </x:c>
      <x:c r="C722" s="13" t="str">
        <x:v>Этап 3 — Hooks, натяжение корпуса и первые шестёрки</x:v>
      </x:c>
      <x:c r="D722" s="138" t="str">
        <x:v>2026-11-15</x:v>
      </x:c>
      <x:c r="E722" s="13" t="str">
        <x:v>Воскресенье</x:v>
      </x:c>
      <x:c r="F722" s="13" t="str">
        <x:v>Тренировка C — fun / опционально</x:v>
      </x:c>
      <x:c r="G722" s="44" t="n">
        <x:v>0.009027777777777777</x:v>
      </x:c>
      <x:c r="H722" s="44" t="n">
        <x:v>0.013888888888888888</x:v>
      </x:c>
      <x:c r="I722" s="32" t="n">
        <x:f>ROUND((H722-G722)*1440,0)</x:f>
        <x:v>7</x:v>
      </x:c>
      <x:c r="J722" s="13" t="str">
        <x:v>Лёгкое лазание A</x:v>
      </x:c>
      <x:c r="K722" s="13" t="str">
        <x:v>3 очень лёгкие трассы 1–3 с постепенным увеличением сложности.</x:v>
      </x:c>
      <x:c r="L722" s="13" t="str">
        <x:v>☐ Не начато</x:v>
      </x:c>
      <x:c r="M722" s="13" t="str">
        <x:v>Опционально</x:v>
      </x:c>
      <x:c r="N722" s="13" t="str">
        <x:v>RPE 2–4</x:v>
      </x:c>
      <x:c r="O722" s="13" t="str"/>
      <x:c r="P722" s="13" t="str">
        <x:v>milestone_03_hooks_tension_first_sixes/week_10_2026-11-09/07_SUNDAY.md</x:v>
      </x:c>
      <x:c r="Q722" s="138" t="str">
        <x:v>Markdown</x:v>
      </x:c>
      <x:c r="R722" s="20" t="str"/>
    </x:row>
    <x:row r="723" ht="36" customHeight="1">
      <x:c r="A723" s="19" t="str">
        <x:v>W10-20261115-0722</x:v>
      </x:c>
      <x:c r="B723" s="13" t="n">
        <x:v>10</x:v>
      </x:c>
      <x:c r="C723" s="13" t="str">
        <x:v>Этап 3 — Hooks, натяжение корпуса и первые шестёрки</x:v>
      </x:c>
      <x:c r="D723" s="138" t="str">
        <x:v>2026-11-15</x:v>
      </x:c>
      <x:c r="E723" s="13" t="str">
        <x:v>Воскресенье</x:v>
      </x:c>
      <x:c r="F723" s="13" t="str">
        <x:v>Тренировка C — fun / опционально</x:v>
      </x:c>
      <x:c r="G723" s="44" t="n">
        <x:v>0.013888888888888888</x:v>
      </x:c>
      <x:c r="H723" s="44" t="n">
        <x:v>0.020833333333333332</x:v>
      </x:c>
      <x:c r="I723" s="32" t="n">
        <x:f>ROUND((H723-G723)*1440,0)</x:f>
        <x:v>10</x:v>
      </x:c>
      <x:c r="J723" s="13" t="str">
        <x:v>Технический праймер A</x:v>
      </x:c>
      <x:c r="K723" s="13" t="str">
        <x:v>На одной лёгкой трассе дважды повтори «Toe hook и bicycle». Критерий: Три контролируемых повторения без срыва стопы и без усиления плечевой нагрузки.</x:v>
      </x:c>
      <x:c r="L723" s="13" t="str">
        <x:v>☐ Не начато</x:v>
      </x:c>
      <x:c r="M723" s="13" t="str">
        <x:v>Опционально</x:v>
      </x:c>
      <x:c r="N723" s="13" t="str">
        <x:v>RPE 3–4</x:v>
      </x:c>
      <x:c r="O723" s="13" t="str">
        <x:v>Широкую компрессию и резкие ловли исключить. Голеностоп остаётся нейтральным.</x:v>
      </x:c>
      <x:c r="P723" s="13" t="str">
        <x:v>milestone_03_hooks_tension_first_sixes/week_10_2026-11-09/07_SUNDAY.md</x:v>
      </x:c>
      <x:c r="Q723" s="138" t="str">
        <x:v>Markdown</x:v>
      </x:c>
      <x:c r="R723" s="20" t="str"/>
    </x:row>
    <x:row r="724" ht="36" customHeight="1">
      <x:c r="A724" s="19" t="str">
        <x:v>W10-20261115-0723</x:v>
      </x:c>
      <x:c r="B724" s="13" t="n">
        <x:v>10</x:v>
      </x:c>
      <x:c r="C724" s="13" t="str">
        <x:v>Этап 3 — Hooks, натяжение корпуса и первые шестёрки</x:v>
      </x:c>
      <x:c r="D724" s="138" t="str">
        <x:v>2026-11-15</x:v>
      </x:c>
      <x:c r="E724" s="13" t="str">
        <x:v>Воскресенье</x:v>
      </x:c>
      <x:c r="F724" s="13" t="str">
        <x:v>Тренировка C — fun / опционально</x:v>
      </x:c>
      <x:c r="G724" s="44" t="n">
        <x:v>0.020833333333333332</x:v>
      </x:c>
      <x:c r="H724" s="44" t="n">
        <x:v>0.03819444444444445</x:v>
      </x:c>
      <x:c r="I724" s="32" t="n">
        <x:f>ROUND((H724-G724)*1440,0)</x:f>
        <x:v>25</x:v>
      </x:c>
      <x:c r="J724" s="13" t="str">
        <x:v>Свободное лазание A</x:v>
      </x:c>
      <x:c r="K724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724" s="13" t="str">
        <x:v>☐ Не начато</x:v>
      </x:c>
      <x:c r="M724" s="13" t="str">
        <x:v>Опционально</x:v>
      </x:c>
      <x:c r="N724" s="13" t="str">
        <x:v>RPE 4–7</x:v>
      </x:c>
      <x:c r="O724" s="13" t="str">
        <x:v>Не превращать блок в круг на выносливость.</x:v>
      </x:c>
      <x:c r="P724" s="13" t="str">
        <x:v>milestone_03_hooks_tension_first_sixes/week_10_2026-11-09/07_SUNDAY.md</x:v>
      </x:c>
      <x:c r="Q724" s="138" t="str">
        <x:v>Markdown</x:v>
      </x:c>
      <x:c r="R724" s="20" t="str"/>
    </x:row>
    <x:row r="725" ht="36" customHeight="1">
      <x:c r="A725" s="19" t="str">
        <x:v>W10-20261115-0724</x:v>
      </x:c>
      <x:c r="B725" s="13" t="n">
        <x:v>10</x:v>
      </x:c>
      <x:c r="C725" s="13" t="str">
        <x:v>Этап 3 — Hooks, натяжение корпуса и первые шестёрки</x:v>
      </x:c>
      <x:c r="D725" s="138" t="str">
        <x:v>2026-11-15</x:v>
      </x:c>
      <x:c r="E725" s="13" t="str">
        <x:v>Воскресенье</x:v>
      </x:c>
      <x:c r="F725" s="13" t="str">
        <x:v>Тренировка C — fun / опционально</x:v>
      </x:c>
      <x:c r="G725" s="44" t="n">
        <x:v>0.03819444444444445</x:v>
      </x:c>
      <x:c r="H725" s="44" t="n">
        <x:v>0.04583333333333333</x:v>
      </x:c>
      <x:c r="I725" s="32" t="n">
        <x:f>ROUND((H725-G725)*1440,0)</x:f>
        <x:v>11</x:v>
      </x:c>
      <x:c r="J725" s="13" t="str">
        <x:v>Свежая сложная попытка A</x:v>
      </x:c>
      <x:c r="K725" s="13" t="str">
        <x:v>Только если всё зелёное: попробуй одну рабочую пятёрку или дружелюбную шестёрку по критериям недели — Пятёрка с toe hook или противодавлением ног + та же/похожая шестёрка недели 9. Максимум 2 попытки, отдых 4 минуты.</x:v>
      </x:c>
      <x:c r="L725" s="13" t="str">
        <x:v>☐ Не начато</x:v>
      </x:c>
      <x:c r="M725" s="13" t="str">
        <x:v>Опционально</x:v>
      </x:c>
      <x:c r="N725" s="13" t="str">
        <x:v>RPE 7–8, без отказа</x:v>
      </x:c>
      <x:c r="O725" s="13" t="str">
        <x:v>Плечо: компрессия должна быть умеренной; пропусти широкие силовые pinches и резкие ловли. Не подворачивать голеностоп.</x:v>
      </x:c>
      <x:c r="P725" s="13" t="str">
        <x:v>milestone_03_hooks_tension_first_sixes/week_10_2026-11-09/07_SUNDAY.md</x:v>
      </x:c>
      <x:c r="Q725" s="138" t="str">
        <x:v>Markdown</x:v>
      </x:c>
      <x:c r="R725" s="20" t="str"/>
    </x:row>
    <x:row r="726" ht="36" customHeight="1">
      <x:c r="A726" s="19" t="str">
        <x:v>W10-20261115-0725</x:v>
      </x:c>
      <x:c r="B726" s="13" t="n">
        <x:v>10</x:v>
      </x:c>
      <x:c r="C726" s="13" t="str">
        <x:v>Этап 3 — Hooks, натяжение корпуса и первые шестёрки</x:v>
      </x:c>
      <x:c r="D726" s="138" t="str">
        <x:v>2026-11-15</x:v>
      </x:c>
      <x:c r="E726" s="13" t="str">
        <x:v>Воскресенье</x:v>
      </x:c>
      <x:c r="F726" s="13" t="str">
        <x:v>Тренировка C — fun / опционально</x:v>
      </x:c>
      <x:c r="G726" s="44" t="n">
        <x:v>0.04583333333333333</x:v>
      </x:c>
      <x:c r="H726" s="44" t="n">
        <x:v>0.05</x:v>
      </x:c>
      <x:c r="I726" s="32" t="n">
        <x:f>ROUND((H726-G726)*1440,0)</x:f>
        <x:v>6</x:v>
      </x:c>
      <x:c r="J726" s="13" t="str">
        <x:v>Лёгкий финал A</x:v>
      </x:c>
      <x:c r="K726" s="13" t="str">
        <x:v>Одна любимая лёгкая трасса или спокойный спуск. Фингерборда и capacity-круга нет.</x:v>
      </x:c>
      <x:c r="L726" s="13" t="str">
        <x:v>☐ Не начато</x:v>
      </x:c>
      <x:c r="M726" s="13" t="str">
        <x:v>Опционально</x:v>
      </x:c>
      <x:c r="N726" s="13" t="str">
        <x:v>RPE 2–3</x:v>
      </x:c>
      <x:c r="O726" s="13" t="str"/>
      <x:c r="P726" s="13" t="str">
        <x:v>milestone_03_hooks_tension_first_sixes/week_10_2026-11-09/07_SUNDAY.md</x:v>
      </x:c>
      <x:c r="Q726" s="138" t="str">
        <x:v>Markdown</x:v>
      </x:c>
      <x:c r="R726" s="20" t="str"/>
    </x:row>
    <x:row r="727" ht="36" customHeight="1">
      <x:c r="A727" s="19" t="str">
        <x:v>W10-20261115-0726</x:v>
      </x:c>
      <x:c r="B727" s="13" t="n">
        <x:v>10</x:v>
      </x:c>
      <x:c r="C727" s="13" t="str">
        <x:v>Этап 3 — Hooks, натяжение корпуса и первые шестёрки</x:v>
      </x:c>
      <x:c r="D727" s="138" t="str">
        <x:v>2026-11-15</x:v>
      </x:c>
      <x:c r="E727" s="13" t="str">
        <x:v>Воскресенье</x:v>
      </x:c>
      <x:c r="F727" s="13" t="str">
        <x:v>Тренировка C — fun / опционально</x:v>
      </x:c>
      <x:c r="G727" s="44" t="n">
        <x:v>0.05</x:v>
      </x:c>
      <x:c r="H727" s="44" t="n">
        <x:v>0.052083333333333336</x:v>
      </x:c>
      <x:c r="I727" s="32" t="n">
        <x:f>ROUND((H727-G727)*1440,0)</x:f>
        <x:v>3</x:v>
      </x:c>
      <x:c r="J727" s="13" t="str">
        <x:v>Журнал A</x:v>
      </x:c>
      <x:c r="K727" s="13" t="str">
        <x:v>Запиши только 3 вещи: что было весело, один удачный технический момент, состояние пальцев после сессии.</x:v>
      </x:c>
      <x:c r="L727" s="13" t="str">
        <x:v>☐ Не начато</x:v>
      </x:c>
      <x:c r="M727" s="13" t="str">
        <x:v>Опционально</x:v>
      </x:c>
      <x:c r="N727" s="13" t="str">
        <x:v>Без нагрузки</x:v>
      </x:c>
      <x:c r="O727" s="13" t="str"/>
      <x:c r="P727" s="13" t="str">
        <x:v>milestone_03_hooks_tension_first_sixes/week_10_2026-11-09/07_SUNDAY.md</x:v>
      </x:c>
      <x:c r="Q727" s="138" t="str">
        <x:v>Markdown</x:v>
      </x:c>
      <x:c r="R727" s="20" t="str"/>
    </x:row>
    <x:row r="728" ht="36" customHeight="1">
      <x:c r="A728" s="19" t="str">
        <x:v>W10-20261115-0727</x:v>
      </x:c>
      <x:c r="B728" s="13" t="n">
        <x:v>10</x:v>
      </x:c>
      <x:c r="C728" s="13" t="str">
        <x:v>Этап 3 — Hooks, натяжение корпуса и первые шестёрки</x:v>
      </x:c>
      <x:c r="D728" s="138" t="str">
        <x:v>2026-11-15</x:v>
      </x:c>
      <x:c r="E728" s="13" t="str">
        <x:v>Воскресенье</x:v>
      </x:c>
      <x:c r="F728" s="13" t="str">
        <x:v>Восстановление B — дома</x:v>
      </x:c>
      <x:c r="G728" s="44" t="n">
        <x:v>0</x:v>
      </x:c>
      <x:c r="H728" s="44" t="n">
        <x:v>0.010416666666666666</x:v>
      </x:c>
      <x:c r="I728" s="32" t="n">
        <x:f>ROUND((H728-G728)*1440,0)</x:f>
        <x:v>15</x:v>
      </x:c>
      <x:c r="J728" s="13" t="str">
        <x:v>Прогулка B</x:v>
      </x:c>
      <x:c r="K728" s="13" t="str">
        <x:v>Если не идёшь в зал: 15 минут спокойной прогулки.</x:v>
      </x:c>
      <x:c r="L728" s="13" t="str">
        <x:v>☐ Не начато</x:v>
      </x:c>
      <x:c r="M728" s="13" t="str">
        <x:v>Опционально</x:v>
      </x:c>
      <x:c r="N728" s="13" t="str">
        <x:v>RPE 1–2</x:v>
      </x:c>
      <x:c r="O728" s="13" t="str"/>
      <x:c r="P728" s="13" t="str">
        <x:v>milestone_03_hooks_tension_first_sixes/week_10_2026-11-09/07_SUNDAY.md</x:v>
      </x:c>
      <x:c r="Q728" s="138" t="str">
        <x:v>Markdown</x:v>
      </x:c>
      <x:c r="R728" s="20" t="str"/>
    </x:row>
    <x:row r="729" ht="36" customHeight="1">
      <x:c r="A729" s="19" t="str">
        <x:v>W10-20261115-0728</x:v>
      </x:c>
      <x:c r="B729" s="13" t="n">
        <x:v>10</x:v>
      </x:c>
      <x:c r="C729" s="13" t="str">
        <x:v>Этап 3 — Hooks, натяжение корпуса и первые шестёрки</x:v>
      </x:c>
      <x:c r="D729" s="138" t="str">
        <x:v>2026-11-15</x:v>
      </x:c>
      <x:c r="E729" s="13" t="str">
        <x:v>Воскресенье</x:v>
      </x:c>
      <x:c r="F729" s="13" t="str">
        <x:v>Восстановление B — дома</x:v>
      </x:c>
      <x:c r="G729" s="44" t="n">
        <x:v>0.010416666666666666</x:v>
      </x:c>
      <x:c r="H729" s="44" t="n">
        <x:v>0.015277777777777777</x:v>
      </x:c>
      <x:c r="I729" s="32" t="n">
        <x:f>ROUND((H729-G729)*1440,0)</x:f>
        <x:v>7</x:v>
      </x:c>
      <x:c r="J729" s="13" t="str">
        <x:v>Визуализация B</x:v>
      </x:c>
      <x:c r="K729" s="13" t="str">
        <x:v>7 минут: мысленно повтори тему недели «Toe hook и bicycle» и одну трассу четверга.</x:v>
      </x:c>
      <x:c r="L729" s="13" t="str">
        <x:v>☐ Не начато</x:v>
      </x:c>
      <x:c r="M729" s="13" t="str">
        <x:v>Опционально</x:v>
      </x:c>
      <x:c r="N729" s="13" t="str">
        <x:v>Без нагрузки</x:v>
      </x:c>
      <x:c r="O729" s="13" t="str"/>
      <x:c r="P729" s="13" t="str">
        <x:v>milestone_03_hooks_tension_first_sixes/week_10_2026-11-09/07_SUNDAY.md</x:v>
      </x:c>
      <x:c r="Q729" s="138" t="str">
        <x:v>Markdown</x:v>
      </x:c>
      <x:c r="R729" s="20" t="str"/>
    </x:row>
    <x:row r="730" ht="36" customHeight="1">
      <x:c r="A730" s="19" t="str">
        <x:v>W10-20261115-0729</x:v>
      </x:c>
      <x:c r="B730" s="13" t="n">
        <x:v>10</x:v>
      </x:c>
      <x:c r="C730" s="13" t="str">
        <x:v>Этап 3 — Hooks, натяжение корпуса и первые шестёрки</x:v>
      </x:c>
      <x:c r="D730" s="138" t="str">
        <x:v>2026-11-15</x:v>
      </x:c>
      <x:c r="E730" s="13" t="str">
        <x:v>Воскресенье</x:v>
      </x:c>
      <x:c r="F730" s="13" t="str">
        <x:v>Восстановление B — дома</x:v>
      </x:c>
      <x:c r="G730" s="44" t="n">
        <x:v>0.015277777777777777</x:v>
      </x:c>
      <x:c r="H730" s="44" t="n">
        <x:v>0.017361111111111112</x:v>
      </x:c>
      <x:c r="I730" s="32" t="n">
        <x:f>ROUND((H730-G730)*1440,0)</x:f>
        <x:v>3</x:v>
      </x:c>
      <x:c r="J730" s="13" t="str">
        <x:v>Итог недели B</x:v>
      </x:c>
      <x:c r="K730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730" s="13" t="str">
        <x:v>☐ Не начато</x:v>
      </x:c>
      <x:c r="M730" s="13" t="str">
        <x:v>Опционально</x:v>
      </x:c>
      <x:c r="N730" s="13" t="str">
        <x:v>Без нагрузки</x:v>
      </x:c>
      <x:c r="O730" s="13" t="str"/>
      <x:c r="P730" s="13" t="str">
        <x:v>milestone_03_hooks_tension_first_sixes/week_10_2026-11-09/07_SUNDAY.md</x:v>
      </x:c>
      <x:c r="Q730" s="138" t="str">
        <x:v>Markdown</x:v>
      </x:c>
      <x:c r="R730" s="20" t="str"/>
    </x:row>
    <x:row r="731" ht="36" customHeight="1">
      <x:c r="A731" s="19" t="str">
        <x:v>W11-20261116-0730</x:v>
      </x:c>
      <x:c r="B731" s="13" t="n">
        <x:v>11</x:v>
      </x:c>
      <x:c r="C731" s="13" t="str">
        <x:v>Этап 3 — Hooks, натяжение корпуса и первые шестёрки</x:v>
      </x:c>
      <x:c r="D731" s="138" t="str">
        <x:v>2026-11-16</x:v>
      </x:c>
      <x:c r="E731" s="13" t="str">
        <x:v>Понедельник</x:v>
      </x:c>
      <x:c r="F731" s="13" t="str">
        <x:v>Дом / теория</x:v>
      </x:c>
      <x:c r="G731" s="44" t="n">
        <x:v>0</x:v>
      </x:c>
      <x:c r="H731" s="44" t="n">
        <x:v>0.0020833333333333333</x:v>
      </x:c>
      <x:c r="I731" s="32" t="n">
        <x:f>ROUND((H731-G731)*1440,0)</x:f>
        <x:v>3</x:v>
      </x:c>
      <x:c r="J731" s="13" t="str">
        <x:v>Самопроверка</x:v>
      </x:c>
      <x:c r="K731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731" s="13" t="str">
        <x:v>☐ Не начато</x:v>
      </x:c>
      <x:c r="M731" s="13" t="str">
        <x:v>Обязательно</x:v>
      </x:c>
      <x:c r="N731" s="13" t="str">
        <x:v>Очень легко</x:v>
      </x:c>
      <x:c r="O731" s="13" t="str">
        <x:v>Не диагностируй травму самостоятельно; используй правила из документа безопасности.</x:v>
      </x:c>
      <x:c r="P731" s="13" t="str">
        <x:v>milestone_03_hooks_tension_first_sixes/week_11_2026-11-16/01_MONDAY.md</x:v>
      </x:c>
      <x:c r="Q731" s="138" t="str">
        <x:v>Markdown</x:v>
      </x:c>
      <x:c r="R731" s="20" t="str"/>
    </x:row>
    <x:row r="732" ht="36" customHeight="1">
      <x:c r="A732" s="19" t="str">
        <x:v>W11-20261116-0731</x:v>
      </x:c>
      <x:c r="B732" s="13" t="n">
        <x:v>11</x:v>
      </x:c>
      <x:c r="C732" s="13" t="str">
        <x:v>Этап 3 — Hooks, натяжение корпуса и первые шестёрки</x:v>
      </x:c>
      <x:c r="D732" s="138" t="str">
        <x:v>2026-11-16</x:v>
      </x:c>
      <x:c r="E732" s="13" t="str">
        <x:v>Понедельник</x:v>
      </x:c>
      <x:c r="F732" s="13" t="str">
        <x:v>Дом / теория</x:v>
      </x:c>
      <x:c r="G732" s="44" t="n">
        <x:v>0.0020833333333333333</x:v>
      </x:c>
      <x:c r="H732" s="44" t="n">
        <x:v>0.005555555555555556</x:v>
      </x:c>
      <x:c r="I732" s="32" t="n">
        <x:f>ROUND((H732-G732)*1440,0)</x:f>
        <x:v>5</x:v>
      </x:c>
      <x:c r="J732" s="13" t="str">
        <x:v>Планирование</x:v>
      </x:c>
      <x:c r="K732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«Стопа остаётся стабильной, бедро разворачивается; глубина минимальна, достаточна только для движения.»</x:v>
      </x:c>
      <x:c r="L732" s="13" t="str">
        <x:v>☐ Не начато</x:v>
      </x:c>
      <x:c r="M732" s="13" t="str">
        <x:v>Обязательно</x:v>
      </x:c>
      <x:c r="N732" s="13" t="str">
        <x:v>Без нагрузки</x:v>
      </x:c>
      <x:c r="O732" s="13" t="str"/>
      <x:c r="P732" s="13" t="str">
        <x:v>milestone_03_hooks_tension_first_sixes/week_11_2026-11-16/01_MONDAY.md</x:v>
      </x:c>
      <x:c r="Q732" s="138" t="str">
        <x:v>Markdown</x:v>
      </x:c>
      <x:c r="R732" s="20" t="str"/>
    </x:row>
    <x:row r="733" ht="36" customHeight="1">
      <x:c r="A733" s="19" t="str">
        <x:v>W11-20261116-0732</x:v>
      </x:c>
      <x:c r="B733" s="13" t="n">
        <x:v>11</x:v>
      </x:c>
      <x:c r="C733" s="13" t="str">
        <x:v>Этап 3 — Hooks, натяжение корпуса и первые шестёрки</x:v>
      </x:c>
      <x:c r="D733" s="138" t="str">
        <x:v>2026-11-16</x:v>
      </x:c>
      <x:c r="E733" s="13" t="str">
        <x:v>Понедельник</x:v>
      </x:c>
      <x:c r="F733" s="13" t="str">
        <x:v>Дом / теория</x:v>
      </x:c>
      <x:c r="G733" s="44" t="n">
        <x:v>0.005555555555555556</x:v>
      </x:c>
      <x:c r="H733" s="44" t="n">
        <x:v>0.011111111111111112</x:v>
      </x:c>
      <x:c r="I733" s="32" t="n">
        <x:f>ROUND((H733-G733)*1440,0)</x:f>
        <x:v>8</x:v>
      </x:c>
      <x:c r="J733" s="13" t="str">
        <x:v>Теория</x:v>
      </x:c>
      <x:c r="K733" s="13" t="str">
        <x:v>Посмотри/прочитай [R12: BMC — How to use a drop knee when climbing](https://thebmc.co.uk/en/how-to-use-a-drop-knee-when-climbing-video). Задача: Мелкий drop knee с контролируемым разворотом; для правого колена только без боли и без глубокого скручивания.</x:v>
      </x:c>
      <x:c r="L733" s="13" t="str">
        <x:v>☐ Не начато</x:v>
      </x:c>
      <x:c r="M733" s="13" t="str">
        <x:v>Обязательно</x:v>
      </x:c>
      <x:c r="N733" s="13" t="str">
        <x:v>Без нагрузки</x:v>
      </x:c>
      <x:c r="O733" s="13" t="str"/>
      <x:c r="P733" s="13" t="str">
        <x:v>milestone_03_hooks_tension_first_sixes/week_11_2026-11-16/01_MONDAY.md</x:v>
      </x:c>
      <x:c r="Q733" s="138" t="str">
        <x:v>Markdown</x:v>
      </x:c>
      <x:c r="R733" s="20" t="str"/>
    </x:row>
    <x:row r="734" ht="36" customHeight="1">
      <x:c r="A734" s="19" t="str">
        <x:v>W11-20261116-0733</x:v>
      </x:c>
      <x:c r="B734" s="13" t="n">
        <x:v>11</x:v>
      </x:c>
      <x:c r="C734" s="13" t="str">
        <x:v>Этап 3 — Hooks, натяжение корпуса и первые шестёрки</x:v>
      </x:c>
      <x:c r="D734" s="138" t="str">
        <x:v>2026-11-16</x:v>
      </x:c>
      <x:c r="E734" s="13" t="str">
        <x:v>Понедельник</x:v>
      </x:c>
      <x:c r="F734" s="13" t="str">
        <x:v>Дом / теория</x:v>
      </x:c>
      <x:c r="G734" s="44" t="n">
        <x:v>0.011111111111111112</x:v>
      </x:c>
      <x:c r="H734" s="44" t="n">
        <x:v>0.014583333333333334</x:v>
      </x:c>
      <x:c r="I734" s="32" t="n">
        <x:f>ROUND((H734-G734)*1440,0)</x:f>
        <x:v>5</x:v>
      </x:c>
      <x:c r="J734" s="13" t="str">
        <x:v>Конспект</x:v>
      </x:c>
      <x:c r="K734" s="13" t="str">
        <x:v>Запиши ровно 3 пункта: (1) что делать ногами/тазом; (2) что не делать руками; (3) какой признак успеха проверишь на стене для темы «Неглубокий drop knee».</x:v>
      </x:c>
      <x:c r="L734" s="13" t="str">
        <x:v>☐ Не начато</x:v>
      </x:c>
      <x:c r="M734" s="13" t="str">
        <x:v>Обязательно</x:v>
      </x:c>
      <x:c r="N734" s="13" t="str">
        <x:v>Без нагрузки</x:v>
      </x:c>
      <x:c r="O734" s="13" t="str"/>
      <x:c r="P734" s="13" t="str">
        <x:v>milestone_03_hooks_tension_first_sixes/week_11_2026-11-16/01_MONDAY.md</x:v>
      </x:c>
      <x:c r="Q734" s="138" t="str">
        <x:v>Markdown</x:v>
      </x:c>
      <x:c r="R734" s="20" t="str"/>
    </x:row>
    <x:row r="735" ht="36" customHeight="1">
      <x:c r="A735" s="19" t="str">
        <x:v>W11-20261116-0734</x:v>
      </x:c>
      <x:c r="B735" s="13" t="n">
        <x:v>11</x:v>
      </x:c>
      <x:c r="C735" s="13" t="str">
        <x:v>Этап 3 — Hooks, натяжение корпуса и первые шестёрки</x:v>
      </x:c>
      <x:c r="D735" s="138" t="str">
        <x:v>2026-11-16</x:v>
      </x:c>
      <x:c r="E735" s="13" t="str">
        <x:v>Понедельник</x:v>
      </x:c>
      <x:c r="F735" s="13" t="str">
        <x:v>Дом / теория</x:v>
      </x:c>
      <x:c r="G735" s="44" t="n">
        <x:v>0.014583333333333334</x:v>
      </x:c>
      <x:c r="H735" s="44" t="n">
        <x:v>0.022916666666666665</x:v>
      </x:c>
      <x:c r="I735" s="32" t="n">
        <x:f>ROUND((H735-G735)*1440,0)</x:f>
        <x:v>12</x:v>
      </x:c>
      <x:c r="J735" s="13" t="str">
        <x:v>Домашняя мобильность</x:v>
      </x:c>
      <x:c r="K735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735" s="13" t="str">
        <x:v>☐ Не начато</x:v>
      </x:c>
      <x:c r="M735" s="13" t="str">
        <x:v>Обязательно</x:v>
      </x:c>
      <x:c r="N735" s="13" t="str">
        <x:v>RPE 2–3</x:v>
      </x:c>
      <x:c r="O735" s="13" t="str">
        <x:v>Никаких скручиваний через боль. Плечом не отталкивайся от стены; касание только для равновесия.</x:v>
      </x:c>
      <x:c r="P735" s="13" t="str">
        <x:v>milestone_03_hooks_tension_first_sixes/week_11_2026-11-16/01_MONDAY.md</x:v>
      </x:c>
      <x:c r="Q735" s="138" t="str">
        <x:v>Markdown</x:v>
      </x:c>
      <x:c r="R735" s="20" t="str"/>
    </x:row>
    <x:row r="736" ht="36" customHeight="1">
      <x:c r="A736" s="19" t="str">
        <x:v>W11-20261116-0735</x:v>
      </x:c>
      <x:c r="B736" s="13" t="n">
        <x:v>11</x:v>
      </x:c>
      <x:c r="C736" s="13" t="str">
        <x:v>Этап 3 — Hooks, натяжение корпуса и первые шестёрки</x:v>
      </x:c>
      <x:c r="D736" s="138" t="str">
        <x:v>2026-11-16</x:v>
      </x:c>
      <x:c r="E736" s="13" t="str">
        <x:v>Понедельник</x:v>
      </x:c>
      <x:c r="F736" s="13" t="str">
        <x:v>Дом / теория</x:v>
      </x:c>
      <x:c r="G736" s="44" t="n">
        <x:v>0.022916666666666665</x:v>
      </x:c>
      <x:c r="H736" s="44" t="n">
        <x:v>0.03680555555555556</x:v>
      </x:c>
      <x:c r="I736" s="32" t="n">
        <x:f>ROUND((H736-G736)*1440,0)</x:f>
        <x:v>20</x:v>
      </x:c>
      <x:c r="J736" s="13" t="str">
        <x:v>Физиотерапия</x:v>
      </x:c>
      <x:c r="K736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736" s="13" t="str">
        <x:v>☐ Не начато</x:v>
      </x:c>
      <x:c r="M736" s="13" t="str">
        <x:v>По назначению</x:v>
      </x:c>
      <x:c r="N736" s="13" t="str">
        <x:v>По назначению физиотерапевта</x:v>
      </x:c>
      <x:c r="O736" s="13" t="str">
        <x:v>Любые указания физиотерапевта имеют приоритет над этим планом.</x:v>
      </x:c>
      <x:c r="P736" s="13" t="str">
        <x:v>milestone_03_hooks_tension_first_sixes/week_11_2026-11-16/01_MONDAY.md</x:v>
      </x:c>
      <x:c r="Q736" s="138" t="str">
        <x:v>Markdown</x:v>
      </x:c>
      <x:c r="R736" s="20" t="str"/>
    </x:row>
    <x:row r="737" ht="36" customHeight="1">
      <x:c r="A737" s="19" t="str">
        <x:v>W11-20261116-0736</x:v>
      </x:c>
      <x:c r="B737" s="13" t="n">
        <x:v>11</x:v>
      </x:c>
      <x:c r="C737" s="13" t="str">
        <x:v>Этап 3 — Hooks, натяжение корпуса и первые шестёрки</x:v>
      </x:c>
      <x:c r="D737" s="138" t="str">
        <x:v>2026-11-16</x:v>
      </x:c>
      <x:c r="E737" s="13" t="str">
        <x:v>Понедельник</x:v>
      </x:c>
      <x:c r="F737" s="13" t="str">
        <x:v>Дом / теория</x:v>
      </x:c>
      <x:c r="G737" s="44" t="n">
        <x:v>0.03680555555555556</x:v>
      </x:c>
      <x:c r="H737" s="44" t="n">
        <x:v>0.03888888888888889</x:v>
      </x:c>
      <x:c r="I737" s="32" t="n">
        <x:f>ROUND((H737-G737)*1440,0)</x:f>
        <x:v>3</x:v>
      </x:c>
      <x:c r="J737" s="13" t="str">
        <x:v>Подготовка</x:v>
      </x:c>
      <x:c r="K737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737" s="13" t="str">
        <x:v>☐ Не начато</x:v>
      </x:c>
      <x:c r="M737" s="13" t="str">
        <x:v>Обязательно</x:v>
      </x:c>
      <x:c r="N737" s="13" t="str">
        <x:v>Без нагрузки</x:v>
      </x:c>
      <x:c r="O737" s="13" t="str">
        <x:v>Кольца и турник — только в рамках программы физиотерапевта.</x:v>
      </x:c>
      <x:c r="P737" s="13" t="str">
        <x:v>milestone_03_hooks_tension_first_sixes/week_11_2026-11-16/01_MONDAY.md</x:v>
      </x:c>
      <x:c r="Q737" s="138" t="str">
        <x:v>Markdown</x:v>
      </x:c>
      <x:c r="R737" s="20" t="str"/>
    </x:row>
    <x:row r="738" ht="36" customHeight="1">
      <x:c r="A738" s="19" t="str">
        <x:v>W11-20261117-0737</x:v>
      </x:c>
      <x:c r="B738" s="13" t="n">
        <x:v>11</x:v>
      </x:c>
      <x:c r="C738" s="13" t="str">
        <x:v>Этап 3 — Hooks, натяжение корпуса и первые шестёрки</x:v>
      </x:c>
      <x:c r="D738" s="138" t="str">
        <x:v>2026-11-17</x:v>
      </x:c>
      <x:c r="E738" s="13" t="str">
        <x:v>Вторник</x:v>
      </x:c>
      <x:c r="F738" s="13" t="str">
        <x:v>Тренировка A — техника/объём</x:v>
      </x:c>
      <x:c r="G738" s="44" t="n">
        <x:v>0</x:v>
      </x:c>
      <x:c r="H738" s="44" t="n">
        <x:v>0.0020833333333333333</x:v>
      </x:c>
      <x:c r="I738" s="32" t="n">
        <x:f>ROUND((H738-G738)*1440,0)</x:f>
        <x:v>3</x:v>
      </x:c>
      <x:c r="J738" s="13" t="str">
        <x:v>Самопроверка</x:v>
      </x:c>
      <x:c r="K738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738" s="13" t="str">
        <x:v>☐ Не начато</x:v>
      </x:c>
      <x:c r="M738" s="13" t="str">
        <x:v>Обязательно</x:v>
      </x:c>
      <x:c r="N738" s="13" t="str">
        <x:v>Без нагрузки</x:v>
      </x:c>
      <x:c r="O738" s="13" t="str">
        <x:v>Красный флаг = не начинать пальцевую нагрузку.</x:v>
      </x:c>
      <x:c r="P738" s="13" t="str">
        <x:v>milestone_03_hooks_tension_first_sixes/week_11_2026-11-16/02_TUESDAY.md</x:v>
      </x:c>
      <x:c r="Q738" s="138" t="str">
        <x:v>Markdown</x:v>
      </x:c>
      <x:c r="R738" s="20" t="str"/>
    </x:row>
    <x:row r="739" ht="36" customHeight="1">
      <x:c r="A739" s="19" t="str">
        <x:v>W11-20261117-0738</x:v>
      </x:c>
      <x:c r="B739" s="13" t="n">
        <x:v>11</x:v>
      </x:c>
      <x:c r="C739" s="13" t="str">
        <x:v>Этап 3 — Hooks, натяжение корпуса и первые шестёрки</x:v>
      </x:c>
      <x:c r="D739" s="138" t="str">
        <x:v>2026-11-17</x:v>
      </x:c>
      <x:c r="E739" s="13" t="str">
        <x:v>Вторник</x:v>
      </x:c>
      <x:c r="F739" s="13" t="str">
        <x:v>Тренировка A — техника/объём</x:v>
      </x:c>
      <x:c r="G739" s="44" t="n">
        <x:v>0.0020833333333333333</x:v>
      </x:c>
      <x:c r="H739" s="44" t="n">
        <x:v>0.005555555555555556</x:v>
      </x:c>
      <x:c r="I739" s="32" t="n">
        <x:f>ROUND((H739-G739)*1440,0)</x:f>
        <x:v>5</x:v>
      </x:c>
      <x:c r="J739" s="13" t="str">
        <x:v>Разминка</x:v>
      </x:c>
      <x:c r="K739" s="13" t="str">
        <x:v>Подними температуру: быстрая ходьба, лестница или лёгкий велотренажёр 5 минут.</x:v>
      </x:c>
      <x:c r="L739" s="13" t="str">
        <x:v>☐ Не начато</x:v>
      </x:c>
      <x:c r="M739" s="13" t="str">
        <x:v>Обязательно</x:v>
      </x:c>
      <x:c r="N739" s="13" t="str">
        <x:v>RPE 2–3</x:v>
      </x:c>
      <x:c r="O739" s="13" t="str"/>
      <x:c r="P739" s="13" t="str">
        <x:v>milestone_03_hooks_tension_first_sixes/week_11_2026-11-16/02_TUESDAY.md</x:v>
      </x:c>
      <x:c r="Q739" s="138" t="str">
        <x:v>Markdown</x:v>
      </x:c>
      <x:c r="R739" s="20" t="str"/>
    </x:row>
    <x:row r="740" ht="36" customHeight="1">
      <x:c r="A740" s="19" t="str">
        <x:v>W11-20261117-0739</x:v>
      </x:c>
      <x:c r="B740" s="13" t="n">
        <x:v>11</x:v>
      </x:c>
      <x:c r="C740" s="13" t="str">
        <x:v>Этап 3 — Hooks, натяжение корпуса и первые шестёрки</x:v>
      </x:c>
      <x:c r="D740" s="138" t="str">
        <x:v>2026-11-17</x:v>
      </x:c>
      <x:c r="E740" s="13" t="str">
        <x:v>Вторник</x:v>
      </x:c>
      <x:c r="F740" s="13" t="str">
        <x:v>Тренировка A — техника/объём</x:v>
      </x:c>
      <x:c r="G740" s="44" t="n">
        <x:v>0.005555555555555556</x:v>
      </x:c>
      <x:c r="H740" s="44" t="n">
        <x:v>0.009027777777777777</x:v>
      </x:c>
      <x:c r="I740" s="32" t="n">
        <x:f>ROUND((H740-G740)*1440,0)</x:f>
        <x:v>5</x:v>
      </x:c>
      <x:c r="J740" s="13" t="str">
        <x:v>Разминка</x:v>
      </x:c>
      <x:c r="K740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740" s="13" t="str">
        <x:v>☐ Не начато</x:v>
      </x:c>
      <x:c r="M740" s="13" t="str">
        <x:v>Обязательно</x:v>
      </x:c>
      <x:c r="N740" s="13" t="str">
        <x:v>Очень легко</x:v>
      </x:c>
      <x:c r="O740" s="13" t="str">
        <x:v>Не делай press/отжимания и движения, которые раздражают плечо.</x:v>
      </x:c>
      <x:c r="P740" s="13" t="str">
        <x:v>milestone_03_hooks_tension_first_sixes/week_11_2026-11-16/02_TUESDAY.md</x:v>
      </x:c>
      <x:c r="Q740" s="138" t="str">
        <x:v>Markdown</x:v>
      </x:c>
      <x:c r="R740" s="20" t="str"/>
    </x:row>
    <x:row r="741" ht="36" customHeight="1">
      <x:c r="A741" s="19" t="str">
        <x:v>W11-20261117-0740</x:v>
      </x:c>
      <x:c r="B741" s="13" t="n">
        <x:v>11</x:v>
      </x:c>
      <x:c r="C741" s="13" t="str">
        <x:v>Этап 3 — Hooks, натяжение корпуса и первые шестёрки</x:v>
      </x:c>
      <x:c r="D741" s="138" t="str">
        <x:v>2026-11-17</x:v>
      </x:c>
      <x:c r="E741" s="13" t="str">
        <x:v>Вторник</x:v>
      </x:c>
      <x:c r="F741" s="13" t="str">
        <x:v>Тренировка A — техника/объём</x:v>
      </x:c>
      <x:c r="G741" s="44" t="n">
        <x:v>0.009027777777777777</x:v>
      </x:c>
      <x:c r="H741" s="44" t="n">
        <x:v>0.011805555555555555</x:v>
      </x:c>
      <x:c r="I741" s="32" t="n">
        <x:f>ROUND((H741-G741)*1440,0)</x:f>
        <x:v>4</x:v>
      </x:c>
      <x:c r="J741" s="13" t="str">
        <x:v>Разминка пальцев</x:v>
      </x:c>
      <x:c r="K741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741" s="13" t="str">
        <x:v>☐ Не начато</x:v>
      </x:c>
      <x:c r="M741" s="13" t="str">
        <x:v>Обязательно</x:v>
      </x:c>
      <x:c r="N741" s="13" t="str">
        <x:v>Очень легко</x:v>
      </x:c>
      <x:c r="O741" s="13" t="str"/>
      <x:c r="P741" s="13" t="str">
        <x:v>milestone_03_hooks_tension_first_sixes/week_11_2026-11-16/02_TUESDAY.md</x:v>
      </x:c>
      <x:c r="Q741" s="138" t="str">
        <x:v>Markdown</x:v>
      </x:c>
      <x:c r="R741" s="20" t="str"/>
    </x:row>
    <x:row r="742" ht="36" customHeight="1">
      <x:c r="A742" s="19" t="str">
        <x:v>W11-20261117-0741</x:v>
      </x:c>
      <x:c r="B742" s="13" t="n">
        <x:v>11</x:v>
      </x:c>
      <x:c r="C742" s="13" t="str">
        <x:v>Этап 3 — Hooks, натяжение корпуса и первые шестёрки</x:v>
      </x:c>
      <x:c r="D742" s="138" t="str">
        <x:v>2026-11-17</x:v>
      </x:c>
      <x:c r="E742" s="13" t="str">
        <x:v>Вторник</x:v>
      </x:c>
      <x:c r="F742" s="13" t="str">
        <x:v>Тренировка A — техника/объём</x:v>
      </x:c>
      <x:c r="G742" s="44" t="n">
        <x:v>0.011805555555555555</x:v>
      </x:c>
      <x:c r="H742" s="44" t="n">
        <x:v>0.014583333333333334</x:v>
      </x:c>
      <x:c r="I742" s="32" t="n">
        <x:f>ROUND((H742-G742)*1440,0)</x:f>
        <x:v>4</x:v>
      </x:c>
      <x:c r="J742" s="13" t="str">
        <x:v>Разминочное лазание</x:v>
      </x:c>
      <x:c r="K742" s="13" t="str">
        <x:v>Пройди 2 очень лёгкие трассы уровня 1–2; двигайся медленно, спускайся по зацепам.</x:v>
      </x:c>
      <x:c r="L742" s="13" t="str">
        <x:v>☐ Не начато</x:v>
      </x:c>
      <x:c r="M742" s="13" t="str">
        <x:v>Обязательно</x:v>
      </x:c>
      <x:c r="N742" s="13" t="str">
        <x:v>RPE 2–3</x:v>
      </x:c>
      <x:c r="O742" s="13" t="str">
        <x:v>Финиш с обязательным болезненным mantle/press пропусти.</x:v>
      </x:c>
      <x:c r="P742" s="13" t="str">
        <x:v>milestone_03_hooks_tension_first_sixes/week_11_2026-11-16/02_TUESDAY.md</x:v>
      </x:c>
      <x:c r="Q742" s="138" t="str">
        <x:v>Markdown</x:v>
      </x:c>
      <x:c r="R742" s="20" t="str"/>
    </x:row>
    <x:row r="743" ht="36" customHeight="1">
      <x:c r="A743" s="19" t="str">
        <x:v>W11-20261117-0742</x:v>
      </x:c>
      <x:c r="B743" s="13" t="n">
        <x:v>11</x:v>
      </x:c>
      <x:c r="C743" s="13" t="str">
        <x:v>Этап 3 — Hooks, натяжение корпуса и первые шестёрки</x:v>
      </x:c>
      <x:c r="D743" s="138" t="str">
        <x:v>2026-11-17</x:v>
      </x:c>
      <x:c r="E743" s="13" t="str">
        <x:v>Вторник</x:v>
      </x:c>
      <x:c r="F743" s="13" t="str">
        <x:v>Тренировка A — техника/объём</x:v>
      </x:c>
      <x:c r="G743" s="44" t="n">
        <x:v>0.014583333333333334</x:v>
      </x:c>
      <x:c r="H743" s="44" t="n">
        <x:v>0.017361111111111112</x:v>
      </x:c>
      <x:c r="I743" s="32" t="n">
        <x:f>ROUND((H743-G743)*1440,0)</x:f>
        <x:v>4</x:v>
      </x:c>
      <x:c r="J743" s="13" t="str">
        <x:v>Разминочное лазание</x:v>
      </x:c>
      <x:c r="K743" s="13" t="str">
        <x:v>Пройди 2 трассы уровня 2–3, затем сделай 2–3 движения на комфортной четвёрке. Между ними 45–60 секунд.</x:v>
      </x:c>
      <x:c r="L743" s="13" t="str">
        <x:v>☐ Не начато</x:v>
      </x:c>
      <x:c r="M743" s="13" t="str">
        <x:v>Обязательно</x:v>
      </x:c>
      <x:c r="N743" s="13" t="str">
        <x:v>RPE 3–4</x:v>
      </x:c>
      <x:c r="O743" s="13" t="str">
        <x:v>Разминка не должна утомить пальцы.</x:v>
      </x:c>
      <x:c r="P743" s="13" t="str">
        <x:v>milestone_03_hooks_tension_first_sixes/week_11_2026-11-16/02_TUESDAY.md</x:v>
      </x:c>
      <x:c r="Q743" s="138" t="str">
        <x:v>Markdown</x:v>
      </x:c>
      <x:c r="R743" s="20" t="str"/>
    </x:row>
    <x:row r="744" ht="36" customHeight="1">
      <x:c r="A744" s="19" t="str">
        <x:v>W11-20261117-0743</x:v>
      </x:c>
      <x:c r="B744" s="13" t="n">
        <x:v>11</x:v>
      </x:c>
      <x:c r="C744" s="13" t="str">
        <x:v>Этап 3 — Hooks, натяжение корпуса и первые шестёрки</x:v>
      </x:c>
      <x:c r="D744" s="138" t="str">
        <x:v>2026-11-17</x:v>
      </x:c>
      <x:c r="E744" s="13" t="str">
        <x:v>Вторник</x:v>
      </x:c>
      <x:c r="F744" s="13" t="str">
        <x:v>Тренировка A — техника/объём</x:v>
      </x:c>
      <x:c r="G744" s="44" t="n">
        <x:v>0.017361111111111112</x:v>
      </x:c>
      <x:c r="H744" s="44" t="n">
        <x:v>0.02013888888888889</x:v>
      </x:c>
      <x:c r="I744" s="32" t="n">
        <x:f>ROUND((H744-G744)*1440,0)</x:f>
        <x:v>4</x:v>
      </x:c>
      <x:c r="J744" s="13" t="str">
        <x:v>Выбор трасс</x:v>
      </x:c>
      <x:c r="K744" s="13" t="str">
        <x:v>Найди трассы для упражнения: 2–3 лёгкие трассы на вертикали/лёгком нависании, где drop knee можно выполнить мелко и без нагрузки на правое колено.</x:v>
      </x:c>
      <x:c r="L744" s="13" t="str">
        <x:v>☐ Не начато</x:v>
      </x:c>
      <x:c r="M744" s="13" t="str">
        <x:v>Обязательно</x:v>
      </x:c>
      <x:c r="N744" s="13" t="str">
        <x:v>Без нагрузки</x:v>
      </x:c>
      <x:c r="O744" s="13" t="str">
        <x:v>Колено: острая/вращательная боль — немедленно прекратить drop knee. Не докручивать положение руками.</x:v>
      </x:c>
      <x:c r="P744" s="13" t="str">
        <x:v>milestone_03_hooks_tension_first_sixes/week_11_2026-11-16/02_TUESDAY.md</x:v>
      </x:c>
      <x:c r="Q744" s="138" t="str">
        <x:v>Markdown</x:v>
      </x:c>
      <x:c r="R744" s="20" t="str"/>
    </x:row>
    <x:row r="745" ht="36" customHeight="1">
      <x:c r="A745" s="19" t="str">
        <x:v>W11-20261117-0744</x:v>
      </x:c>
      <x:c r="B745" s="13" t="n">
        <x:v>11</x:v>
      </x:c>
      <x:c r="C745" s="13" t="str">
        <x:v>Этап 3 — Hooks, натяжение корпуса и первые шестёрки</x:v>
      </x:c>
      <x:c r="D745" s="138" t="str">
        <x:v>2026-11-17</x:v>
      </x:c>
      <x:c r="E745" s="13" t="str">
        <x:v>Вторник</x:v>
      </x:c>
      <x:c r="F745" s="13" t="str">
        <x:v>Тренировка A — техника/объём</x:v>
      </x:c>
      <x:c r="G745" s="44" t="n">
        <x:v>0.02013888888888889</x:v>
      </x:c>
      <x:c r="H745" s="44" t="n">
        <x:v>0.03194444444444444</x:v>
      </x:c>
      <x:c r="I745" s="32" t="n">
        <x:f>ROUND((H745-G745)*1440,0)</x:f>
        <x:v>17</x:v>
      </x:c>
      <x:c r="J745" s="13" t="str">
        <x:v>Технический блок</x:v>
      </x:c>
      <x:c r="K745" s="13" t="str">
        <x:v>Отработай «Неглубокий drop knee». Шаги: Поставь стопу и сначала слегка разгрузи её. Разверни бедро к стене и мягко опусти колено внутрь. Остановись задолго до крайнего диапазона.</x:v>
      </x:c>
      <x:c r="L745" s="13" t="str">
        <x:v>☐ Не начато</x:v>
      </x:c>
      <x:c r="M745" s="13" t="str">
        <x:v>Обязательно</x:v>
      </x:c>
      <x:c r="N745" s="13" t="str">
        <x:v>RPE 3–5</x:v>
      </x:c>
      <x:c r="O745" s="13" t="str">
        <x:v>Острая или вращательная боль в правом колене = немедленно прекратить этот вариант.</x:v>
      </x:c>
      <x:c r="P745" s="13" t="str">
        <x:v>milestone_03_hooks_tension_first_sixes/week_11_2026-11-16/02_TUESDAY.md</x:v>
      </x:c>
      <x:c r="Q745" s="138" t="str">
        <x:v>Markdown</x:v>
      </x:c>
      <x:c r="R745" s="20" t="str"/>
    </x:row>
    <x:row r="746" ht="36" customHeight="1">
      <x:c r="A746" s="19" t="str">
        <x:v>W11-20261117-0745</x:v>
      </x:c>
      <x:c r="B746" s="13" t="n">
        <x:v>11</x:v>
      </x:c>
      <x:c r="C746" s="13" t="str">
        <x:v>Этап 3 — Hooks, натяжение корпуса и первые шестёрки</x:v>
      </x:c>
      <x:c r="D746" s="138" t="str">
        <x:v>2026-11-17</x:v>
      </x:c>
      <x:c r="E746" s="13" t="str">
        <x:v>Вторник</x:v>
      </x:c>
      <x:c r="F746" s="13" t="str">
        <x:v>Тренировка A — техника/объём</x:v>
      </x:c>
      <x:c r="G746" s="44" t="n">
        <x:v>0.03194444444444444</x:v>
      </x:c>
      <x:c r="H746" s="44" t="n">
        <x:v>0.035416666666666666</x:v>
      </x:c>
      <x:c r="I746" s="32" t="n">
        <x:f>ROUND((H746-G746)*1440,0)</x:f>
        <x:v>5</x:v>
      </x:c>
      <x:c r="J746" s="13" t="str">
        <x:v>Обратная связь</x:v>
      </x:c>
      <x:c r="K746" s="13" t="str">
        <x:v>Повтори лучшую лёгкую трассу и проверь критерий успеха: Reach становится короче, а колено и плечо остаются полностью спокойными.</x:v>
      </x:c>
      <x:c r="L746" s="13" t="str">
        <x:v>☐ Не начато</x:v>
      </x:c>
      <x:c r="M746" s="13" t="str">
        <x:v>Обязательно</x:v>
      </x:c>
      <x:c r="N746" s="13" t="str">
        <x:v>RPE 4–5</x:v>
      </x:c>
      <x:c r="O746" s="13" t="str"/>
      <x:c r="P746" s="13" t="str">
        <x:v>milestone_03_hooks_tension_first_sixes/week_11_2026-11-16/02_TUESDAY.md</x:v>
      </x:c>
      <x:c r="Q746" s="138" t="str">
        <x:v>Markdown</x:v>
      </x:c>
      <x:c r="R746" s="20" t="str"/>
    </x:row>
    <x:row r="747" ht="36" customHeight="1">
      <x:c r="A747" s="19" t="str">
        <x:v>W11-20261117-0746</x:v>
      </x:c>
      <x:c r="B747" s="13" t="n">
        <x:v>11</x:v>
      </x:c>
      <x:c r="C747" s="13" t="str">
        <x:v>Этап 3 — Hooks, натяжение корпуса и первые шестёрки</x:v>
      </x:c>
      <x:c r="D747" s="138" t="str">
        <x:v>2026-11-17</x:v>
      </x:c>
      <x:c r="E747" s="13" t="str">
        <x:v>Вторник</x:v>
      </x:c>
      <x:c r="F747" s="13" t="str">
        <x:v>Тренировка A — техника/объём</x:v>
      </x:c>
      <x:c r="G747" s="44" t="n">
        <x:v>0.035416666666666666</x:v>
      </x:c>
      <x:c r="H747" s="44" t="n">
        <x:v>0.04583333333333333</x:v>
      </x:c>
      <x:c r="I747" s="32" t="n">
        <x:f>ROUND((H747-G747)*1440,0)</x:f>
        <x:v>15</x:v>
      </x:c>
      <x:c r="J747" s="13" t="str">
        <x:v>Качественный объём</x:v>
      </x:c>
      <x:c r="K747" s="13" t="str">
        <x:v>Попробуй 2–3 четвёрки, максимум 2 попытки на каждую, отдых 2:00. На неудаче назови техническую причину.</x:v>
      </x:c>
      <x:c r="L747" s="13" t="str">
        <x:v>☐ Не начато</x:v>
      </x:c>
      <x:c r="M747" s="13" t="str">
        <x:v>Обязательно</x:v>
      </x:c>
      <x:c r="N747" s="13" t="str">
        <x:v>RPE 6–7</x:v>
      </x:c>
      <x:c r="O747" s="13" t="str">
        <x:v>Не выбирать подряд три трассы на одинаково маленьких кромках.</x:v>
      </x:c>
      <x:c r="P747" s="13" t="str">
        <x:v>milestone_03_hooks_tension_first_sixes/week_11_2026-11-16/02_TUESDAY.md</x:v>
      </x:c>
      <x:c r="Q747" s="138" t="str">
        <x:v>Markdown</x:v>
      </x:c>
      <x:c r="R747" s="20" t="str"/>
    </x:row>
    <x:row r="748" ht="36" customHeight="1">
      <x:c r="A748" s="19" t="str">
        <x:v>W11-20261117-0747</x:v>
      </x:c>
      <x:c r="B748" s="13" t="n">
        <x:v>11</x:v>
      </x:c>
      <x:c r="C748" s="13" t="str">
        <x:v>Этап 3 — Hooks, натяжение корпуса и первые шестёрки</x:v>
      </x:c>
      <x:c r="D748" s="138" t="str">
        <x:v>2026-11-17</x:v>
      </x:c>
      <x:c r="E748" s="13" t="str">
        <x:v>Вторник</x:v>
      </x:c>
      <x:c r="F748" s="13" t="str">
        <x:v>Тренировка A — техника/объём</x:v>
      </x:c>
      <x:c r="G748" s="44" t="n">
        <x:v>0.04583333333333333</x:v>
      </x:c>
      <x:c r="H748" s="44" t="n">
        <x:v>0.052083333333333336</x:v>
      </x:c>
      <x:c r="I748" s="32" t="n">
        <x:f>ROUND((H748-G748)*1440,0)</x:f>
        <x:v>9</x:v>
      </x:c>
      <x:c r="J748" s="13" t="str">
        <x:v>Рабочая пятёрка</x:v>
      </x:c>
      <x:c r="K748" s="13" t="str">
        <x:v>Одна пятёрка, максимум 2 попытки, отдых 3:00. Цель — применить тему недели, а не обязательно закрыть.</x:v>
      </x:c>
      <x:c r="L748" s="13" t="str">
        <x:v>☐ Не начато</x:v>
      </x:c>
      <x:c r="M748" s="13" t="str">
        <x:v>Обязательно</x:v>
      </x:c>
      <x:c r="N748" s="13" t="str">
        <x:v>RPE 7–8</x:v>
      </x:c>
      <x:c r="O748" s="13" t="str">
        <x:v>Колено: острая/вращательная боль — немедленно прекратить drop knee. Не докручивать положение руками.</x:v>
      </x:c>
      <x:c r="P748" s="13" t="str">
        <x:v>milestone_03_hooks_tension_first_sixes/week_11_2026-11-16/02_TUESDAY.md</x:v>
      </x:c>
      <x:c r="Q748" s="138" t="str">
        <x:v>Markdown</x:v>
      </x:c>
      <x:c r="R748" s="20" t="str"/>
    </x:row>
    <x:row r="749" ht="36" customHeight="1">
      <x:c r="A749" s="19" t="str">
        <x:v>W11-20261117-0748</x:v>
      </x:c>
      <x:c r="B749" s="13" t="n">
        <x:v>11</x:v>
      </x:c>
      <x:c r="C749" s="13" t="str">
        <x:v>Этап 3 — Hooks, натяжение корпуса и первые шестёрки</x:v>
      </x:c>
      <x:c r="D749" s="138" t="str">
        <x:v>2026-11-17</x:v>
      </x:c>
      <x:c r="E749" s="13" t="str">
        <x:v>Вторник</x:v>
      </x:c>
      <x:c r="F749" s="13" t="str">
        <x:v>Тренировка A — техника/объём</x:v>
      </x:c>
      <x:c r="G749" s="44" t="n">
        <x:v>0.052083333333333336</x:v>
      </x:c>
      <x:c r="H749" s="44" t="n">
        <x:v>0.058333333333333334</x:v>
      </x:c>
      <x:c r="I749" s="32" t="n">
        <x:f>ROUND((H749-G749)*1440,0)</x:f>
        <x:v>9</x:v>
      </x:c>
      <x:c r="J749" s="13" t="str">
        <x:v>Лёгкая выносливость</x:v>
      </x:c>
      <x:c r="K749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749" s="13" t="str">
        <x:v>☐ Не начато</x:v>
      </x:c>
      <x:c r="M749" s="13" t="str">
        <x:v>Обязательно</x:v>
      </x:c>
      <x:c r="N749" s="13" t="str">
        <x:v>Памп максимум 4/10</x:v>
      </x:c>
      <x:c r="O749" s="13" t="str">
        <x:v>Остановиться при неточной постановке ног или разжимании пальцев.</x:v>
      </x:c>
      <x:c r="P749" s="13" t="str">
        <x:v>milestone_03_hooks_tension_first_sixes/week_11_2026-11-16/02_TUESDAY.md</x:v>
      </x:c>
      <x:c r="Q749" s="138" t="str">
        <x:v>Markdown</x:v>
      </x:c>
      <x:c r="R749" s="20" t="str"/>
    </x:row>
    <x:row r="750" ht="36" customHeight="1">
      <x:c r="A750" s="19" t="str">
        <x:v>W11-20261117-0749</x:v>
      </x:c>
      <x:c r="B750" s="13" t="n">
        <x:v>11</x:v>
      </x:c>
      <x:c r="C750" s="13" t="str">
        <x:v>Этап 3 — Hooks, натяжение корпуса и первые шестёрки</x:v>
      </x:c>
      <x:c r="D750" s="138" t="str">
        <x:v>2026-11-17</x:v>
      </x:c>
      <x:c r="E750" s="13" t="str">
        <x:v>Вторник</x:v>
      </x:c>
      <x:c r="F750" s="13" t="str">
        <x:v>Тренировка A — техника/объём</x:v>
      </x:c>
      <x:c r="G750" s="44" t="n">
        <x:v>0.058333333333333334</x:v>
      </x:c>
      <x:c r="H750" s="44" t="n">
        <x:v>0.06041666666666667</x:v>
      </x:c>
      <x:c r="I750" s="32" t="n">
        <x:f>ROUND((H750-G750)*1440,0)</x:f>
        <x:v>3</x:v>
      </x:c>
      <x:c r="J750" s="13" t="str">
        <x:v>Завершение</x:v>
      </x:c>
      <x:c r="K750" s="13" t="str">
        <x:v>Очень лёгкий спуск/ходьба и спокойное встряхивание кистей.</x:v>
      </x:c>
      <x:c r="L750" s="13" t="str">
        <x:v>☐ Не начато</x:v>
      </x:c>
      <x:c r="M750" s="13" t="str">
        <x:v>Обязательно</x:v>
      </x:c>
      <x:c r="N750" s="13" t="str">
        <x:v>RPE 1–2</x:v>
      </x:c>
      <x:c r="O750" s="13" t="str"/>
      <x:c r="P750" s="13" t="str">
        <x:v>milestone_03_hooks_tension_first_sixes/week_11_2026-11-16/02_TUESDAY.md</x:v>
      </x:c>
      <x:c r="Q750" s="138" t="str">
        <x:v>Markdown</x:v>
      </x:c>
      <x:c r="R750" s="20" t="str"/>
    </x:row>
    <x:row r="751" ht="36" customHeight="1">
      <x:c r="A751" s="19" t="str">
        <x:v>W11-20261117-0750</x:v>
      </x:c>
      <x:c r="B751" s="13" t="n">
        <x:v>11</x:v>
      </x:c>
      <x:c r="C751" s="13" t="str">
        <x:v>Этап 3 — Hooks, натяжение корпуса и первые шестёрки</x:v>
      </x:c>
      <x:c r="D751" s="138" t="str">
        <x:v>2026-11-17</x:v>
      </x:c>
      <x:c r="E751" s="13" t="str">
        <x:v>Вторник</x:v>
      </x:c>
      <x:c r="F751" s="13" t="str">
        <x:v>Тренировка A — техника/объём</x:v>
      </x:c>
      <x:c r="G751" s="44" t="n">
        <x:v>0.06041666666666667</x:v>
      </x:c>
      <x:c r="H751" s="44" t="n">
        <x:v>0.0625</x:v>
      </x:c>
      <x:c r="I751" s="32" t="n">
        <x:f>ROUND((H751-G751)*1440,0)</x:f>
        <x:v>3</x:v>
      </x:c>
      <x:c r="J751" s="13" t="str">
        <x:v>Журнал</x:v>
      </x:c>
      <x:c r="K751" s="13" t="str">
        <x:v>Запиши: Сравнить один и тот же reach лицом к стене и с неглубоким drop knee. Также отметь минуту первой просадки хвата.</x:v>
      </x:c>
      <x:c r="L751" s="13" t="str">
        <x:v>☐ Не начато</x:v>
      </x:c>
      <x:c r="M751" s="13" t="str">
        <x:v>Обязательно</x:v>
      </x:c>
      <x:c r="N751" s="13" t="str">
        <x:v>Без нагрузки</x:v>
      </x:c>
      <x:c r="O751" s="13" t="str"/>
      <x:c r="P751" s="13" t="str">
        <x:v>milestone_03_hooks_tension_first_sixes/week_11_2026-11-16/02_TUESDAY.md</x:v>
      </x:c>
      <x:c r="Q751" s="138" t="str">
        <x:v>Markdown</x:v>
      </x:c>
      <x:c r="R751" s="20" t="str"/>
    </x:row>
    <x:row r="752" ht="36" customHeight="1">
      <x:c r="A752" s="19" t="str">
        <x:v>W11-20261118-0751</x:v>
      </x:c>
      <x:c r="B752" s="13" t="n">
        <x:v>11</x:v>
      </x:c>
      <x:c r="C752" s="13" t="str">
        <x:v>Этап 3 — Hooks, натяжение корпуса и первые шестёрки</x:v>
      </x:c>
      <x:c r="D752" s="138" t="str">
        <x:v>2026-11-18</x:v>
      </x:c>
      <x:c r="E752" s="13" t="str">
        <x:v>Среда</x:v>
      </x:c>
      <x:c r="F752" s="13" t="str">
        <x:v>Восстановление / видео</x:v>
      </x:c>
      <x:c r="G752" s="44" t="n">
        <x:v>0</x:v>
      </x:c>
      <x:c r="H752" s="44" t="n">
        <x:v>0.006944444444444444</x:v>
      </x:c>
      <x:c r="I752" s="32" t="n">
        <x:f>ROUND((H752-G752)*1440,0)</x:f>
        <x:v>10</x:v>
      </x:c>
      <x:c r="J752" s="13" t="str">
        <x:v>Восстановление</x:v>
      </x:c>
      <x:c r="K752" s="13" t="str">
        <x:v>10 минут спокойной ходьбы. Руки расслаблены; это не тренировка выносливости.</x:v>
      </x:c>
      <x:c r="L752" s="13" t="str">
        <x:v>☐ Не начато</x:v>
      </x:c>
      <x:c r="M752" s="13" t="str">
        <x:v>Обязательно</x:v>
      </x:c>
      <x:c r="N752" s="13" t="str">
        <x:v>RPE 1–2</x:v>
      </x:c>
      <x:c r="O752" s="13" t="str"/>
      <x:c r="P752" s="13" t="str">
        <x:v>milestone_03_hooks_tension_first_sixes/week_11_2026-11-16/03_WEDNESDAY.md</x:v>
      </x:c>
      <x:c r="Q752" s="138" t="str">
        <x:v>Markdown</x:v>
      </x:c>
      <x:c r="R752" s="20" t="str"/>
    </x:row>
    <x:row r="753" ht="36" customHeight="1">
      <x:c r="A753" s="19" t="str">
        <x:v>W11-20261118-0752</x:v>
      </x:c>
      <x:c r="B753" s="13" t="n">
        <x:v>11</x:v>
      </x:c>
      <x:c r="C753" s="13" t="str">
        <x:v>Этап 3 — Hooks, натяжение корпуса и первые шестёрки</x:v>
      </x:c>
      <x:c r="D753" s="138" t="str">
        <x:v>2026-11-18</x:v>
      </x:c>
      <x:c r="E753" s="13" t="str">
        <x:v>Среда</x:v>
      </x:c>
      <x:c r="F753" s="13" t="str">
        <x:v>Восстановление / видео</x:v>
      </x:c>
      <x:c r="G753" s="44" t="n">
        <x:v>0.006944444444444444</x:v>
      </x:c>
      <x:c r="H753" s="44" t="n">
        <x:v>0.009027777777777777</x:v>
      </x:c>
      <x:c r="I753" s="32" t="n">
        <x:f>ROUND((H753-G753)*1440,0)</x:f>
        <x:v>3</x:v>
      </x:c>
      <x:c r="J753" s="13" t="str">
        <x:v>Самопроверка</x:v>
      </x:c>
      <x:c r="K753" s="13" t="str">
        <x:v>Оцени реакцию после вторника: плечо, пальцы, правое колено 0–10. Запиши, что изменилось относительно вчерашнего утра.</x:v>
      </x:c>
      <x:c r="L753" s="13" t="str">
        <x:v>☐ Не начато</x:v>
      </x:c>
      <x:c r="M753" s="13" t="str">
        <x:v>Обязательно</x:v>
      </x:c>
      <x:c r="N753" s="13" t="str">
        <x:v>Без нагрузки</x:v>
      </x:c>
      <x:c r="O753" s="13" t="str">
        <x:v>Острая локальная боль пальца или ухудшение плеча = не делать четверговую пальцевую нагрузку.</x:v>
      </x:c>
      <x:c r="P753" s="13" t="str">
        <x:v>milestone_03_hooks_tension_first_sixes/week_11_2026-11-16/03_WEDNESDAY.md</x:v>
      </x:c>
      <x:c r="Q753" s="138" t="str">
        <x:v>Markdown</x:v>
      </x:c>
      <x:c r="R753" s="20" t="str"/>
    </x:row>
    <x:row r="754" ht="36" customHeight="1">
      <x:c r="A754" s="19" t="str">
        <x:v>W11-20261118-0753</x:v>
      </x:c>
      <x:c r="B754" s="13" t="n">
        <x:v>11</x:v>
      </x:c>
      <x:c r="C754" s="13" t="str">
        <x:v>Этап 3 — Hooks, натяжение корпуса и первые шестёрки</x:v>
      </x:c>
      <x:c r="D754" s="138" t="str">
        <x:v>2026-11-18</x:v>
      </x:c>
      <x:c r="E754" s="13" t="str">
        <x:v>Среда</x:v>
      </x:c>
      <x:c r="F754" s="13" t="str">
        <x:v>Восстановление / видео</x:v>
      </x:c>
      <x:c r="G754" s="44" t="n">
        <x:v>0.009027777777777777</x:v>
      </x:c>
      <x:c r="H754" s="44" t="n">
        <x:v>0.01597222222222222</x:v>
      </x:c>
      <x:c r="I754" s="32" t="n">
        <x:f>ROUND((H754-G754)*1440,0)</x:f>
        <x:v>10</x:v>
      </x:c>
      <x:c r="J754" s="13" t="str">
        <x:v>Видеоразбор</x:v>
      </x:c>
      <x:c r="K754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754" s="13" t="str">
        <x:v>☐ Не начато</x:v>
      </x:c>
      <x:c r="M754" s="13" t="str">
        <x:v>Обязательно</x:v>
      </x:c>
      <x:c r="N754" s="13" t="str">
        <x:v>Без нагрузки</x:v>
      </x:c>
      <x:c r="O754" s="13" t="str"/>
      <x:c r="P754" s="13" t="str">
        <x:v>milestone_03_hooks_tension_first_sixes/week_11_2026-11-16/03_WEDNESDAY.md</x:v>
      </x:c>
      <x:c r="Q754" s="138" t="str">
        <x:v>Markdown</x:v>
      </x:c>
      <x:c r="R754" s="20" t="str"/>
    </x:row>
    <x:row r="755" ht="36" customHeight="1">
      <x:c r="A755" s="19" t="str">
        <x:v>W11-20261118-0754</x:v>
      </x:c>
      <x:c r="B755" s="13" t="n">
        <x:v>11</x:v>
      </x:c>
      <x:c r="C755" s="13" t="str">
        <x:v>Этап 3 — Hooks, натяжение корпуса и первые шестёрки</x:v>
      </x:c>
      <x:c r="D755" s="138" t="str">
        <x:v>2026-11-18</x:v>
      </x:c>
      <x:c r="E755" s="13" t="str">
        <x:v>Среда</x:v>
      </x:c>
      <x:c r="F755" s="13" t="str">
        <x:v>Восстановление / видео</x:v>
      </x:c>
      <x:c r="G755" s="44" t="n">
        <x:v>0.01597222222222222</x:v>
      </x:c>
      <x:c r="H755" s="44" t="n">
        <x:v>0.01875</x:v>
      </x:c>
      <x:c r="I755" s="32" t="n">
        <x:f>ROUND((H755-G755)*1440,0)</x:f>
        <x:v>4</x:v>
      </x:c>
      <x:c r="J755" s="13" t="str">
        <x:v>Конспект</x:v>
      </x:c>
      <x:c r="K755" s="13" t="str">
        <x:v>Запиши одну правку на четверг в формате «В следующей попытке я…». Используй cue: «Стопа остаётся стабильной, бедро разворачивается; глубина минимальна, достаточна только для движения.».</x:v>
      </x:c>
      <x:c r="L755" s="13" t="str">
        <x:v>☐ Не начато</x:v>
      </x:c>
      <x:c r="M755" s="13" t="str">
        <x:v>Обязательно</x:v>
      </x:c>
      <x:c r="N755" s="13" t="str">
        <x:v>Без нагрузки</x:v>
      </x:c>
      <x:c r="O755" s="13" t="str"/>
      <x:c r="P755" s="13" t="str">
        <x:v>milestone_03_hooks_tension_first_sixes/week_11_2026-11-16/03_WEDNESDAY.md</x:v>
      </x:c>
      <x:c r="Q755" s="138" t="str">
        <x:v>Markdown</x:v>
      </x:c>
      <x:c r="R755" s="20" t="str"/>
    </x:row>
    <x:row r="756" ht="36" customHeight="1">
      <x:c r="A756" s="19" t="str">
        <x:v>W11-20261118-0755</x:v>
      </x:c>
      <x:c r="B756" s="13" t="n">
        <x:v>11</x:v>
      </x:c>
      <x:c r="C756" s="13" t="str">
        <x:v>Этап 3 — Hooks, натяжение корпуса и первые шестёрки</x:v>
      </x:c>
      <x:c r="D756" s="138" t="str">
        <x:v>2026-11-18</x:v>
      </x:c>
      <x:c r="E756" s="13" t="str">
        <x:v>Среда</x:v>
      </x:c>
      <x:c r="F756" s="13" t="str">
        <x:v>Восстановление / видео</x:v>
      </x:c>
      <x:c r="G756" s="44" t="n">
        <x:v>0.01875</x:v>
      </x:c>
      <x:c r="H756" s="44" t="n">
        <x:v>0.027083333333333334</x:v>
      </x:c>
      <x:c r="I756" s="32" t="n">
        <x:f>ROUND((H756-G756)*1440,0)</x:f>
        <x:v>12</x:v>
      </x:c>
      <x:c r="J756" s="13" t="str">
        <x:v>Домашняя мобильность</x:v>
      </x:c>
      <x:c r="K756" s="13" t="str">
        <x:v>Выполни комплекс H1 «База: таз, корпус и стопы», 12 минут. Ни турника, ни колец для дополнительного хвата.</x:v>
      </x:c>
      <x:c r="L756" s="13" t="str">
        <x:v>☐ Не начато</x:v>
      </x:c>
      <x:c r="M756" s="13" t="str">
        <x:v>Обязательно</x:v>
      </x:c>
      <x:c r="N756" s="13" t="str">
        <x:v>RPE 2–3</x:v>
      </x:c>
      <x:c r="O756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756" s="13" t="str">
        <x:v>milestone_03_hooks_tension_first_sixes/week_11_2026-11-16/03_WEDNESDAY.md</x:v>
      </x:c>
      <x:c r="Q756" s="138" t="str">
        <x:v>Markdown</x:v>
      </x:c>
      <x:c r="R756" s="20" t="str"/>
    </x:row>
    <x:row r="757" ht="36" customHeight="1">
      <x:c r="A757" s="19" t="str">
        <x:v>W11-20261118-0756</x:v>
      </x:c>
      <x:c r="B757" s="13" t="n">
        <x:v>11</x:v>
      </x:c>
      <x:c r="C757" s="13" t="str">
        <x:v>Этап 3 — Hooks, натяжение корпуса и первые шестёрки</x:v>
      </x:c>
      <x:c r="D757" s="138" t="str">
        <x:v>2026-11-18</x:v>
      </x:c>
      <x:c r="E757" s="13" t="str">
        <x:v>Среда</x:v>
      </x:c>
      <x:c r="F757" s="13" t="str">
        <x:v>Восстановление / видео</x:v>
      </x:c>
      <x:c r="G757" s="44" t="n">
        <x:v>0.027083333333333334</x:v>
      </x:c>
      <x:c r="H757" s="44" t="n">
        <x:v>0.04097222222222222</x:v>
      </x:c>
      <x:c r="I757" s="32" t="n">
        <x:f>ROUND((H757-G757)*1440,0)</x:f>
        <x:v>20</x:v>
      </x:c>
      <x:c r="J757" s="13" t="str">
        <x:v>Физиотерапия</x:v>
      </x:c>
      <x:c r="K757" s="13" t="str">
        <x:v>Выполни свой назначенный физиотерапевтом комплекс, если среда входит в его расписание.</x:v>
      </x:c>
      <x:c r="L757" s="13" t="str">
        <x:v>☐ Не начато</x:v>
      </x:c>
      <x:c r="M757" s="13" t="str">
        <x:v>По назначению</x:v>
      </x:c>
      <x:c r="N757" s="13" t="str">
        <x:v>По назначению</x:v>
      </x:c>
      <x:c r="O757" s="13" t="str">
        <x:v>Назначения физиотерапевта имеют приоритет.</x:v>
      </x:c>
      <x:c r="P757" s="13" t="str">
        <x:v>milestone_03_hooks_tension_first_sixes/week_11_2026-11-16/03_WEDNESDAY.md</x:v>
      </x:c>
      <x:c r="Q757" s="138" t="str">
        <x:v>Markdown</x:v>
      </x:c>
      <x:c r="R757" s="20" t="str"/>
    </x:row>
    <x:row r="758" ht="36" customHeight="1">
      <x:c r="A758" s="19" t="str">
        <x:v>W11-20261118-0757</x:v>
      </x:c>
      <x:c r="B758" s="13" t="n">
        <x:v>11</x:v>
      </x:c>
      <x:c r="C758" s="13" t="str">
        <x:v>Этап 3 — Hooks, натяжение корпуса и первые шестёрки</x:v>
      </x:c>
      <x:c r="D758" s="138" t="str">
        <x:v>2026-11-18</x:v>
      </x:c>
      <x:c r="E758" s="13" t="str">
        <x:v>Среда</x:v>
      </x:c>
      <x:c r="F758" s="13" t="str">
        <x:v>Восстановление / видео</x:v>
      </x:c>
      <x:c r="G758" s="44" t="n">
        <x:v>0.04097222222222222</x:v>
      </x:c>
      <x:c r="H758" s="44" t="n">
        <x:v>0.043055555555555555</x:v>
      </x:c>
      <x:c r="I758" s="32" t="n">
        <x:f>ROUND((H758-G758)*1440,0)</x:f>
        <x:v>3</x:v>
      </x:c>
      <x:c r="J758" s="13" t="str">
        <x:v>Запрет лишней нагрузки</x:v>
      </x:c>
      <x:c r="K758" s="13" t="str">
        <x:v>Поставь отметку: сегодня не было висов, подтягиваний «на проверку», эспандера-сжимателя или тяжёлого ношения.</x:v>
      </x:c>
      <x:c r="L758" s="13" t="str">
        <x:v>☐ Не начато</x:v>
      </x:c>
      <x:c r="M758" s="13" t="str">
        <x:v>Обязательно</x:v>
      </x:c>
      <x:c r="N758" s="13" t="str">
        <x:v>Восстановление</x:v>
      </x:c>
      <x:c r="O758" s="13" t="str"/>
      <x:c r="P758" s="13" t="str">
        <x:v>milestone_03_hooks_tension_first_sixes/week_11_2026-11-16/03_WEDNESDAY.md</x:v>
      </x:c>
      <x:c r="Q758" s="138" t="str">
        <x:v>Markdown</x:v>
      </x:c>
      <x:c r="R758" s="20" t="str"/>
    </x:row>
    <x:row r="759" ht="36" customHeight="1">
      <x:c r="A759" s="19" t="str">
        <x:v>W11-20261119-0758</x:v>
      </x:c>
      <x:c r="B759" s="13" t="n">
        <x:v>11</x:v>
      </x:c>
      <x:c r="C759" s="13" t="str">
        <x:v>Этап 3 — Hooks, натяжение корпуса и первые шестёрки</x:v>
      </x:c>
      <x:c r="D759" s="138" t="str">
        <x:v>2026-11-19</x:v>
      </x:c>
      <x:c r="E759" s="13" t="str">
        <x:v>Четверг</x:v>
      </x:c>
      <x:c r="F759" s="13" t="str">
        <x:v>Тренировка B — пальцы/проект</x:v>
      </x:c>
      <x:c r="G759" s="44" t="n">
        <x:v>0</x:v>
      </x:c>
      <x:c r="H759" s="44" t="n">
        <x:v>0.0020833333333333333</x:v>
      </x:c>
      <x:c r="I759" s="32" t="n">
        <x:f>ROUND((H759-G759)*1440,0)</x:f>
        <x:v>3</x:v>
      </x:c>
      <x:c r="J759" s="13" t="str">
        <x:v>Самопроверка</x:v>
      </x:c>
      <x:c r="K759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759" s="13" t="str">
        <x:v>☐ Не начато</x:v>
      </x:c>
      <x:c r="M759" s="13" t="str">
        <x:v>Обязательно</x:v>
      </x:c>
      <x:c r="N759" s="13" t="str">
        <x:v>Без нагрузки</x:v>
      </x:c>
      <x:c r="O759" s="13" t="str">
        <x:v>Красный флаг = не начинать пальцевую нагрузку.</x:v>
      </x:c>
      <x:c r="P759" s="13" t="str">
        <x:v>milestone_03_hooks_tension_first_sixes/week_11_2026-11-16/04_THURSDAY.md</x:v>
      </x:c>
      <x:c r="Q759" s="138" t="str">
        <x:v>Markdown</x:v>
      </x:c>
      <x:c r="R759" s="20" t="str"/>
    </x:row>
    <x:row r="760" ht="36" customHeight="1">
      <x:c r="A760" s="19" t="str">
        <x:v>W11-20261119-0759</x:v>
      </x:c>
      <x:c r="B760" s="13" t="n">
        <x:v>11</x:v>
      </x:c>
      <x:c r="C760" s="13" t="str">
        <x:v>Этап 3 — Hooks, натяжение корпуса и первые шестёрки</x:v>
      </x:c>
      <x:c r="D760" s="138" t="str">
        <x:v>2026-11-19</x:v>
      </x:c>
      <x:c r="E760" s="13" t="str">
        <x:v>Четверг</x:v>
      </x:c>
      <x:c r="F760" s="13" t="str">
        <x:v>Тренировка B — пальцы/проект</x:v>
      </x:c>
      <x:c r="G760" s="44" t="n">
        <x:v>0.0020833333333333333</x:v>
      </x:c>
      <x:c r="H760" s="44" t="n">
        <x:v>0.005555555555555556</x:v>
      </x:c>
      <x:c r="I760" s="32" t="n">
        <x:f>ROUND((H760-G760)*1440,0)</x:f>
        <x:v>5</x:v>
      </x:c>
      <x:c r="J760" s="13" t="str">
        <x:v>Разминка</x:v>
      </x:c>
      <x:c r="K760" s="13" t="str">
        <x:v>Подними температуру: быстрая ходьба, лестница или лёгкий велотренажёр 5 минут.</x:v>
      </x:c>
      <x:c r="L760" s="13" t="str">
        <x:v>☐ Не начато</x:v>
      </x:c>
      <x:c r="M760" s="13" t="str">
        <x:v>Обязательно</x:v>
      </x:c>
      <x:c r="N760" s="13" t="str">
        <x:v>RPE 2–3</x:v>
      </x:c>
      <x:c r="O760" s="13" t="str"/>
      <x:c r="P760" s="13" t="str">
        <x:v>milestone_03_hooks_tension_first_sixes/week_11_2026-11-16/04_THURSDAY.md</x:v>
      </x:c>
      <x:c r="Q760" s="138" t="str">
        <x:v>Markdown</x:v>
      </x:c>
      <x:c r="R760" s="20" t="str"/>
    </x:row>
    <x:row r="761" ht="36" customHeight="1">
      <x:c r="A761" s="19" t="str">
        <x:v>W11-20261119-0760</x:v>
      </x:c>
      <x:c r="B761" s="13" t="n">
        <x:v>11</x:v>
      </x:c>
      <x:c r="C761" s="13" t="str">
        <x:v>Этап 3 — Hooks, натяжение корпуса и первые шестёрки</x:v>
      </x:c>
      <x:c r="D761" s="138" t="str">
        <x:v>2026-11-19</x:v>
      </x:c>
      <x:c r="E761" s="13" t="str">
        <x:v>Четверг</x:v>
      </x:c>
      <x:c r="F761" s="13" t="str">
        <x:v>Тренировка B — пальцы/проект</x:v>
      </x:c>
      <x:c r="G761" s="44" t="n">
        <x:v>0.005555555555555556</x:v>
      </x:c>
      <x:c r="H761" s="44" t="n">
        <x:v>0.009027777777777777</x:v>
      </x:c>
      <x:c r="I761" s="32" t="n">
        <x:f>ROUND((H761-G761)*1440,0)</x:f>
        <x:v>5</x:v>
      </x:c>
      <x:c r="J761" s="13" t="str">
        <x:v>Разминка</x:v>
      </x:c>
      <x:c r="K761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761" s="13" t="str">
        <x:v>☐ Не начато</x:v>
      </x:c>
      <x:c r="M761" s="13" t="str">
        <x:v>Обязательно</x:v>
      </x:c>
      <x:c r="N761" s="13" t="str">
        <x:v>Очень легко</x:v>
      </x:c>
      <x:c r="O761" s="13" t="str">
        <x:v>Не делай press/отжимания и движения, которые раздражают плечо.</x:v>
      </x:c>
      <x:c r="P761" s="13" t="str">
        <x:v>milestone_03_hooks_tension_first_sixes/week_11_2026-11-16/04_THURSDAY.md</x:v>
      </x:c>
      <x:c r="Q761" s="138" t="str">
        <x:v>Markdown</x:v>
      </x:c>
      <x:c r="R761" s="20" t="str"/>
    </x:row>
    <x:row r="762" ht="36" customHeight="1">
      <x:c r="A762" s="19" t="str">
        <x:v>W11-20261119-0761</x:v>
      </x:c>
      <x:c r="B762" s="13" t="n">
        <x:v>11</x:v>
      </x:c>
      <x:c r="C762" s="13" t="str">
        <x:v>Этап 3 — Hooks, натяжение корпуса и первые шестёрки</x:v>
      </x:c>
      <x:c r="D762" s="138" t="str">
        <x:v>2026-11-19</x:v>
      </x:c>
      <x:c r="E762" s="13" t="str">
        <x:v>Четверг</x:v>
      </x:c>
      <x:c r="F762" s="13" t="str">
        <x:v>Тренировка B — пальцы/проект</x:v>
      </x:c>
      <x:c r="G762" s="44" t="n">
        <x:v>0.009027777777777777</x:v>
      </x:c>
      <x:c r="H762" s="44" t="n">
        <x:v>0.011805555555555555</x:v>
      </x:c>
      <x:c r="I762" s="32" t="n">
        <x:f>ROUND((H762-G762)*1440,0)</x:f>
        <x:v>4</x:v>
      </x:c>
      <x:c r="J762" s="13" t="str">
        <x:v>Разминка пальцев</x:v>
      </x:c>
      <x:c r="K762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762" s="13" t="str">
        <x:v>☐ Не начато</x:v>
      </x:c>
      <x:c r="M762" s="13" t="str">
        <x:v>Обязательно</x:v>
      </x:c>
      <x:c r="N762" s="13" t="str">
        <x:v>Очень легко</x:v>
      </x:c>
      <x:c r="O762" s="13" t="str"/>
      <x:c r="P762" s="13" t="str">
        <x:v>milestone_03_hooks_tension_first_sixes/week_11_2026-11-16/04_THURSDAY.md</x:v>
      </x:c>
      <x:c r="Q762" s="138" t="str">
        <x:v>Markdown</x:v>
      </x:c>
      <x:c r="R762" s="20" t="str"/>
    </x:row>
    <x:row r="763" ht="36" customHeight="1">
      <x:c r="A763" s="19" t="str">
        <x:v>W11-20261119-0762</x:v>
      </x:c>
      <x:c r="B763" s="13" t="n">
        <x:v>11</x:v>
      </x:c>
      <x:c r="C763" s="13" t="str">
        <x:v>Этап 3 — Hooks, натяжение корпуса и первые шестёрки</x:v>
      </x:c>
      <x:c r="D763" s="138" t="str">
        <x:v>2026-11-19</x:v>
      </x:c>
      <x:c r="E763" s="13" t="str">
        <x:v>Четверг</x:v>
      </x:c>
      <x:c r="F763" s="13" t="str">
        <x:v>Тренировка B — пальцы/проект</x:v>
      </x:c>
      <x:c r="G763" s="44" t="n">
        <x:v>0.011805555555555555</x:v>
      </x:c>
      <x:c r="H763" s="44" t="n">
        <x:v>0.014583333333333334</x:v>
      </x:c>
      <x:c r="I763" s="32" t="n">
        <x:f>ROUND((H763-G763)*1440,0)</x:f>
        <x:v>4</x:v>
      </x:c>
      <x:c r="J763" s="13" t="str">
        <x:v>Разминочное лазание</x:v>
      </x:c>
      <x:c r="K763" s="13" t="str">
        <x:v>Пройди 2 очень лёгкие трассы уровня 1–2; двигайся медленно, спускайся по зацепам.</x:v>
      </x:c>
      <x:c r="L763" s="13" t="str">
        <x:v>☐ Не начато</x:v>
      </x:c>
      <x:c r="M763" s="13" t="str">
        <x:v>Обязательно</x:v>
      </x:c>
      <x:c r="N763" s="13" t="str">
        <x:v>RPE 2–3</x:v>
      </x:c>
      <x:c r="O763" s="13" t="str">
        <x:v>Финиш с обязательным болезненным mantle/press пропусти.</x:v>
      </x:c>
      <x:c r="P763" s="13" t="str">
        <x:v>milestone_03_hooks_tension_first_sixes/week_11_2026-11-16/04_THURSDAY.md</x:v>
      </x:c>
      <x:c r="Q763" s="138" t="str">
        <x:v>Markdown</x:v>
      </x:c>
      <x:c r="R763" s="20" t="str"/>
    </x:row>
    <x:row r="764" ht="36" customHeight="1">
      <x:c r="A764" s="19" t="str">
        <x:v>W11-20261119-0763</x:v>
      </x:c>
      <x:c r="B764" s="13" t="n">
        <x:v>11</x:v>
      </x:c>
      <x:c r="C764" s="13" t="str">
        <x:v>Этап 3 — Hooks, натяжение корпуса и первые шестёрки</x:v>
      </x:c>
      <x:c r="D764" s="138" t="str">
        <x:v>2026-11-19</x:v>
      </x:c>
      <x:c r="E764" s="13" t="str">
        <x:v>Четверг</x:v>
      </x:c>
      <x:c r="F764" s="13" t="str">
        <x:v>Тренировка B — пальцы/проект</x:v>
      </x:c>
      <x:c r="G764" s="44" t="n">
        <x:v>0.014583333333333334</x:v>
      </x:c>
      <x:c r="H764" s="44" t="n">
        <x:v>0.017361111111111112</x:v>
      </x:c>
      <x:c r="I764" s="32" t="n">
        <x:f>ROUND((H764-G764)*1440,0)</x:f>
        <x:v>4</x:v>
      </x:c>
      <x:c r="J764" s="13" t="str">
        <x:v>Разминочное лазание</x:v>
      </x:c>
      <x:c r="K764" s="13" t="str">
        <x:v>Пройди 2 трассы уровня 2–3, затем сделай 2–3 движения на комфортной четвёрке. Между ними 45–60 секунд.</x:v>
      </x:c>
      <x:c r="L764" s="13" t="str">
        <x:v>☐ Не начато</x:v>
      </x:c>
      <x:c r="M764" s="13" t="str">
        <x:v>Обязательно</x:v>
      </x:c>
      <x:c r="N764" s="13" t="str">
        <x:v>RPE 3–4</x:v>
      </x:c>
      <x:c r="O764" s="13" t="str">
        <x:v>Разминка не должна утомить пальцы.</x:v>
      </x:c>
      <x:c r="P764" s="13" t="str">
        <x:v>milestone_03_hooks_tension_first_sixes/week_11_2026-11-16/04_THURSDAY.md</x:v>
      </x:c>
      <x:c r="Q764" s="138" t="str">
        <x:v>Markdown</x:v>
      </x:c>
      <x:c r="R764" s="20" t="str"/>
    </x:row>
    <x:row r="765" ht="36" customHeight="1">
      <x:c r="A765" s="19" t="str">
        <x:v>W11-20261119-0764</x:v>
      </x:c>
      <x:c r="B765" s="13" t="n">
        <x:v>11</x:v>
      </x:c>
      <x:c r="C765" s="13" t="str">
        <x:v>Этап 3 — Hooks, натяжение корпуса и первые шестёрки</x:v>
      </x:c>
      <x:c r="D765" s="138" t="str">
        <x:v>2026-11-19</x:v>
      </x:c>
      <x:c r="E765" s="13" t="str">
        <x:v>Четверг</x:v>
      </x:c>
      <x:c r="F765" s="13" t="str">
        <x:v>Тренировка B — пальцы/проект</x:v>
      </x:c>
      <x:c r="G765" s="44" t="n">
        <x:v>0.017361111111111112</x:v>
      </x:c>
      <x:c r="H765" s="44" t="n">
        <x:v>0.019444444444444445</x:v>
      </x:c>
      <x:c r="I765" s="32" t="n">
        <x:f>ROUND((H765-G765)*1440,0)</x:f>
        <x:v>3</x:v>
      </x:c>
      <x:c r="J765" s="13" t="str">
        <x:v>Фингерборд — готовность</x:v>
      </x:c>
      <x:c r="K765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765" s="13" t="str">
        <x:v>☐ Не начато</x:v>
      </x:c>
      <x:c r="M765" s="13" t="str">
        <x:v>Обязательно</x:v>
      </x:c>
      <x:c r="N765" s="13" t="str">
        <x:v>Подготовка</x:v>
      </x:c>
      <x:c r="O765" s="13" t="str">
        <x:v>Плечо полностью спокойно; full crimp, карманы, одна рука и допвес запрещены.</x:v>
      </x:c>
      <x:c r="P765" s="13" t="str">
        <x:v>milestone_03_hooks_tension_first_sixes/week_11_2026-11-16/04_THURSDAY.md</x:v>
      </x:c>
      <x:c r="Q765" s="138" t="str">
        <x:v>Markdown</x:v>
      </x:c>
      <x:c r="R765" s="20" t="str"/>
    </x:row>
    <x:row r="766" ht="36" customHeight="1">
      <x:c r="A766" s="19" t="str">
        <x:v>W11-20261119-0765</x:v>
      </x:c>
      <x:c r="B766" s="13" t="n">
        <x:v>11</x:v>
      </x:c>
      <x:c r="C766" s="13" t="str">
        <x:v>Этап 3 — Hooks, натяжение корпуса и первые шестёрки</x:v>
      </x:c>
      <x:c r="D766" s="138" t="str">
        <x:v>2026-11-19</x:v>
      </x:c>
      <x:c r="E766" s="13" t="str">
        <x:v>Четверг</x:v>
      </x:c>
      <x:c r="F766" s="13" t="str">
        <x:v>Тренировка B — пальцы/проект</x:v>
      </x:c>
      <x:c r="G766" s="44" t="n">
        <x:v>0.019444444444444445</x:v>
      </x:c>
      <x:c r="H766" s="44" t="n">
        <x:v>0.029861111111111113</x:v>
      </x:c>
      <x:c r="I766" s="32" t="n">
        <x:f>ROUND((H766-G766)*1440,0)</x:f>
        <x:v>15</x:v>
      </x:c>
      <x:c r="J766" s="13" t="str">
        <x:v>Фингерборд</x:v>
      </x:c>
      <x:c r="K766" s="13" t="str">
        <x:v>Выполни протокол: 5 × 8 сек, ноги помогают, RPE 7, отдых 2:15. Запусти таймер. Каждый вис прекращай с указанным запасом; форма кисти не меняется.</x:v>
      </x:c>
      <x:c r="L766" s="13" t="str">
        <x:v>☐ Не начато</x:v>
      </x:c>
      <x:c r="M766" s="13" t="str">
        <x:v>Обязательно</x:v>
      </x:c>
      <x:c r="N766" s="13" t="str">
        <x:v>5 × 8 сек, ноги помогают, RPE 7, отдых 2:15</x:v>
      </x:c>
      <x:c r="O766" s="13" t="str">
        <x:v>Острая боль, дрожь формы, падение RPE-контроля или боль плеча = закончить блок.</x:v>
      </x:c>
      <x:c r="P766" s="13" t="str">
        <x:v>milestone_03_hooks_tension_first_sixes/week_11_2026-11-16/04_THURSDAY.md</x:v>
      </x:c>
      <x:c r="Q766" s="138" t="str">
        <x:v>Markdown</x:v>
      </x:c>
      <x:c r="R766" s="20" t="str"/>
    </x:row>
    <x:row r="767" ht="36" customHeight="1">
      <x:c r="A767" s="19" t="str">
        <x:v>W11-20261119-0766</x:v>
      </x:c>
      <x:c r="B767" s="13" t="n">
        <x:v>11</x:v>
      </x:c>
      <x:c r="C767" s="13" t="str">
        <x:v>Этап 3 — Hooks, натяжение корпуса и первые шестёрки</x:v>
      </x:c>
      <x:c r="D767" s="138" t="str">
        <x:v>2026-11-19</x:v>
      </x:c>
      <x:c r="E767" s="13" t="str">
        <x:v>Четверг</x:v>
      </x:c>
      <x:c r="F767" s="13" t="str">
        <x:v>Тренировка B — пальцы/проект</x:v>
      </x:c>
      <x:c r="G767" s="44" t="n">
        <x:v>0.029861111111111113</x:v>
      </x:c>
      <x:c r="H767" s="44" t="n">
        <x:v>0.03194444444444444</x:v>
      </x:c>
      <x:c r="I767" s="32" t="n">
        <x:f>ROUND((H767-G767)*1440,0)</x:f>
        <x:v>3</x:v>
      </x:c>
      <x:c r="J767" s="13" t="str">
        <x:v>Фингерборд — запись</x:v>
      </x:c>
      <x:c r="K767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767" s="13" t="str">
        <x:v>☐ Не начато</x:v>
      </x:c>
      <x:c r="M767" s="13" t="str">
        <x:v>Обязательно</x:v>
      </x:c>
      <x:c r="N767" s="13" t="str">
        <x:v>Без нагрузки</x:v>
      </x:c>
      <x:c r="O767" s="13" t="str"/>
      <x:c r="P767" s="13" t="str">
        <x:v>milestone_03_hooks_tension_first_sixes/week_11_2026-11-16/04_THURSDAY.md</x:v>
      </x:c>
      <x:c r="Q767" s="138" t="str">
        <x:v>Markdown</x:v>
      </x:c>
      <x:c r="R767" s="20" t="str"/>
    </x:row>
    <x:row r="768" ht="36" customHeight="1">
      <x:c r="A768" s="19" t="str">
        <x:v>W11-20261119-0767</x:v>
      </x:c>
      <x:c r="B768" s="13" t="n">
        <x:v>11</x:v>
      </x:c>
      <x:c r="C768" s="13" t="str">
        <x:v>Этап 3 — Hooks, натяжение корпуса и первые шестёрки</x:v>
      </x:c>
      <x:c r="D768" s="138" t="str">
        <x:v>2026-11-19</x:v>
      </x:c>
      <x:c r="E768" s="13" t="str">
        <x:v>Четверг</x:v>
      </x:c>
      <x:c r="F768" s="13" t="str">
        <x:v>Тренировка B — пальцы/проект</x:v>
      </x:c>
      <x:c r="G768" s="44" t="n">
        <x:v>0.03194444444444444</x:v>
      </x:c>
      <x:c r="H768" s="44" t="n">
        <x:v>0.035416666666666666</x:v>
      </x:c>
      <x:c r="I768" s="32" t="n">
        <x:f>ROUND((H768-G768)*1440,0)</x:f>
        <x:v>5</x:v>
      </x:c>
      <x:c r="J768" s="13" t="str">
        <x:v>Отдых</x:v>
      </x:c>
      <x:c r="K768" s="13" t="str">
        <x:v>5 минут полного отдыха: ходьба, вода, без лазания и без тестового виса.</x:v>
      </x:c>
      <x:c r="L768" s="13" t="str">
        <x:v>☐ Не начато</x:v>
      </x:c>
      <x:c r="M768" s="13" t="str">
        <x:v>Обязательно</x:v>
      </x:c>
      <x:c r="N768" s="13" t="str">
        <x:v>Восстановление</x:v>
      </x:c>
      <x:c r="O768" s="13" t="str"/>
      <x:c r="P768" s="13" t="str">
        <x:v>milestone_03_hooks_tension_first_sixes/week_11_2026-11-16/04_THURSDAY.md</x:v>
      </x:c>
      <x:c r="Q768" s="138" t="str">
        <x:v>Markdown</x:v>
      </x:c>
      <x:c r="R768" s="20" t="str"/>
    </x:row>
    <x:row r="769" ht="36" customHeight="1">
      <x:c r="A769" s="19" t="str">
        <x:v>W11-20261119-0768</x:v>
      </x:c>
      <x:c r="B769" s="13" t="n">
        <x:v>11</x:v>
      </x:c>
      <x:c r="C769" s="13" t="str">
        <x:v>Этап 3 — Hooks, натяжение корпуса и первые шестёрки</x:v>
      </x:c>
      <x:c r="D769" s="138" t="str">
        <x:v>2026-11-19</x:v>
      </x:c>
      <x:c r="E769" s="13" t="str">
        <x:v>Четверг</x:v>
      </x:c>
      <x:c r="F769" s="13" t="str">
        <x:v>Тренировка B — пальцы/проект</x:v>
      </x:c>
      <x:c r="G769" s="44" t="n">
        <x:v>0.035416666666666666</x:v>
      </x:c>
      <x:c r="H769" s="44" t="n">
        <x:v>0.03819444444444445</x:v>
      </x:c>
      <x:c r="I769" s="32" t="n">
        <x:f>ROUND((H769-G769)*1440,0)</x:f>
        <x:v>4</x:v>
      </x:c>
      <x:c r="J769" s="13" t="str">
        <x:v>Выбор проекта</x:v>
      </x:c>
      <x:c r="K769" s="13" t="str">
        <x:v>Выбери трассу по критериям недели: Пятёрка, где разворот уменьшает расстояние до зацепа; шестёрка — до 5 качественных попыток.</x:v>
      </x:c>
      <x:c r="L769" s="13" t="str">
        <x:v>☐ Не начато</x:v>
      </x:c>
      <x:c r="M769" s="13" t="str">
        <x:v>Обязательно</x:v>
      </x:c>
      <x:c r="N769" s="13" t="str">
        <x:v>Без нагрузки</x:v>
      </x:c>
      <x:c r="O769" s="13" t="str">
        <x:v>Колено: острая/вращательная боль — немедленно прекратить drop knee. Не докручивать положение руками.</x:v>
      </x:c>
      <x:c r="P769" s="13" t="str">
        <x:v>milestone_03_hooks_tension_first_sixes/week_11_2026-11-16/04_THURSDAY.md</x:v>
      </x:c>
      <x:c r="Q769" s="138" t="str">
        <x:v>Markdown</x:v>
      </x:c>
      <x:c r="R769" s="20" t="str"/>
    </x:row>
    <x:row r="770" ht="36" customHeight="1">
      <x:c r="A770" s="19" t="str">
        <x:v>W11-20261119-0769</x:v>
      </x:c>
      <x:c r="B770" s="13" t="n">
        <x:v>11</x:v>
      </x:c>
      <x:c r="C770" s="13" t="str">
        <x:v>Этап 3 — Hooks, натяжение корпуса и первые шестёрки</x:v>
      </x:c>
      <x:c r="D770" s="138" t="str">
        <x:v>2026-11-19</x:v>
      </x:c>
      <x:c r="E770" s="13" t="str">
        <x:v>Четверг</x:v>
      </x:c>
      <x:c r="F770" s="13" t="str">
        <x:v>Тренировка B — пальцы/проект</x:v>
      </x:c>
      <x:c r="G770" s="44" t="n">
        <x:v>0.03819444444444445</x:v>
      </x:c>
      <x:c r="H770" s="44" t="n">
        <x:v>0.041666666666666664</x:v>
      </x:c>
      <x:c r="I770" s="32" t="n">
        <x:f>ROUND((H770-G770)*1440,0)</x:f>
        <x:v>5</x:v>
      </x:c>
      <x:c r="J770" s="13" t="str">
        <x:v>Проект — попытка 1</x:v>
      </x:c>
      <x:c r="K770" s="13" t="str">
        <x:v>Сделай первую полную диагностическую попытку. После падения не повторяй сразу: назови точную причину.</x:v>
      </x:c>
      <x:c r="L770" s="13" t="str">
        <x:v>☐ Не начато</x:v>
      </x:c>
      <x:c r="M770" s="13" t="str">
        <x:v>Обязательно</x:v>
      </x:c>
      <x:c r="N770" s="13" t="str">
        <x:v>RPE 7–8</x:v>
      </x:c>
      <x:c r="O770" s="13" t="str">
        <x:v>Прекратить движение при боли, а не после падения.</x:v>
      </x:c>
      <x:c r="P770" s="13" t="str">
        <x:v>milestone_03_hooks_tension_first_sixes/week_11_2026-11-16/04_THURSDAY.md</x:v>
      </x:c>
      <x:c r="Q770" s="138" t="str">
        <x:v>Markdown</x:v>
      </x:c>
      <x:c r="R770" s="20" t="str"/>
    </x:row>
    <x:row r="771" ht="36" customHeight="1">
      <x:c r="A771" s="19" t="str">
        <x:v>W11-20261119-0770</x:v>
      </x:c>
      <x:c r="B771" s="13" t="n">
        <x:v>11</x:v>
      </x:c>
      <x:c r="C771" s="13" t="str">
        <x:v>Этап 3 — Hooks, натяжение корпуса и первые шестёрки</x:v>
      </x:c>
      <x:c r="D771" s="138" t="str">
        <x:v>2026-11-19</x:v>
      </x:c>
      <x:c r="E771" s="13" t="str">
        <x:v>Четверг</x:v>
      </x:c>
      <x:c r="F771" s="13" t="str">
        <x:v>Тренировка B — пальцы/проект</x:v>
      </x:c>
      <x:c r="G771" s="44" t="n">
        <x:v>0.041666666666666664</x:v>
      </x:c>
      <x:c r="H771" s="44" t="n">
        <x:v>0.04513888888888889</x:v>
      </x:c>
      <x:c r="I771" s="32" t="n">
        <x:f>ROUND((H771-G771)*1440,0)</x:f>
        <x:v>5</x:v>
      </x:c>
      <x:c r="J771" s="13" t="str">
        <x:v>Отдых / гипотеза</x:v>
      </x:c>
      <x:c r="K771" s="13" t="str">
        <x:v>Отдых 4–5 минут. Запиши одну гипотезу: стопа, положение таза, хват или темп.</x:v>
      </x:c>
      <x:c r="L771" s="13" t="str">
        <x:v>☐ Не начато</x:v>
      </x:c>
      <x:c r="M771" s="13" t="str">
        <x:v>Обязательно</x:v>
      </x:c>
      <x:c r="N771" s="13" t="str">
        <x:v>Восстановление</x:v>
      </x:c>
      <x:c r="O771" s="13" t="str"/>
      <x:c r="P771" s="13" t="str">
        <x:v>milestone_03_hooks_tension_first_sixes/week_11_2026-11-16/04_THURSDAY.md</x:v>
      </x:c>
      <x:c r="Q771" s="138" t="str">
        <x:v>Markdown</x:v>
      </x:c>
      <x:c r="R771" s="20" t="str"/>
    </x:row>
    <x:row r="772" ht="36" customHeight="1">
      <x:c r="A772" s="19" t="str">
        <x:v>W11-20261119-0771</x:v>
      </x:c>
      <x:c r="B772" s="13" t="n">
        <x:v>11</x:v>
      </x:c>
      <x:c r="C772" s="13" t="str">
        <x:v>Этап 3 — Hooks, натяжение корпуса и первые шестёрки</x:v>
      </x:c>
      <x:c r="D772" s="138" t="str">
        <x:v>2026-11-19</x:v>
      </x:c>
      <x:c r="E772" s="13" t="str">
        <x:v>Четверг</x:v>
      </x:c>
      <x:c r="F772" s="13" t="str">
        <x:v>Тренировка B — пальцы/проект</x:v>
      </x:c>
      <x:c r="G772" s="44" t="n">
        <x:v>0.04513888888888889</x:v>
      </x:c>
      <x:c r="H772" s="44" t="n">
        <x:v>0.049305555555555554</x:v>
      </x:c>
      <x:c r="I772" s="32" t="n">
        <x:f>ROUND((H772-G772)*1440,0)</x:f>
        <x:v>6</x:v>
      </x:c>
      <x:c r="J772" s="13" t="str">
        <x:v>Проект — попытки 2–3</x:v>
      </x:c>
      <x:c r="K772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772" s="13" t="str">
        <x:v>☐ Не начато</x:v>
      </x:c>
      <x:c r="M772" s="13" t="str">
        <x:v>Обязательно</x:v>
      </x:c>
      <x:c r="N772" s="13" t="str">
        <x:v>RPE 7–8, без отказа</x:v>
      </x:c>
      <x:c r="O772" s="13" t="str">
        <x:v>Не смотреть beta заранее: сначала собственная гипотеза.</x:v>
      </x:c>
      <x:c r="P772" s="13" t="str">
        <x:v>milestone_03_hooks_tension_first_sixes/week_11_2026-11-16/04_THURSDAY.md</x:v>
      </x:c>
      <x:c r="Q772" s="138" t="str">
        <x:v>Markdown</x:v>
      </x:c>
      <x:c r="R772" s="20" t="str"/>
    </x:row>
    <x:row r="773" ht="36" customHeight="1">
      <x:c r="A773" s="19" t="str">
        <x:v>W11-20261119-0772</x:v>
      </x:c>
      <x:c r="B773" s="13" t="n">
        <x:v>11</x:v>
      </x:c>
      <x:c r="C773" s="13" t="str">
        <x:v>Этап 3 — Hooks, натяжение корпуса и первые шестёрки</x:v>
      </x:c>
      <x:c r="D773" s="138" t="str">
        <x:v>2026-11-19</x:v>
      </x:c>
      <x:c r="E773" s="13" t="str">
        <x:v>Четверг</x:v>
      </x:c>
      <x:c r="F773" s="13" t="str">
        <x:v>Тренировка B — пальцы/проект</x:v>
      </x:c>
      <x:c r="G773" s="44" t="n">
        <x:v>0.049305555555555554</x:v>
      </x:c>
      <x:c r="H773" s="44" t="n">
        <x:v>0.05277777777777778</x:v>
      </x:c>
      <x:c r="I773" s="32" t="n">
        <x:f>ROUND((H773-G773)*1440,0)</x:f>
        <x:v>5</x:v>
      </x:c>
      <x:c r="J773" s="13" t="str">
        <x:v>Проект — заключительная попытка</x:v>
      </x:c>
      <x:c r="K773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773" s="13" t="str">
        <x:v>☐ Не начато</x:v>
      </x:c>
      <x:c r="M773" s="13" t="str">
        <x:v>Обязательно</x:v>
      </x:c>
      <x:c r="N773" s="13" t="str">
        <x:v>RPE 8, с запасом</x:v>
      </x:c>
      <x:c r="O773" s="13" t="str">
        <x:v>Колено: острая/вращательная боль — немедленно прекратить drop knee. Не докручивать положение руками.</x:v>
      </x:c>
      <x:c r="P773" s="13" t="str">
        <x:v>milestone_03_hooks_tension_first_sixes/week_11_2026-11-16/04_THURSDAY.md</x:v>
      </x:c>
      <x:c r="Q773" s="138" t="str">
        <x:v>Markdown</x:v>
      </x:c>
      <x:c r="R773" s="20" t="str"/>
    </x:row>
    <x:row r="774" ht="36" customHeight="1">
      <x:c r="A774" s="19" t="str">
        <x:v>W11-20261119-0773</x:v>
      </x:c>
      <x:c r="B774" s="13" t="n">
        <x:v>11</x:v>
      </x:c>
      <x:c r="C774" s="13" t="str">
        <x:v>Этап 3 — Hooks, натяжение корпуса и первые шестёрки</x:v>
      </x:c>
      <x:c r="D774" s="138" t="str">
        <x:v>2026-11-19</x:v>
      </x:c>
      <x:c r="E774" s="13" t="str">
        <x:v>Четверг</x:v>
      </x:c>
      <x:c r="F774" s="13" t="str">
        <x:v>Тренировка B — пальцы/проект</x:v>
      </x:c>
      <x:c r="G774" s="44" t="n">
        <x:v>0.05277777777777778</x:v>
      </x:c>
      <x:c r="H774" s="44" t="n">
        <x:v>0.05763888888888889</x:v>
      </x:c>
      <x:c r="I774" s="32" t="n">
        <x:f>ROUND((H774-G774)*1440,0)</x:f>
        <x:v>7</x:v>
      </x:c>
      <x:c r="J774" s="13" t="str">
        <x:v>Вторичная трасса</x:v>
      </x:c>
      <x:c r="K774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774" s="13" t="str">
        <x:v>☐ Не начато</x:v>
      </x:c>
      <x:c r="M774" s="13" t="str">
        <x:v>Обязательно</x:v>
      </x:c>
      <x:c r="N774" s="13" t="str">
        <x:v>RPE 5–7</x:v>
      </x:c>
      <x:c r="O774" s="13" t="str">
        <x:v>Пропустить, если хват уже просел.</x:v>
      </x:c>
      <x:c r="P774" s="13" t="str">
        <x:v>milestone_03_hooks_tension_first_sixes/week_11_2026-11-16/04_THURSDAY.md</x:v>
      </x:c>
      <x:c r="Q774" s="138" t="str">
        <x:v>Markdown</x:v>
      </x:c>
      <x:c r="R774" s="20" t="str"/>
    </x:row>
    <x:row r="775" ht="36" customHeight="1">
      <x:c r="A775" s="19" t="str">
        <x:v>W11-20261119-0774</x:v>
      </x:c>
      <x:c r="B775" s="13" t="n">
        <x:v>11</x:v>
      </x:c>
      <x:c r="C775" s="13" t="str">
        <x:v>Этап 3 — Hooks, натяжение корпуса и первые шестёрки</x:v>
      </x:c>
      <x:c r="D775" s="138" t="str">
        <x:v>2026-11-19</x:v>
      </x:c>
      <x:c r="E775" s="13" t="str">
        <x:v>Четверг</x:v>
      </x:c>
      <x:c r="F775" s="13" t="str">
        <x:v>Тренировка B — пальцы/проект</x:v>
      </x:c>
      <x:c r="G775" s="44" t="n">
        <x:v>0.05763888888888889</x:v>
      </x:c>
      <x:c r="H775" s="44" t="n">
        <x:v>0.06041666666666667</x:v>
      </x:c>
      <x:c r="I775" s="32" t="n">
        <x:f>ROUND((H775-G775)*1440,0)</x:f>
        <x:v>4</x:v>
      </x:c>
      <x:c r="J775" s="13" t="str">
        <x:v>Завершение</x:v>
      </x:c>
      <x:c r="K775" s="13" t="str">
        <x:v>Очень лёгкий спуск/ходьба, вода, никаких финишных висов.</x:v>
      </x:c>
      <x:c r="L775" s="13" t="str">
        <x:v>☐ Не начато</x:v>
      </x:c>
      <x:c r="M775" s="13" t="str">
        <x:v>Обязательно</x:v>
      </x:c>
      <x:c r="N775" s="13" t="str">
        <x:v>RPE 1–2</x:v>
      </x:c>
      <x:c r="O775" s="13" t="str"/>
      <x:c r="P775" s="13" t="str">
        <x:v>milestone_03_hooks_tension_first_sixes/week_11_2026-11-16/04_THURSDAY.md</x:v>
      </x:c>
      <x:c r="Q775" s="138" t="str">
        <x:v>Markdown</x:v>
      </x:c>
      <x:c r="R775" s="20" t="str"/>
    </x:row>
    <x:row r="776" ht="36" customHeight="1">
      <x:c r="A776" s="19" t="str">
        <x:v>W11-20261119-0775</x:v>
      </x:c>
      <x:c r="B776" s="13" t="n">
        <x:v>11</x:v>
      </x:c>
      <x:c r="C776" s="13" t="str">
        <x:v>Этап 3 — Hooks, натяжение корпуса и первые шестёрки</x:v>
      </x:c>
      <x:c r="D776" s="138" t="str">
        <x:v>2026-11-19</x:v>
      </x:c>
      <x:c r="E776" s="13" t="str">
        <x:v>Четверг</x:v>
      </x:c>
      <x:c r="F776" s="13" t="str">
        <x:v>Тренировка B — пальцы/проект</x:v>
      </x:c>
      <x:c r="G776" s="44" t="n">
        <x:v>0.06041666666666667</x:v>
      </x:c>
      <x:c r="H776" s="44" t="n">
        <x:v>0.0625</x:v>
      </x:c>
      <x:c r="I776" s="32" t="n">
        <x:f>ROUND((H776-G776)*1440,0)</x:f>
        <x:v>3</x:v>
      </x:c>
      <x:c r="J776" s="13" t="str">
        <x:v>Журнал</x:v>
      </x:c>
      <x:c r="K776" s="13" t="str">
        <x:v>Запиши попытки, лучшую связку, одну правку и benchmark: Сравнить один и тот же reach лицом к стене и с неглубоким drop knee.</x:v>
      </x:c>
      <x:c r="L776" s="13" t="str">
        <x:v>☐ Не начато</x:v>
      </x:c>
      <x:c r="M776" s="13" t="str">
        <x:v>Обязательно</x:v>
      </x:c>
      <x:c r="N776" s="13" t="str">
        <x:v>Без нагрузки</x:v>
      </x:c>
      <x:c r="O776" s="13" t="str"/>
      <x:c r="P776" s="13" t="str">
        <x:v>milestone_03_hooks_tension_first_sixes/week_11_2026-11-16/04_THURSDAY.md</x:v>
      </x:c>
      <x:c r="Q776" s="138" t="str">
        <x:v>Markdown</x:v>
      </x:c>
      <x:c r="R776" s="20" t="str"/>
    </x:row>
    <x:row r="777" ht="36" customHeight="1">
      <x:c r="A777" s="19" t="str">
        <x:v>W11-20261120-0776</x:v>
      </x:c>
      <x:c r="B777" s="13" t="n">
        <x:v>11</x:v>
      </x:c>
      <x:c r="C777" s="13" t="str">
        <x:v>Этап 3 — Hooks, натяжение корпуса и первые шестёрки</x:v>
      </x:c>
      <x:c r="D777" s="138" t="str">
        <x:v>2026-11-20</x:v>
      </x:c>
      <x:c r="E777" s="13" t="str">
        <x:v>Пятница</x:v>
      </x:c>
      <x:c r="F777" s="13" t="str">
        <x:v>Дом / теория</x:v>
      </x:c>
      <x:c r="G777" s="44" t="n">
        <x:v>0</x:v>
      </x:c>
      <x:c r="H777" s="44" t="n">
        <x:v>0.0020833333333333333</x:v>
      </x:c>
      <x:c r="I777" s="32" t="n">
        <x:f>ROUND((H777-G777)*1440,0)</x:f>
        <x:v>3</x:v>
      </x:c>
      <x:c r="J777" s="13" t="str">
        <x:v>Самопроверка</x:v>
      </x:c>
      <x:c r="K777" s="13" t="str">
        <x:v>Оцени утреннюю реакцию после четверга: пальцы/плечо/колено 0–10. Запиши, восстановилась ли обычная сила кисти.</x:v>
      </x:c>
      <x:c r="L777" s="13" t="str">
        <x:v>☐ Не начато</x:v>
      </x:c>
      <x:c r="M777" s="13" t="str">
        <x:v>Обязательно</x:v>
      </x:c>
      <x:c r="N777" s="13" t="str">
        <x:v>Без нагрузки</x:v>
      </x:c>
      <x:c r="O777" s="13" t="str">
        <x:v>Острая локальная боль пальца или усилившаяся боль плеча = воскресенье только восстановительное.</x:v>
      </x:c>
      <x:c r="P777" s="13" t="str">
        <x:v>milestone_03_hooks_tension_first_sixes/week_11_2026-11-16/05_FRIDAY.md</x:v>
      </x:c>
      <x:c r="Q777" s="138" t="str">
        <x:v>Markdown</x:v>
      </x:c>
      <x:c r="R777" s="20" t="str"/>
    </x:row>
    <x:row r="778" ht="36" customHeight="1">
      <x:c r="A778" s="19" t="str">
        <x:v>W11-20261120-0777</x:v>
      </x:c>
      <x:c r="B778" s="13" t="n">
        <x:v>11</x:v>
      </x:c>
      <x:c r="C778" s="13" t="str">
        <x:v>Этап 3 — Hooks, натяжение корпуса и первые шестёрки</x:v>
      </x:c>
      <x:c r="D778" s="138" t="str">
        <x:v>2026-11-20</x:v>
      </x:c>
      <x:c r="E778" s="13" t="str">
        <x:v>Пятница</x:v>
      </x:c>
      <x:c r="F778" s="13" t="str">
        <x:v>Дом / теория</x:v>
      </x:c>
      <x:c r="G778" s="44" t="n">
        <x:v>0.0020833333333333333</x:v>
      </x:c>
      <x:c r="H778" s="44" t="n">
        <x:v>0.007638888888888889</x:v>
      </x:c>
      <x:c r="I778" s="32" t="n">
        <x:f>ROUND((H778-G778)*1440,0)</x:f>
        <x:v>8</x:v>
      </x:c>
      <x:c r="J778" s="13" t="str">
        <x:v>Теория</x:v>
      </x:c>
      <x:c r="K778" s="13" t="str">
        <x:v>Пересмотри ключевой фрагмент ресурса недели: [R12: BMC — How to use a drop knee when climbing](https://thebmc.co.uk/en/how-to-use-a-drop-knee-when-climbing-video). Задача: Мелкий drop knee с контролируемым разворотом; для правого колена только без боли и без глубокого скручивания.</x:v>
      </x:c>
      <x:c r="L778" s="13" t="str">
        <x:v>☐ Не начато</x:v>
      </x:c>
      <x:c r="M778" s="13" t="str">
        <x:v>Обязательно</x:v>
      </x:c>
      <x:c r="N778" s="13" t="str">
        <x:v>Без нагрузки</x:v>
      </x:c>
      <x:c r="O778" s="13" t="str"/>
      <x:c r="P778" s="13" t="str">
        <x:v>milestone_03_hooks_tension_first_sixes/week_11_2026-11-16/05_FRIDAY.md</x:v>
      </x:c>
      <x:c r="Q778" s="138" t="str">
        <x:v>Markdown</x:v>
      </x:c>
      <x:c r="R778" s="20" t="str"/>
    </x:row>
    <x:row r="779" ht="36" customHeight="1">
      <x:c r="A779" s="19" t="str">
        <x:v>W11-20261120-0778</x:v>
      </x:c>
      <x:c r="B779" s="13" t="n">
        <x:v>11</x:v>
      </x:c>
      <x:c r="C779" s="13" t="str">
        <x:v>Этап 3 — Hooks, натяжение корпуса и первые шестёрки</x:v>
      </x:c>
      <x:c r="D779" s="138" t="str">
        <x:v>2026-11-20</x:v>
      </x:c>
      <x:c r="E779" s="13" t="str">
        <x:v>Пятница</x:v>
      </x:c>
      <x:c r="F779" s="13" t="str">
        <x:v>Дом / теория</x:v>
      </x:c>
      <x:c r="G779" s="44" t="n">
        <x:v>0.007638888888888889</x:v>
      </x:c>
      <x:c r="H779" s="44" t="n">
        <x:v>0.011805555555555555</x:v>
      </x:c>
      <x:c r="I779" s="32" t="n">
        <x:f>ROUND((H779-G779)*1440,0)</x:f>
        <x:v>6</x:v>
      </x:c>
      <x:c r="J779" s="13" t="str">
        <x:v>Ментальная репетиция</x:v>
      </x:c>
      <x:c r="K779" s="13" t="str">
        <x:v>Закрой глаза и 3 раза мысленно пройди одну рабочую трассу: руки → ноги → положение таза → дыхание. Визуализируй cue «Стопа остаётся стабильной, бедро разворачивается; глубина минимальна, достаточна только для движения.».</x:v>
      </x:c>
      <x:c r="L779" s="13" t="str">
        <x:v>☐ Не начато</x:v>
      </x:c>
      <x:c r="M779" s="13" t="str">
        <x:v>Обязательно</x:v>
      </x:c>
      <x:c r="N779" s="13" t="str">
        <x:v>Без нагрузки</x:v>
      </x:c>
      <x:c r="O779" s="13" t="str"/>
      <x:c r="P779" s="13" t="str">
        <x:v>milestone_03_hooks_tension_first_sixes/week_11_2026-11-16/05_FRIDAY.md</x:v>
      </x:c>
      <x:c r="Q779" s="138" t="str">
        <x:v>Markdown</x:v>
      </x:c>
      <x:c r="R779" s="20" t="str"/>
    </x:row>
    <x:row r="780" ht="36" customHeight="1">
      <x:c r="A780" s="19" t="str">
        <x:v>W11-20261120-0779</x:v>
      </x:c>
      <x:c r="B780" s="13" t="n">
        <x:v>11</x:v>
      </x:c>
      <x:c r="C780" s="13" t="str">
        <x:v>Этап 3 — Hooks, натяжение корпуса и первые шестёрки</x:v>
      </x:c>
      <x:c r="D780" s="138" t="str">
        <x:v>2026-11-20</x:v>
      </x:c>
      <x:c r="E780" s="13" t="str">
        <x:v>Пятница</x:v>
      </x:c>
      <x:c r="F780" s="13" t="str">
        <x:v>Дом / теория</x:v>
      </x:c>
      <x:c r="G780" s="44" t="n">
        <x:v>0.011805555555555555</x:v>
      </x:c>
      <x:c r="H780" s="44" t="n">
        <x:v>0.02013888888888889</x:v>
      </x:c>
      <x:c r="I780" s="32" t="n">
        <x:f>ROUND((H780-G780)*1440,0)</x:f>
        <x:v>12</x:v>
      </x:c>
      <x:c r="J780" s="13" t="str">
        <x:v>Домашняя мобильность</x:v>
      </x:c>
      <x:c r="K780" s="13" t="str">
        <x:v>Выполни H3 «Мобильность таза и контроль корпуса» — 12 минут.</x:v>
      </x:c>
      <x:c r="L780" s="13" t="str">
        <x:v>☐ Не начато</x:v>
      </x:c>
      <x:c r="M780" s="13" t="str">
        <x:v>Обязательно</x:v>
      </x:c>
      <x:c r="N780" s="13" t="str">
        <x:v>RPE 2–3</x:v>
      </x:c>
      <x:c r="O780" s="13" t="str">
        <x:v>Никаких скручиваний через боль. Плечом не отталкивайся от стены; касание только для равновесия.</x:v>
      </x:c>
      <x:c r="P780" s="13" t="str">
        <x:v>milestone_03_hooks_tension_first_sixes/week_11_2026-11-16/05_FRIDAY.md</x:v>
      </x:c>
      <x:c r="Q780" s="138" t="str">
        <x:v>Markdown</x:v>
      </x:c>
      <x:c r="R780" s="20" t="str"/>
    </x:row>
    <x:row r="781" ht="36" customHeight="1">
      <x:c r="A781" s="19" t="str">
        <x:v>W11-20261120-0780</x:v>
      </x:c>
      <x:c r="B781" s="13" t="n">
        <x:v>11</x:v>
      </x:c>
      <x:c r="C781" s="13" t="str">
        <x:v>Этап 3 — Hooks, натяжение корпуса и первые шестёрки</x:v>
      </x:c>
      <x:c r="D781" s="138" t="str">
        <x:v>2026-11-20</x:v>
      </x:c>
      <x:c r="E781" s="13" t="str">
        <x:v>Пятница</x:v>
      </x:c>
      <x:c r="F781" s="13" t="str">
        <x:v>Дом / теория</x:v>
      </x:c>
      <x:c r="G781" s="44" t="n">
        <x:v>0.02013888888888889</x:v>
      </x:c>
      <x:c r="H781" s="44" t="n">
        <x:v>0.034027777777777775</x:v>
      </x:c>
      <x:c r="I781" s="32" t="n">
        <x:f>ROUND((H781-G781)*1440,0)</x:f>
        <x:v>20</x:v>
      </x:c>
      <x:c r="J781" s="13" t="str">
        <x:v>Физиотерапия</x:v>
      </x:c>
      <x:c r="K781" s="13" t="str">
        <x:v>Выполни свой назначенный комплекс, если пятница входит в расписание физиотерапевта.</x:v>
      </x:c>
      <x:c r="L781" s="13" t="str">
        <x:v>☐ Не начато</x:v>
      </x:c>
      <x:c r="M781" s="13" t="str">
        <x:v>По назначению</x:v>
      </x:c>
      <x:c r="N781" s="13" t="str">
        <x:v>По назначению</x:v>
      </x:c>
      <x:c r="O781" s="13" t="str">
        <x:v>Не добавляй упражнения из интернета поверх назначений.</x:v>
      </x:c>
      <x:c r="P781" s="13" t="str">
        <x:v>milestone_03_hooks_tension_first_sixes/week_11_2026-11-16/05_FRIDAY.md</x:v>
      </x:c>
      <x:c r="Q781" s="138" t="str">
        <x:v>Markdown</x:v>
      </x:c>
      <x:c r="R781" s="20" t="str"/>
    </x:row>
    <x:row r="782" ht="36" customHeight="1">
      <x:c r="A782" s="19" t="str">
        <x:v>W11-20261120-0781</x:v>
      </x:c>
      <x:c r="B782" s="13" t="n">
        <x:v>11</x:v>
      </x:c>
      <x:c r="C782" s="13" t="str">
        <x:v>Этап 3 — Hooks, натяжение корпуса и первые шестёрки</x:v>
      </x:c>
      <x:c r="D782" s="138" t="str">
        <x:v>2026-11-20</x:v>
      </x:c>
      <x:c r="E782" s="13" t="str">
        <x:v>Пятница</x:v>
      </x:c>
      <x:c r="F782" s="13" t="str">
        <x:v>Дом / теория</x:v>
      </x:c>
      <x:c r="G782" s="44" t="n">
        <x:v>0.034027777777777775</x:v>
      </x:c>
      <x:c r="H782" s="44" t="n">
        <x:v>0.03680555555555556</x:v>
      </x:c>
      <x:c r="I782" s="32" t="n">
        <x:f>ROUND((H782-G782)*1440,0)</x:f>
        <x:v>4</x:v>
      </x:c>
      <x:c r="J782" s="13" t="str">
        <x:v>Журнал</x:v>
      </x:c>
      <x:c r="K782" s="13" t="str">
        <x:v>Запиши одну вещь, которая сработала на этой неделе, и одну, которую повторишь в воскресенье на лёгкой трассе.</x:v>
      </x:c>
      <x:c r="L782" s="13" t="str">
        <x:v>☐ Не начато</x:v>
      </x:c>
      <x:c r="M782" s="13" t="str">
        <x:v>Обязательно</x:v>
      </x:c>
      <x:c r="N782" s="13" t="str">
        <x:v>Без нагрузки</x:v>
      </x:c>
      <x:c r="O782" s="13" t="str"/>
      <x:c r="P782" s="13" t="str">
        <x:v>milestone_03_hooks_tension_first_sixes/week_11_2026-11-16/05_FRIDAY.md</x:v>
      </x:c>
      <x:c r="Q782" s="138" t="str">
        <x:v>Markdown</x:v>
      </x:c>
      <x:c r="R782" s="20" t="str"/>
    </x:row>
    <x:row r="783" ht="36" customHeight="1">
      <x:c r="A783" s="19" t="str">
        <x:v>W11-20261120-0782</x:v>
      </x:c>
      <x:c r="B783" s="13" t="n">
        <x:v>11</x:v>
      </x:c>
      <x:c r="C783" s="13" t="str">
        <x:v>Этап 3 — Hooks, натяжение корпуса и первые шестёрки</x:v>
      </x:c>
      <x:c r="D783" s="138" t="str">
        <x:v>2026-11-20</x:v>
      </x:c>
      <x:c r="E783" s="13" t="str">
        <x:v>Пятница</x:v>
      </x:c>
      <x:c r="F783" s="13" t="str">
        <x:v>Дом / теория</x:v>
      </x:c>
      <x:c r="G783" s="44" t="n">
        <x:v>0.03680555555555556</x:v>
      </x:c>
      <x:c r="H783" s="44" t="n">
        <x:v>0.03888888888888889</x:v>
      </x:c>
      <x:c r="I783" s="32" t="n">
        <x:f>ROUND((H783-G783)*1440,0)</x:f>
        <x:v>3</x:v>
      </x:c>
      <x:c r="J783" s="13" t="str">
        <x:v>Запрет лишней нагрузки</x:v>
      </x:c>
      <x:c r="K783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783" s="13" t="str">
        <x:v>☐ Не начато</x:v>
      </x:c>
      <x:c r="M783" s="13" t="str">
        <x:v>Обязательно</x:v>
      </x:c>
      <x:c r="N783" s="13" t="str">
        <x:v>Восстановление</x:v>
      </x:c>
      <x:c r="O783" s="13" t="str">
        <x:v>Общая пальцевая нагрузка уже получена в четверг.</x:v>
      </x:c>
      <x:c r="P783" s="13" t="str">
        <x:v>milestone_03_hooks_tension_first_sixes/week_11_2026-11-16/05_FRIDAY.md</x:v>
      </x:c>
      <x:c r="Q783" s="138" t="str">
        <x:v>Markdown</x:v>
      </x:c>
      <x:c r="R783" s="20" t="str"/>
    </x:row>
    <x:row r="784" ht="36" customHeight="1">
      <x:c r="A784" s="19" t="str">
        <x:v>W11-20261121-0783</x:v>
      </x:c>
      <x:c r="B784" s="13" t="n">
        <x:v>11</x:v>
      </x:c>
      <x:c r="C784" s="13" t="str">
        <x:v>Этап 3 — Hooks, натяжение корпуса и первые шестёрки</x:v>
      </x:c>
      <x:c r="D784" s="138" t="str">
        <x:v>2026-11-21</x:v>
      </x:c>
      <x:c r="E784" s="13" t="str">
        <x:v>Суббота</x:v>
      </x:c>
      <x:c r="F784" s="13" t="str">
        <x:v>Отдых / подготовка</x:v>
      </x:c>
      <x:c r="G784" s="44" t="n">
        <x:v>0</x:v>
      </x:c>
      <x:c r="H784" s="44" t="n">
        <x:v>0.003472222222222222</x:v>
      </x:c>
      <x:c r="I784" s="32" t="n">
        <x:f>ROUND((H784-G784)*1440,0)</x:f>
        <x:v>5</x:v>
      </x:c>
      <x:c r="J784" s="13" t="str">
        <x:v>Самопроверка</x:v>
      </x:c>
      <x:c r="K784" s="13" t="str">
        <x:v>Проверь кожу пальцев, ногти, плечо и колено. Никаких тестовых висов.</x:v>
      </x:c>
      <x:c r="L784" s="13" t="str">
        <x:v>☐ Не начато</x:v>
      </x:c>
      <x:c r="M784" s="13" t="str">
        <x:v>Обязательно</x:v>
      </x:c>
      <x:c r="N784" s="13" t="str">
        <x:v>Восстановление</x:v>
      </x:c>
      <x:c r="O784" s="13" t="str"/>
      <x:c r="P784" s="13" t="str">
        <x:v>milestone_03_hooks_tension_first_sixes/week_11_2026-11-16/06_SATURDAY.md</x:v>
      </x:c>
      <x:c r="Q784" s="138" t="str">
        <x:v>Markdown</x:v>
      </x:c>
      <x:c r="R784" s="20" t="str"/>
    </x:row>
    <x:row r="785" ht="36" customHeight="1">
      <x:c r="A785" s="19" t="str">
        <x:v>W11-20261121-0784</x:v>
      </x:c>
      <x:c r="B785" s="13" t="n">
        <x:v>11</x:v>
      </x:c>
      <x:c r="C785" s="13" t="str">
        <x:v>Этап 3 — Hooks, натяжение корпуса и первые шестёрки</x:v>
      </x:c>
      <x:c r="D785" s="138" t="str">
        <x:v>2026-11-21</x:v>
      </x:c>
      <x:c r="E785" s="13" t="str">
        <x:v>Суббота</x:v>
      </x:c>
      <x:c r="F785" s="13" t="str">
        <x:v>Отдых / подготовка</x:v>
      </x:c>
      <x:c r="G785" s="44" t="n">
        <x:v>0.003472222222222222</x:v>
      </x:c>
      <x:c r="H785" s="44" t="n">
        <x:v>0.010416666666666666</x:v>
      </x:c>
      <x:c r="I785" s="32" t="n">
        <x:f>ROUND((H785-G785)*1440,0)</x:f>
        <x:v>10</x:v>
      </x:c>
      <x:c r="J785" s="13" t="str">
        <x:v>Активное восстановление</x:v>
      </x:c>
      <x:c r="K785" s="13" t="str">
        <x:v>10 минут лёгкой прогулки или бытовой активности. Цель — восстановление, не тренировка.</x:v>
      </x:c>
      <x:c r="L785" s="13" t="str">
        <x:v>☐ Не начато</x:v>
      </x:c>
      <x:c r="M785" s="13" t="str">
        <x:v>Обязательно</x:v>
      </x:c>
      <x:c r="N785" s="13" t="str">
        <x:v>RPE 1–2</x:v>
      </x:c>
      <x:c r="O785" s="13" t="str"/>
      <x:c r="P785" s="13" t="str">
        <x:v>milestone_03_hooks_tension_first_sixes/week_11_2026-11-16/06_SATURDAY.md</x:v>
      </x:c>
      <x:c r="Q785" s="138" t="str">
        <x:v>Markdown</x:v>
      </x:c>
      <x:c r="R785" s="20" t="str"/>
    </x:row>
    <x:row r="786" ht="36" customHeight="1">
      <x:c r="A786" s="19" t="str">
        <x:v>W11-20261121-0785</x:v>
      </x:c>
      <x:c r="B786" s="13" t="n">
        <x:v>11</x:v>
      </x:c>
      <x:c r="C786" s="13" t="str">
        <x:v>Этап 3 — Hooks, натяжение корпуса и первые шестёрки</x:v>
      </x:c>
      <x:c r="D786" s="138" t="str">
        <x:v>2026-11-21</x:v>
      </x:c>
      <x:c r="E786" s="13" t="str">
        <x:v>Суббота</x:v>
      </x:c>
      <x:c r="F786" s="13" t="str">
        <x:v>Отдых / подготовка</x:v>
      </x:c>
      <x:c r="G786" s="44" t="n">
        <x:v>0.010416666666666666</x:v>
      </x:c>
      <x:c r="H786" s="44" t="n">
        <x:v>0.013888888888888888</x:v>
      </x:c>
      <x:c r="I786" s="32" t="n">
        <x:f>ROUND((H786-G786)*1440,0)</x:f>
        <x:v>5</x:v>
      </x:c>
      <x:c r="J786" s="13" t="str">
        <x:v>Уход за кожей</x:v>
      </x:c>
      <x:c r="K786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786" s="13" t="str">
        <x:v>☐ Не начато</x:v>
      </x:c>
      <x:c r="M786" s="13" t="str">
        <x:v>Опционально</x:v>
      </x:c>
      <x:c r="N786" s="13" t="str">
        <x:v>Без нагрузки</x:v>
      </x:c>
      <x:c r="O786" s="13" t="str">
        <x:v>Повреждённую/болезненную кожу не шлифовать.</x:v>
      </x:c>
      <x:c r="P786" s="13" t="str">
        <x:v>milestone_03_hooks_tension_first_sixes/week_11_2026-11-16/06_SATURDAY.md</x:v>
      </x:c>
      <x:c r="Q786" s="138" t="str">
        <x:v>Markdown</x:v>
      </x:c>
      <x:c r="R786" s="20" t="str"/>
    </x:row>
    <x:row r="787" ht="36" customHeight="1">
      <x:c r="A787" s="19" t="str">
        <x:v>W11-20261121-0786</x:v>
      </x:c>
      <x:c r="B787" s="13" t="n">
        <x:v>11</x:v>
      </x:c>
      <x:c r="C787" s="13" t="str">
        <x:v>Этап 3 — Hooks, натяжение корпуса и первые шестёрки</x:v>
      </x:c>
      <x:c r="D787" s="138" t="str">
        <x:v>2026-11-21</x:v>
      </x:c>
      <x:c r="E787" s="13" t="str">
        <x:v>Суббота</x:v>
      </x:c>
      <x:c r="F787" s="13" t="str">
        <x:v>Отдых / подготовка</x:v>
      </x:c>
      <x:c r="G787" s="44" t="n">
        <x:v>0.013888888888888888</x:v>
      </x:c>
      <x:c r="H787" s="44" t="n">
        <x:v>0.016666666666666666</x:v>
      </x:c>
      <x:c r="I787" s="32" t="n">
        <x:f>ROUND((H787-G787)*1440,0)</x:f>
        <x:v>4</x:v>
      </x:c>
      <x:c r="J787" s="13" t="str">
        <x:v>Подготовка</x:v>
      </x:c>
      <x:c r="K787" s="13" t="str">
        <x:v>Заряди телефон, освободи память для одного видео, положи щётку и магнезию.</x:v>
      </x:c>
      <x:c r="L787" s="13" t="str">
        <x:v>☐ Не начато</x:v>
      </x:c>
      <x:c r="M787" s="13" t="str">
        <x:v>Обязательно</x:v>
      </x:c>
      <x:c r="N787" s="13" t="str">
        <x:v>Без нагрузки</x:v>
      </x:c>
      <x:c r="O787" s="13" t="str"/>
      <x:c r="P787" s="13" t="str">
        <x:v>milestone_03_hooks_tension_first_sixes/week_11_2026-11-16/06_SATURDAY.md</x:v>
      </x:c>
      <x:c r="Q787" s="138" t="str">
        <x:v>Markdown</x:v>
      </x:c>
      <x:c r="R787" s="20" t="str"/>
    </x:row>
    <x:row r="788" ht="36" customHeight="1">
      <x:c r="A788" s="19" t="str">
        <x:v>W11-20261121-0787</x:v>
      </x:c>
      <x:c r="B788" s="13" t="n">
        <x:v>11</x:v>
      </x:c>
      <x:c r="C788" s="13" t="str">
        <x:v>Этап 3 — Hooks, натяжение корпуса и первые шестёрки</x:v>
      </x:c>
      <x:c r="D788" s="138" t="str">
        <x:v>2026-11-21</x:v>
      </x:c>
      <x:c r="E788" s="13" t="str">
        <x:v>Суббота</x:v>
      </x:c>
      <x:c r="F788" s="13" t="str">
        <x:v>Отдых / подготовка</x:v>
      </x:c>
      <x:c r="G788" s="44" t="n">
        <x:v>0.016666666666666666</x:v>
      </x:c>
      <x:c r="H788" s="44" t="n">
        <x:v>0.01875</x:v>
      </x:c>
      <x:c r="I788" s="32" t="n">
        <x:f>ROUND((H788-G788)*1440,0)</x:f>
        <x:v>3</x:v>
      </x:c>
      <x:c r="J788" s="13" t="str">
        <x:v>План воскресенья</x:v>
      </x:c>
      <x:c r="K788" s="13" t="str">
        <x:v>Выбери заранее одну лёгкую трассу под тему «Неглубокий drop knee». Воскресенье остаётся развлечением, не третьим тяжёлым днём.</x:v>
      </x:c>
      <x:c r="L788" s="13" t="str">
        <x:v>☐ Не начато</x:v>
      </x:c>
      <x:c r="M788" s="13" t="str">
        <x:v>Обязательно</x:v>
      </x:c>
      <x:c r="N788" s="13" t="str">
        <x:v>Без нагрузки</x:v>
      </x:c>
      <x:c r="O788" s="13" t="str"/>
      <x:c r="P788" s="13" t="str">
        <x:v>milestone_03_hooks_tension_first_sixes/week_11_2026-11-16/06_SATURDAY.md</x:v>
      </x:c>
      <x:c r="Q788" s="138" t="str">
        <x:v>Markdown</x:v>
      </x:c>
      <x:c r="R788" s="20" t="str"/>
    </x:row>
    <x:row r="789" ht="36" customHeight="1">
      <x:c r="A789" s="19" t="str">
        <x:v>W11-20261121-0788</x:v>
      </x:c>
      <x:c r="B789" s="13" t="n">
        <x:v>11</x:v>
      </x:c>
      <x:c r="C789" s="13" t="str">
        <x:v>Этап 3 — Hooks, натяжение корпуса и первые шестёрки</x:v>
      </x:c>
      <x:c r="D789" s="138" t="str">
        <x:v>2026-11-21</x:v>
      </x:c>
      <x:c r="E789" s="13" t="str">
        <x:v>Суббота</x:v>
      </x:c>
      <x:c r="F789" s="13" t="str">
        <x:v>Отдых / подготовка</x:v>
      </x:c>
      <x:c r="G789" s="44" t="n">
        <x:v>0.01875</x:v>
      </x:c>
      <x:c r="H789" s="44" t="n">
        <x:v>0.020833333333333332</x:v>
      </x:c>
      <x:c r="I789" s="32" t="n">
        <x:f>ROUND((H789-G789)*1440,0)</x:f>
        <x:v>3</x:v>
      </x:c>
      <x:c r="J789" s="13" t="str">
        <x:v>Сон / восстановление</x:v>
      </x:c>
      <x:c r="K789" s="13" t="str">
        <x:v>Запланируй обычный сон и нормальный приём пищи; не пытайся «разбудить хват» вечером.</x:v>
      </x:c>
      <x:c r="L789" s="13" t="str">
        <x:v>☐ Не начато</x:v>
      </x:c>
      <x:c r="M789" s="13" t="str">
        <x:v>Обязательно</x:v>
      </x:c>
      <x:c r="N789" s="13" t="str">
        <x:v>Восстановление</x:v>
      </x:c>
      <x:c r="O789" s="13" t="str"/>
      <x:c r="P789" s="13" t="str">
        <x:v>milestone_03_hooks_tension_first_sixes/week_11_2026-11-16/06_SATURDAY.md</x:v>
      </x:c>
      <x:c r="Q789" s="138" t="str">
        <x:v>Markdown</x:v>
      </x:c>
      <x:c r="R789" s="20" t="str"/>
    </x:row>
    <x:row r="790" ht="36" customHeight="1">
      <x:c r="A790" s="19" t="str">
        <x:v>W11-20261122-0789</x:v>
      </x:c>
      <x:c r="B790" s="13" t="n">
        <x:v>11</x:v>
      </x:c>
      <x:c r="C790" s="13" t="str">
        <x:v>Этап 3 — Hooks, натяжение корпуса и первые шестёрки</x:v>
      </x:c>
      <x:c r="D790" s="138" t="str">
        <x:v>2026-11-22</x:v>
      </x:c>
      <x:c r="E790" s="13" t="str">
        <x:v>Воскресенье</x:v>
      </x:c>
      <x:c r="F790" s="13" t="str">
        <x:v>Тренировка C — fun / опционально</x:v>
      </x:c>
      <x:c r="G790" s="44" t="n">
        <x:v>0</x:v>
      </x:c>
      <x:c r="H790" s="44" t="n">
        <x:v>0.0020833333333333333</x:v>
      </x:c>
      <x:c r="I790" s="32" t="n">
        <x:f>ROUND((H790-G790)*1440,0)</x:f>
        <x:v>3</x:v>
      </x:c>
      <x:c r="J790" s="13" t="str">
        <x:v>Выбор сценария</x:v>
      </x:c>
      <x:c r="K790" s="13" t="str">
        <x:v>Выбери один сценарий: (A) fun-сессия 75 минут в зале или (B) восстановительный день дома 25 минут. Не выполнять оба.</x:v>
      </x:c>
      <x:c r="L790" s="13" t="str">
        <x:v>☐ Не начато</x:v>
      </x:c>
      <x:c r="M790" s="13" t="str">
        <x:v>Выбрать один сценарий</x:v>
      </x:c>
      <x:c r="N790" s="13" t="str">
        <x:v>По состоянию</x:v>
      </x:c>
      <x:c r="O790" s="13" t="str"/>
      <x:c r="P790" s="13" t="str">
        <x:v>milestone_03_hooks_tension_first_sixes/week_11_2026-11-16/07_SUNDAY.md</x:v>
      </x:c>
      <x:c r="Q790" s="138" t="str">
        <x:v>Markdown</x:v>
      </x:c>
      <x:c r="R790" s="20" t="str"/>
    </x:row>
    <x:row r="791" ht="36" customHeight="1">
      <x:c r="A791" s="19" t="str">
        <x:v>W11-20261122-0790</x:v>
      </x:c>
      <x:c r="B791" s="13" t="n">
        <x:v>11</x:v>
      </x:c>
      <x:c r="C791" s="13" t="str">
        <x:v>Этап 3 — Hooks, натяжение корпуса и первые шестёрки</x:v>
      </x:c>
      <x:c r="D791" s="138" t="str">
        <x:v>2026-11-22</x:v>
      </x:c>
      <x:c r="E791" s="13" t="str">
        <x:v>Воскресенье</x:v>
      </x:c>
      <x:c r="F791" s="13" t="str">
        <x:v>Тренировка C — fun / опционально</x:v>
      </x:c>
      <x:c r="G791" s="44" t="n">
        <x:v>0.0020833333333333333</x:v>
      </x:c>
      <x:c r="H791" s="44" t="n">
        <x:v>0.005555555555555556</x:v>
      </x:c>
      <x:c r="I791" s="32" t="n">
        <x:f>ROUND((H791-G791)*1440,0)</x:f>
        <x:v>5</x:v>
      </x:c>
      <x:c r="J791" s="13" t="str">
        <x:v>Разминка A</x:v>
      </x:c>
      <x:c r="K791" s="13" t="str">
        <x:v>Если идёшь в зал: 5 минут поднятия температуры.</x:v>
      </x:c>
      <x:c r="L791" s="13" t="str">
        <x:v>☐ Не начато</x:v>
      </x:c>
      <x:c r="M791" s="13" t="str">
        <x:v>Опционально</x:v>
      </x:c>
      <x:c r="N791" s="13" t="str">
        <x:v>RPE 2–3</x:v>
      </x:c>
      <x:c r="O791" s="13" t="str"/>
      <x:c r="P791" s="13" t="str">
        <x:v>milestone_03_hooks_tension_first_sixes/week_11_2026-11-16/07_SUNDAY.md</x:v>
      </x:c>
      <x:c r="Q791" s="138" t="str">
        <x:v>Markdown</x:v>
      </x:c>
      <x:c r="R791" s="20" t="str"/>
    </x:row>
    <x:row r="792" ht="36" customHeight="1">
      <x:c r="A792" s="19" t="str">
        <x:v>W11-20261122-0791</x:v>
      </x:c>
      <x:c r="B792" s="13" t="n">
        <x:v>11</x:v>
      </x:c>
      <x:c r="C792" s="13" t="str">
        <x:v>Этап 3 — Hooks, натяжение корпуса и первые шестёрки</x:v>
      </x:c>
      <x:c r="D792" s="138" t="str">
        <x:v>2026-11-22</x:v>
      </x:c>
      <x:c r="E792" s="13" t="str">
        <x:v>Воскресенье</x:v>
      </x:c>
      <x:c r="F792" s="13" t="str">
        <x:v>Тренировка C — fun / опционально</x:v>
      </x:c>
      <x:c r="G792" s="44" t="n">
        <x:v>0.005555555555555556</x:v>
      </x:c>
      <x:c r="H792" s="44" t="n">
        <x:v>0.009027777777777777</x:v>
      </x:c>
      <x:c r="I792" s="32" t="n">
        <x:f>ROUND((H792-G792)*1440,0)</x:f>
        <x:v>5</x:v>
      </x:c>
      <x:c r="J792" s="13" t="str">
        <x:v>Разминка A</x:v>
      </x:c>
      <x:c r="K792" s="13" t="str">
        <x:v>Динамическая суставная разминка в безболезненном диапазоне; без отжиманий/press.</x:v>
      </x:c>
      <x:c r="L792" s="13" t="str">
        <x:v>☐ Не начато</x:v>
      </x:c>
      <x:c r="M792" s="13" t="str">
        <x:v>Опционально</x:v>
      </x:c>
      <x:c r="N792" s="13" t="str">
        <x:v>Очень легко</x:v>
      </x:c>
      <x:c r="O792" s="13" t="str">
        <x:v>Колено: острая/вращательная боль — немедленно прекратить drop knee. Не докручивать положение руками.</x:v>
      </x:c>
      <x:c r="P792" s="13" t="str">
        <x:v>milestone_03_hooks_tension_first_sixes/week_11_2026-11-16/07_SUNDAY.md</x:v>
      </x:c>
      <x:c r="Q792" s="138" t="str">
        <x:v>Markdown</x:v>
      </x:c>
      <x:c r="R792" s="20" t="str"/>
    </x:row>
    <x:row r="793" ht="36" customHeight="1">
      <x:c r="A793" s="19" t="str">
        <x:v>W11-20261122-0792</x:v>
      </x:c>
      <x:c r="B793" s="13" t="n">
        <x:v>11</x:v>
      </x:c>
      <x:c r="C793" s="13" t="str">
        <x:v>Этап 3 — Hooks, натяжение корпуса и первые шестёрки</x:v>
      </x:c>
      <x:c r="D793" s="138" t="str">
        <x:v>2026-11-22</x:v>
      </x:c>
      <x:c r="E793" s="13" t="str">
        <x:v>Воскресенье</x:v>
      </x:c>
      <x:c r="F793" s="13" t="str">
        <x:v>Тренировка C — fun / опционально</x:v>
      </x:c>
      <x:c r="G793" s="44" t="n">
        <x:v>0.009027777777777777</x:v>
      </x:c>
      <x:c r="H793" s="44" t="n">
        <x:v>0.013888888888888888</x:v>
      </x:c>
      <x:c r="I793" s="32" t="n">
        <x:f>ROUND((H793-G793)*1440,0)</x:f>
        <x:v>7</x:v>
      </x:c>
      <x:c r="J793" s="13" t="str">
        <x:v>Лёгкое лазание A</x:v>
      </x:c>
      <x:c r="K793" s="13" t="str">
        <x:v>3 очень лёгкие трассы 1–3 с постепенным увеличением сложности.</x:v>
      </x:c>
      <x:c r="L793" s="13" t="str">
        <x:v>☐ Не начато</x:v>
      </x:c>
      <x:c r="M793" s="13" t="str">
        <x:v>Опционально</x:v>
      </x:c>
      <x:c r="N793" s="13" t="str">
        <x:v>RPE 2–4</x:v>
      </x:c>
      <x:c r="O793" s="13" t="str"/>
      <x:c r="P793" s="13" t="str">
        <x:v>milestone_03_hooks_tension_first_sixes/week_11_2026-11-16/07_SUNDAY.md</x:v>
      </x:c>
      <x:c r="Q793" s="138" t="str">
        <x:v>Markdown</x:v>
      </x:c>
      <x:c r="R793" s="20" t="str"/>
    </x:row>
    <x:row r="794" ht="36" customHeight="1">
      <x:c r="A794" s="19" t="str">
        <x:v>W11-20261122-0793</x:v>
      </x:c>
      <x:c r="B794" s="13" t="n">
        <x:v>11</x:v>
      </x:c>
      <x:c r="C794" s="13" t="str">
        <x:v>Этап 3 — Hooks, натяжение корпуса и первые шестёрки</x:v>
      </x:c>
      <x:c r="D794" s="138" t="str">
        <x:v>2026-11-22</x:v>
      </x:c>
      <x:c r="E794" s="13" t="str">
        <x:v>Воскресенье</x:v>
      </x:c>
      <x:c r="F794" s="13" t="str">
        <x:v>Тренировка C — fun / опционально</x:v>
      </x:c>
      <x:c r="G794" s="44" t="n">
        <x:v>0.013888888888888888</x:v>
      </x:c>
      <x:c r="H794" s="44" t="n">
        <x:v>0.020833333333333332</x:v>
      </x:c>
      <x:c r="I794" s="32" t="n">
        <x:f>ROUND((H794-G794)*1440,0)</x:f>
        <x:v>10</x:v>
      </x:c>
      <x:c r="J794" s="13" t="str">
        <x:v>Технический праймер A</x:v>
      </x:c>
      <x:c r="K794" s="13" t="str">
        <x:v>На одной лёгкой трассе дважды повтори «Неглубокий drop knee». Критерий: Reach становится короче, а колено и плечо остаются полностью спокойными.</x:v>
      </x:c>
      <x:c r="L794" s="13" t="str">
        <x:v>☐ Не начато</x:v>
      </x:c>
      <x:c r="M794" s="13" t="str">
        <x:v>Опционально</x:v>
      </x:c>
      <x:c r="N794" s="13" t="str">
        <x:v>RPE 3–4</x:v>
      </x:c>
      <x:c r="O794" s="13" t="str">
        <x:v>Острая или вращательная боль в правом колене = немедленно прекратить этот вариант.</x:v>
      </x:c>
      <x:c r="P794" s="13" t="str">
        <x:v>milestone_03_hooks_tension_first_sixes/week_11_2026-11-16/07_SUNDAY.md</x:v>
      </x:c>
      <x:c r="Q794" s="138" t="str">
        <x:v>Markdown</x:v>
      </x:c>
      <x:c r="R794" s="20" t="str"/>
    </x:row>
    <x:row r="795" ht="36" customHeight="1">
      <x:c r="A795" s="19" t="str">
        <x:v>W11-20261122-0794</x:v>
      </x:c>
      <x:c r="B795" s="13" t="n">
        <x:v>11</x:v>
      </x:c>
      <x:c r="C795" s="13" t="str">
        <x:v>Этап 3 — Hooks, натяжение корпуса и первые шестёрки</x:v>
      </x:c>
      <x:c r="D795" s="138" t="str">
        <x:v>2026-11-22</x:v>
      </x:c>
      <x:c r="E795" s="13" t="str">
        <x:v>Воскресенье</x:v>
      </x:c>
      <x:c r="F795" s="13" t="str">
        <x:v>Тренировка C — fun / опционально</x:v>
      </x:c>
      <x:c r="G795" s="44" t="n">
        <x:v>0.020833333333333332</x:v>
      </x:c>
      <x:c r="H795" s="44" t="n">
        <x:v>0.03819444444444445</x:v>
      </x:c>
      <x:c r="I795" s="32" t="n">
        <x:f>ROUND((H795-G795)*1440,0)</x:f>
        <x:v>25</x:v>
      </x:c>
      <x:c r="J795" s="13" t="str">
        <x:v>Свободное лазание A</x:v>
      </x:c>
      <x:c r="K795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795" s="13" t="str">
        <x:v>☐ Не начато</x:v>
      </x:c>
      <x:c r="M795" s="13" t="str">
        <x:v>Опционально</x:v>
      </x:c>
      <x:c r="N795" s="13" t="str">
        <x:v>RPE 4–7</x:v>
      </x:c>
      <x:c r="O795" s="13" t="str">
        <x:v>Не превращать блок в круг на выносливость.</x:v>
      </x:c>
      <x:c r="P795" s="13" t="str">
        <x:v>milestone_03_hooks_tension_first_sixes/week_11_2026-11-16/07_SUNDAY.md</x:v>
      </x:c>
      <x:c r="Q795" s="138" t="str">
        <x:v>Markdown</x:v>
      </x:c>
      <x:c r="R795" s="20" t="str"/>
    </x:row>
    <x:row r="796" ht="36" customHeight="1">
      <x:c r="A796" s="19" t="str">
        <x:v>W11-20261122-0795</x:v>
      </x:c>
      <x:c r="B796" s="13" t="n">
        <x:v>11</x:v>
      </x:c>
      <x:c r="C796" s="13" t="str">
        <x:v>Этап 3 — Hooks, натяжение корпуса и первые шестёрки</x:v>
      </x:c>
      <x:c r="D796" s="138" t="str">
        <x:v>2026-11-22</x:v>
      </x:c>
      <x:c r="E796" s="13" t="str">
        <x:v>Воскресенье</x:v>
      </x:c>
      <x:c r="F796" s="13" t="str">
        <x:v>Тренировка C — fun / опционально</x:v>
      </x:c>
      <x:c r="G796" s="44" t="n">
        <x:v>0.03819444444444445</x:v>
      </x:c>
      <x:c r="H796" s="44" t="n">
        <x:v>0.04583333333333333</x:v>
      </x:c>
      <x:c r="I796" s="32" t="n">
        <x:f>ROUND((H796-G796)*1440,0)</x:f>
        <x:v>11</x:v>
      </x:c>
      <x:c r="J796" s="13" t="str">
        <x:v>Свежая сложная попытка A</x:v>
      </x:c>
      <x:c r="K796" s="13" t="str">
        <x:v>Только если всё зелёное: попробуй одну рабочую пятёрку или дружелюбную шестёрку по критериям недели — Пятёрка, где разворот уменьшает расстояние до зацепа; шестёрка — до 5 качественных попыток. Максимум 2 попытки, отдых 4 минуты.</x:v>
      </x:c>
      <x:c r="L796" s="13" t="str">
        <x:v>☐ Не начато</x:v>
      </x:c>
      <x:c r="M796" s="13" t="str">
        <x:v>Опционально</x:v>
      </x:c>
      <x:c r="N796" s="13" t="str">
        <x:v>RPE 7–8, без отказа</x:v>
      </x:c>
      <x:c r="O796" s="13" t="str">
        <x:v>Колено: острая/вращательная боль — немедленно прекратить drop knee. Не докручивать положение руками.</x:v>
      </x:c>
      <x:c r="P796" s="13" t="str">
        <x:v>milestone_03_hooks_tension_first_sixes/week_11_2026-11-16/07_SUNDAY.md</x:v>
      </x:c>
      <x:c r="Q796" s="138" t="str">
        <x:v>Markdown</x:v>
      </x:c>
      <x:c r="R796" s="20" t="str"/>
    </x:row>
    <x:row r="797" ht="36" customHeight="1">
      <x:c r="A797" s="19" t="str">
        <x:v>W11-20261122-0796</x:v>
      </x:c>
      <x:c r="B797" s="13" t="n">
        <x:v>11</x:v>
      </x:c>
      <x:c r="C797" s="13" t="str">
        <x:v>Этап 3 — Hooks, натяжение корпуса и первые шестёрки</x:v>
      </x:c>
      <x:c r="D797" s="138" t="str">
        <x:v>2026-11-22</x:v>
      </x:c>
      <x:c r="E797" s="13" t="str">
        <x:v>Воскресенье</x:v>
      </x:c>
      <x:c r="F797" s="13" t="str">
        <x:v>Тренировка C — fun / опционально</x:v>
      </x:c>
      <x:c r="G797" s="44" t="n">
        <x:v>0.04583333333333333</x:v>
      </x:c>
      <x:c r="H797" s="44" t="n">
        <x:v>0.05</x:v>
      </x:c>
      <x:c r="I797" s="32" t="n">
        <x:f>ROUND((H797-G797)*1440,0)</x:f>
        <x:v>6</x:v>
      </x:c>
      <x:c r="J797" s="13" t="str">
        <x:v>Лёгкий финал A</x:v>
      </x:c>
      <x:c r="K797" s="13" t="str">
        <x:v>Одна любимая лёгкая трасса или спокойный спуск. Фингерборда и capacity-круга нет.</x:v>
      </x:c>
      <x:c r="L797" s="13" t="str">
        <x:v>☐ Не начато</x:v>
      </x:c>
      <x:c r="M797" s="13" t="str">
        <x:v>Опционально</x:v>
      </x:c>
      <x:c r="N797" s="13" t="str">
        <x:v>RPE 2–3</x:v>
      </x:c>
      <x:c r="O797" s="13" t="str"/>
      <x:c r="P797" s="13" t="str">
        <x:v>milestone_03_hooks_tension_first_sixes/week_11_2026-11-16/07_SUNDAY.md</x:v>
      </x:c>
      <x:c r="Q797" s="138" t="str">
        <x:v>Markdown</x:v>
      </x:c>
      <x:c r="R797" s="20" t="str"/>
    </x:row>
    <x:row r="798" ht="36" customHeight="1">
      <x:c r="A798" s="19" t="str">
        <x:v>W11-20261122-0797</x:v>
      </x:c>
      <x:c r="B798" s="13" t="n">
        <x:v>11</x:v>
      </x:c>
      <x:c r="C798" s="13" t="str">
        <x:v>Этап 3 — Hooks, натяжение корпуса и первые шестёрки</x:v>
      </x:c>
      <x:c r="D798" s="138" t="str">
        <x:v>2026-11-22</x:v>
      </x:c>
      <x:c r="E798" s="13" t="str">
        <x:v>Воскресенье</x:v>
      </x:c>
      <x:c r="F798" s="13" t="str">
        <x:v>Тренировка C — fun / опционально</x:v>
      </x:c>
      <x:c r="G798" s="44" t="n">
        <x:v>0.05</x:v>
      </x:c>
      <x:c r="H798" s="44" t="n">
        <x:v>0.052083333333333336</x:v>
      </x:c>
      <x:c r="I798" s="32" t="n">
        <x:f>ROUND((H798-G798)*1440,0)</x:f>
        <x:v>3</x:v>
      </x:c>
      <x:c r="J798" s="13" t="str">
        <x:v>Журнал A</x:v>
      </x:c>
      <x:c r="K798" s="13" t="str">
        <x:v>Запиши только 3 вещи: что было весело, один удачный технический момент, состояние пальцев после сессии.</x:v>
      </x:c>
      <x:c r="L798" s="13" t="str">
        <x:v>☐ Не начато</x:v>
      </x:c>
      <x:c r="M798" s="13" t="str">
        <x:v>Опционально</x:v>
      </x:c>
      <x:c r="N798" s="13" t="str">
        <x:v>Без нагрузки</x:v>
      </x:c>
      <x:c r="O798" s="13" t="str"/>
      <x:c r="P798" s="13" t="str">
        <x:v>milestone_03_hooks_tension_first_sixes/week_11_2026-11-16/07_SUNDAY.md</x:v>
      </x:c>
      <x:c r="Q798" s="138" t="str">
        <x:v>Markdown</x:v>
      </x:c>
      <x:c r="R798" s="20" t="str"/>
    </x:row>
    <x:row r="799" ht="36" customHeight="1">
      <x:c r="A799" s="19" t="str">
        <x:v>W11-20261122-0798</x:v>
      </x:c>
      <x:c r="B799" s="13" t="n">
        <x:v>11</x:v>
      </x:c>
      <x:c r="C799" s="13" t="str">
        <x:v>Этап 3 — Hooks, натяжение корпуса и первые шестёрки</x:v>
      </x:c>
      <x:c r="D799" s="138" t="str">
        <x:v>2026-11-22</x:v>
      </x:c>
      <x:c r="E799" s="13" t="str">
        <x:v>Воскресенье</x:v>
      </x:c>
      <x:c r="F799" s="13" t="str">
        <x:v>Восстановление B — дома</x:v>
      </x:c>
      <x:c r="G799" s="44" t="n">
        <x:v>0</x:v>
      </x:c>
      <x:c r="H799" s="44" t="n">
        <x:v>0.010416666666666666</x:v>
      </x:c>
      <x:c r="I799" s="32" t="n">
        <x:f>ROUND((H799-G799)*1440,0)</x:f>
        <x:v>15</x:v>
      </x:c>
      <x:c r="J799" s="13" t="str">
        <x:v>Прогулка B</x:v>
      </x:c>
      <x:c r="K799" s="13" t="str">
        <x:v>Если не идёшь в зал: 15 минут спокойной прогулки.</x:v>
      </x:c>
      <x:c r="L799" s="13" t="str">
        <x:v>☐ Не начато</x:v>
      </x:c>
      <x:c r="M799" s="13" t="str">
        <x:v>Опционально</x:v>
      </x:c>
      <x:c r="N799" s="13" t="str">
        <x:v>RPE 1–2</x:v>
      </x:c>
      <x:c r="O799" s="13" t="str"/>
      <x:c r="P799" s="13" t="str">
        <x:v>milestone_03_hooks_tension_first_sixes/week_11_2026-11-16/07_SUNDAY.md</x:v>
      </x:c>
      <x:c r="Q799" s="138" t="str">
        <x:v>Markdown</x:v>
      </x:c>
      <x:c r="R799" s="20" t="str"/>
    </x:row>
    <x:row r="800" ht="36" customHeight="1">
      <x:c r="A800" s="19" t="str">
        <x:v>W11-20261122-0799</x:v>
      </x:c>
      <x:c r="B800" s="13" t="n">
        <x:v>11</x:v>
      </x:c>
      <x:c r="C800" s="13" t="str">
        <x:v>Этап 3 — Hooks, натяжение корпуса и первые шестёрки</x:v>
      </x:c>
      <x:c r="D800" s="138" t="str">
        <x:v>2026-11-22</x:v>
      </x:c>
      <x:c r="E800" s="13" t="str">
        <x:v>Воскресенье</x:v>
      </x:c>
      <x:c r="F800" s="13" t="str">
        <x:v>Восстановление B — дома</x:v>
      </x:c>
      <x:c r="G800" s="44" t="n">
        <x:v>0.010416666666666666</x:v>
      </x:c>
      <x:c r="H800" s="44" t="n">
        <x:v>0.015277777777777777</x:v>
      </x:c>
      <x:c r="I800" s="32" t="n">
        <x:f>ROUND((H800-G800)*1440,0)</x:f>
        <x:v>7</x:v>
      </x:c>
      <x:c r="J800" s="13" t="str">
        <x:v>Визуализация B</x:v>
      </x:c>
      <x:c r="K800" s="13" t="str">
        <x:v>7 минут: мысленно повтори тему недели «Неглубокий drop knee» и одну трассу четверга.</x:v>
      </x:c>
      <x:c r="L800" s="13" t="str">
        <x:v>☐ Не начато</x:v>
      </x:c>
      <x:c r="M800" s="13" t="str">
        <x:v>Опционально</x:v>
      </x:c>
      <x:c r="N800" s="13" t="str">
        <x:v>Без нагрузки</x:v>
      </x:c>
      <x:c r="O800" s="13" t="str"/>
      <x:c r="P800" s="13" t="str">
        <x:v>milestone_03_hooks_tension_first_sixes/week_11_2026-11-16/07_SUNDAY.md</x:v>
      </x:c>
      <x:c r="Q800" s="138" t="str">
        <x:v>Markdown</x:v>
      </x:c>
      <x:c r="R800" s="20" t="str"/>
    </x:row>
    <x:row r="801" ht="36" customHeight="1">
      <x:c r="A801" s="19" t="str">
        <x:v>W11-20261122-0800</x:v>
      </x:c>
      <x:c r="B801" s="13" t="n">
        <x:v>11</x:v>
      </x:c>
      <x:c r="C801" s="13" t="str">
        <x:v>Этап 3 — Hooks, натяжение корпуса и первые шестёрки</x:v>
      </x:c>
      <x:c r="D801" s="138" t="str">
        <x:v>2026-11-22</x:v>
      </x:c>
      <x:c r="E801" s="13" t="str">
        <x:v>Воскресенье</x:v>
      </x:c>
      <x:c r="F801" s="13" t="str">
        <x:v>Восстановление B — дома</x:v>
      </x:c>
      <x:c r="G801" s="44" t="n">
        <x:v>0.015277777777777777</x:v>
      </x:c>
      <x:c r="H801" s="44" t="n">
        <x:v>0.017361111111111112</x:v>
      </x:c>
      <x:c r="I801" s="32" t="n">
        <x:f>ROUND((H801-G801)*1440,0)</x:f>
        <x:v>3</x:v>
      </x:c>
      <x:c r="J801" s="13" t="str">
        <x:v>Итог недели B</x:v>
      </x:c>
      <x:c r="K801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801" s="13" t="str">
        <x:v>☐ Не начато</x:v>
      </x:c>
      <x:c r="M801" s="13" t="str">
        <x:v>Опционально</x:v>
      </x:c>
      <x:c r="N801" s="13" t="str">
        <x:v>Без нагрузки</x:v>
      </x:c>
      <x:c r="O801" s="13" t="str"/>
      <x:c r="P801" s="13" t="str">
        <x:v>milestone_03_hooks_tension_first_sixes/week_11_2026-11-16/07_SUNDAY.md</x:v>
      </x:c>
      <x:c r="Q801" s="138" t="str">
        <x:v>Markdown</x:v>
      </x:c>
      <x:c r="R801" s="20" t="str"/>
    </x:row>
    <x:row r="802" ht="36" customHeight="1">
      <x:c r="A802" s="19" t="str">
        <x:v>W12-20261123-0801</x:v>
      </x:c>
      <x:c r="B802" s="13" t="n">
        <x:v>12</x:v>
      </x:c>
      <x:c r="C802" s="13" t="str">
        <x:v>Этап 3 — Hooks, натяжение корпуса и первые шестёрки</x:v>
      </x:c>
      <x:c r="D802" s="138" t="str">
        <x:v>2026-11-23</x:v>
      </x:c>
      <x:c r="E802" s="13" t="str">
        <x:v>Понедельник</x:v>
      </x:c>
      <x:c r="F802" s="13" t="str">
        <x:v>Дом / теория</x:v>
      </x:c>
      <x:c r="G802" s="44" t="n">
        <x:v>0</x:v>
      </x:c>
      <x:c r="H802" s="44" t="n">
        <x:v>0.0020833333333333333</x:v>
      </x:c>
      <x:c r="I802" s="32" t="n">
        <x:f>ROUND((H802-G802)*1440,0)</x:f>
        <x:v>3</x:v>
      </x:c>
      <x:c r="J802" s="13" t="str">
        <x:v>Самопроверка</x:v>
      </x:c>
      <x:c r="K802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802" s="13" t="str">
        <x:v>☐ Не начато</x:v>
      </x:c>
      <x:c r="M802" s="13" t="str">
        <x:v>Обязательно</x:v>
      </x:c>
      <x:c r="N802" s="13" t="str">
        <x:v>Очень легко</x:v>
      </x:c>
      <x:c r="O802" s="13" t="str">
        <x:v>Не диагностируй травму самостоятельно; используй правила из документа безопасности.</x:v>
      </x:c>
      <x:c r="P802" s="13" t="str">
        <x:v>milestone_03_hooks_tension_first_sixes/week_12_2026-11-23/01_MONDAY.md</x:v>
      </x:c>
      <x:c r="Q802" s="138" t="str">
        <x:v>Markdown</x:v>
      </x:c>
      <x:c r="R802" s="20" t="str"/>
    </x:row>
    <x:row r="803" ht="36" customHeight="1">
      <x:c r="A803" s="19" t="str">
        <x:v>W12-20261123-0802</x:v>
      </x:c>
      <x:c r="B803" s="13" t="n">
        <x:v>12</x:v>
      </x:c>
      <x:c r="C803" s="13" t="str">
        <x:v>Этап 3 — Hooks, натяжение корпуса и первые шестёрки</x:v>
      </x:c>
      <x:c r="D803" s="138" t="str">
        <x:v>2026-11-23</x:v>
      </x:c>
      <x:c r="E803" s="13" t="str">
        <x:v>Понедельник</x:v>
      </x:c>
      <x:c r="F803" s="13" t="str">
        <x:v>Дом / теория</x:v>
      </x:c>
      <x:c r="G803" s="44" t="n">
        <x:v>0.0020833333333333333</x:v>
      </x:c>
      <x:c r="H803" s="44" t="n">
        <x:v>0.005555555555555556</x:v>
      </x:c>
      <x:c r="I803" s="32" t="n">
        <x:f>ROUND((H803-G803)*1440,0)</x:f>
        <x:v>5</x:v>
      </x:c>
      <x:c r="J803" s="13" t="str">
        <x:v>Планирование</x:v>
      </x:c>
      <x:c r="K803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«До движения рукой создай давление хотя бы через две ноги и противоположную руку.»</x:v>
      </x:c>
      <x:c r="L803" s="13" t="str">
        <x:v>☐ Не начато</x:v>
      </x:c>
      <x:c r="M803" s="13" t="str">
        <x:v>Обязательно</x:v>
      </x:c>
      <x:c r="N803" s="13" t="str">
        <x:v>Без нагрузки</x:v>
      </x:c>
      <x:c r="O803" s="13" t="str"/>
      <x:c r="P803" s="13" t="str">
        <x:v>milestone_03_hooks_tension_first_sixes/week_12_2026-11-23/01_MONDAY.md</x:v>
      </x:c>
      <x:c r="Q803" s="138" t="str">
        <x:v>Markdown</x:v>
      </x:c>
      <x:c r="R803" s="20" t="str"/>
    </x:row>
    <x:row r="804" ht="36" customHeight="1">
      <x:c r="A804" s="19" t="str">
        <x:v>W12-20261123-0803</x:v>
      </x:c>
      <x:c r="B804" s="13" t="n">
        <x:v>12</x:v>
      </x:c>
      <x:c r="C804" s="13" t="str">
        <x:v>Этап 3 — Hooks, натяжение корпуса и первые шестёрки</x:v>
      </x:c>
      <x:c r="D804" s="138" t="str">
        <x:v>2026-11-23</x:v>
      </x:c>
      <x:c r="E804" s="13" t="str">
        <x:v>Понедельник</x:v>
      </x:c>
      <x:c r="F804" s="13" t="str">
        <x:v>Дом / теория</x:v>
      </x:c>
      <x:c r="G804" s="44" t="n">
        <x:v>0.005555555555555556</x:v>
      </x:c>
      <x:c r="H804" s="44" t="n">
        <x:v>0.013888888888888888</x:v>
      </x:c>
      <x:c r="I804" s="32" t="n">
        <x:f>ROUND((H804-G804)*1440,0)</x:f>
        <x:v>12</x:v>
      </x:c>
      <x:c r="J804" s="13" t="str">
        <x:v>Теория</x:v>
      </x:c>
      <x:c r="K804" s="13" t="str">
        <x:v>Посмотри/прочитай [R13: Send Edition — Body Tension Climbing: How To Use It and Common Mistakes](https://www.youtube.com/watch?v=G8igGVRT79w). Задача: Давление через стопы, противоположная рука–нога и предотвращение срыва ног на нависании.</x:v>
      </x:c>
      <x:c r="L804" s="13" t="str">
        <x:v>☐ Не начато</x:v>
      </x:c>
      <x:c r="M804" s="13" t="str">
        <x:v>Обязательно</x:v>
      </x:c>
      <x:c r="N804" s="13" t="str">
        <x:v>Без нагрузки</x:v>
      </x:c>
      <x:c r="O804" s="13" t="str"/>
      <x:c r="P804" s="13" t="str">
        <x:v>milestone_03_hooks_tension_first_sixes/week_12_2026-11-23/01_MONDAY.md</x:v>
      </x:c>
      <x:c r="Q804" s="138" t="str">
        <x:v>Markdown</x:v>
      </x:c>
      <x:c r="R804" s="20" t="str"/>
    </x:row>
    <x:row r="805" ht="36" customHeight="1">
      <x:c r="A805" s="19" t="str">
        <x:v>W12-20261123-0804</x:v>
      </x:c>
      <x:c r="B805" s="13" t="n">
        <x:v>12</x:v>
      </x:c>
      <x:c r="C805" s="13" t="str">
        <x:v>Этап 3 — Hooks, натяжение корпуса и первые шестёрки</x:v>
      </x:c>
      <x:c r="D805" s="138" t="str">
        <x:v>2026-11-23</x:v>
      </x:c>
      <x:c r="E805" s="13" t="str">
        <x:v>Понедельник</x:v>
      </x:c>
      <x:c r="F805" s="13" t="str">
        <x:v>Дом / теория</x:v>
      </x:c>
      <x:c r="G805" s="44" t="n">
        <x:v>0.013888888888888888</x:v>
      </x:c>
      <x:c r="H805" s="44" t="n">
        <x:v>0.017361111111111112</x:v>
      </x:c>
      <x:c r="I805" s="32" t="n">
        <x:f>ROUND((H805-G805)*1440,0)</x:f>
        <x:v>5</x:v>
      </x:c>
      <x:c r="J805" s="13" t="str">
        <x:v>Конспект</x:v>
      </x:c>
      <x:c r="K805" s="13" t="str">
        <x:v>Запиши ровно 3 пункта: (1) что делать ногами/тазом; (2) что не делать руками; (3) какой признак успеха проверишь на стене для темы «Натяжение корпуса».</x:v>
      </x:c>
      <x:c r="L805" s="13" t="str">
        <x:v>☐ Не начато</x:v>
      </x:c>
      <x:c r="M805" s="13" t="str">
        <x:v>Обязательно</x:v>
      </x:c>
      <x:c r="N805" s="13" t="str">
        <x:v>Без нагрузки</x:v>
      </x:c>
      <x:c r="O805" s="13" t="str"/>
      <x:c r="P805" s="13" t="str">
        <x:v>milestone_03_hooks_tension_first_sixes/week_12_2026-11-23/01_MONDAY.md</x:v>
      </x:c>
      <x:c r="Q805" s="138" t="str">
        <x:v>Markdown</x:v>
      </x:c>
      <x:c r="R805" s="20" t="str"/>
    </x:row>
    <x:row r="806" ht="36" customHeight="1">
      <x:c r="A806" s="19" t="str">
        <x:v>W12-20261123-0805</x:v>
      </x:c>
      <x:c r="B806" s="13" t="n">
        <x:v>12</x:v>
      </x:c>
      <x:c r="C806" s="13" t="str">
        <x:v>Этап 3 — Hooks, натяжение корпуса и первые шестёрки</x:v>
      </x:c>
      <x:c r="D806" s="138" t="str">
        <x:v>2026-11-23</x:v>
      </x:c>
      <x:c r="E806" s="13" t="str">
        <x:v>Понедельник</x:v>
      </x:c>
      <x:c r="F806" s="13" t="str">
        <x:v>Дом / теория</x:v>
      </x:c>
      <x:c r="G806" s="44" t="n">
        <x:v>0.017361111111111112</x:v>
      </x:c>
      <x:c r="H806" s="44" t="n">
        <x:v>0.025694444444444443</x:v>
      </x:c>
      <x:c r="I806" s="32" t="n">
        <x:f>ROUND((H806-G806)*1440,0)</x:f>
        <x:v>12</x:v>
      </x:c>
      <x:c r="J806" s="13" t="str">
        <x:v>Домашняя мобильность</x:v>
      </x:c>
      <x:c r="K806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806" s="13" t="str">
        <x:v>☐ Не начато</x:v>
      </x:c>
      <x:c r="M806" s="13" t="str">
        <x:v>Обязательно</x:v>
      </x:c>
      <x:c r="N806" s="13" t="str">
        <x:v>RPE 2–3</x:v>
      </x:c>
      <x:c r="O806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806" s="13" t="str">
        <x:v>milestone_03_hooks_tension_first_sixes/week_12_2026-11-23/01_MONDAY.md</x:v>
      </x:c>
      <x:c r="Q806" s="138" t="str">
        <x:v>Markdown</x:v>
      </x:c>
      <x:c r="R806" s="20" t="str"/>
    </x:row>
    <x:row r="807" ht="36" customHeight="1">
      <x:c r="A807" s="19" t="str">
        <x:v>W12-20261123-0806</x:v>
      </x:c>
      <x:c r="B807" s="13" t="n">
        <x:v>12</x:v>
      </x:c>
      <x:c r="C807" s="13" t="str">
        <x:v>Этап 3 — Hooks, натяжение корпуса и первые шестёрки</x:v>
      </x:c>
      <x:c r="D807" s="138" t="str">
        <x:v>2026-11-23</x:v>
      </x:c>
      <x:c r="E807" s="13" t="str">
        <x:v>Понедельник</x:v>
      </x:c>
      <x:c r="F807" s="13" t="str">
        <x:v>Дом / теория</x:v>
      </x:c>
      <x:c r="G807" s="44" t="n">
        <x:v>0.025694444444444443</x:v>
      </x:c>
      <x:c r="H807" s="44" t="n">
        <x:v>0.03958333333333333</x:v>
      </x:c>
      <x:c r="I807" s="32" t="n">
        <x:f>ROUND((H807-G807)*1440,0)</x:f>
        <x:v>20</x:v>
      </x:c>
      <x:c r="J807" s="13" t="str">
        <x:v>Физиотерапия</x:v>
      </x:c>
      <x:c r="K807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807" s="13" t="str">
        <x:v>☐ Не начато</x:v>
      </x:c>
      <x:c r="M807" s="13" t="str">
        <x:v>По назначению</x:v>
      </x:c>
      <x:c r="N807" s="13" t="str">
        <x:v>По назначению физиотерапевта</x:v>
      </x:c>
      <x:c r="O807" s="13" t="str">
        <x:v>Любые указания физиотерапевта имеют приоритет над этим планом.</x:v>
      </x:c>
      <x:c r="P807" s="13" t="str">
        <x:v>milestone_03_hooks_tension_first_sixes/week_12_2026-11-23/01_MONDAY.md</x:v>
      </x:c>
      <x:c r="Q807" s="138" t="str">
        <x:v>Markdown</x:v>
      </x:c>
      <x:c r="R807" s="20" t="str"/>
    </x:row>
    <x:row r="808" ht="36" customHeight="1">
      <x:c r="A808" s="19" t="str">
        <x:v>W12-20261123-0807</x:v>
      </x:c>
      <x:c r="B808" s="13" t="n">
        <x:v>12</x:v>
      </x:c>
      <x:c r="C808" s="13" t="str">
        <x:v>Этап 3 — Hooks, натяжение корпуса и первые шестёрки</x:v>
      </x:c>
      <x:c r="D808" s="138" t="str">
        <x:v>2026-11-23</x:v>
      </x:c>
      <x:c r="E808" s="13" t="str">
        <x:v>Понедельник</x:v>
      </x:c>
      <x:c r="F808" s="13" t="str">
        <x:v>Дом / теория</x:v>
      </x:c>
      <x:c r="G808" s="44" t="n">
        <x:v>0.03958333333333333</x:v>
      </x:c>
      <x:c r="H808" s="44" t="n">
        <x:v>0.043055555555555555</x:v>
      </x:c>
      <x:c r="I808" s="32" t="n">
        <x:f>ROUND((H808-G808)*1440,0)</x:f>
        <x:v>5</x:v>
      </x:c>
      <x:c r="J808" s="13" t="str">
        <x:v>Покупка / организация</x:v>
      </x:c>
      <x:c r="K808" s="13" t="str">
        <x:v>Опционально записаться на одно индивидуальное занятие и принести тренеру 2 видео сложных финалов.</x:v>
      </x:c>
      <x:c r="L808" s="13" t="str">
        <x:v>☐ Не начато</x:v>
      </x:c>
      <x:c r="M808" s="13" t="str">
        <x:v>Опционально</x:v>
      </x:c>
      <x:c r="N808" s="13" t="str">
        <x:v>Без нагрузки</x:v>
      </x:c>
      <x:c r="O808" s="13" t="str"/>
      <x:c r="P808" s="13" t="str">
        <x:v>milestone_03_hooks_tension_first_sixes/week_12_2026-11-23/01_MONDAY.md</x:v>
      </x:c>
      <x:c r="Q808" s="138" t="str">
        <x:v>Markdown</x:v>
      </x:c>
      <x:c r="R808" s="20" t="str"/>
    </x:row>
    <x:row r="809" ht="36" customHeight="1">
      <x:c r="A809" s="19" t="str">
        <x:v>W12-20261123-0808</x:v>
      </x:c>
      <x:c r="B809" s="13" t="n">
        <x:v>12</x:v>
      </x:c>
      <x:c r="C809" s="13" t="str">
        <x:v>Этап 3 — Hooks, натяжение корпуса и первые шестёрки</x:v>
      </x:c>
      <x:c r="D809" s="138" t="str">
        <x:v>2026-11-23</x:v>
      </x:c>
      <x:c r="E809" s="13" t="str">
        <x:v>Понедельник</x:v>
      </x:c>
      <x:c r="F809" s="13" t="str">
        <x:v>Дом / теория</x:v>
      </x:c>
      <x:c r="G809" s="44" t="n">
        <x:v>0.043055555555555555</x:v>
      </x:c>
      <x:c r="H809" s="44" t="n">
        <x:v>0.04513888888888889</x:v>
      </x:c>
      <x:c r="I809" s="32" t="n">
        <x:f>ROUND((H809-G809)*1440,0)</x:f>
        <x:v>3</x:v>
      </x:c>
      <x:c r="J809" s="13" t="str">
        <x:v>Подготовка</x:v>
      </x:c>
      <x:c r="K809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809" s="13" t="str">
        <x:v>☐ Не начато</x:v>
      </x:c>
      <x:c r="M809" s="13" t="str">
        <x:v>Обязательно</x:v>
      </x:c>
      <x:c r="N809" s="13" t="str">
        <x:v>Без нагрузки</x:v>
      </x:c>
      <x:c r="O809" s="13" t="str">
        <x:v>Кольца и турник — только в рамках программы физиотерапевта.</x:v>
      </x:c>
      <x:c r="P809" s="13" t="str">
        <x:v>milestone_03_hooks_tension_first_sixes/week_12_2026-11-23/01_MONDAY.md</x:v>
      </x:c>
      <x:c r="Q809" s="138" t="str">
        <x:v>Markdown</x:v>
      </x:c>
      <x:c r="R809" s="20" t="str"/>
    </x:row>
    <x:row r="810" ht="36" customHeight="1">
      <x:c r="A810" s="19" t="str">
        <x:v>W12-20261124-0809</x:v>
      </x:c>
      <x:c r="B810" s="13" t="n">
        <x:v>12</x:v>
      </x:c>
      <x:c r="C810" s="13" t="str">
        <x:v>Этап 3 — Hooks, натяжение корпуса и первые шестёрки</x:v>
      </x:c>
      <x:c r="D810" s="138" t="str">
        <x:v>2026-11-24</x:v>
      </x:c>
      <x:c r="E810" s="13" t="str">
        <x:v>Вторник</x:v>
      </x:c>
      <x:c r="F810" s="13" t="str">
        <x:v>Тренировка A — техника/объём</x:v>
      </x:c>
      <x:c r="G810" s="44" t="n">
        <x:v>0</x:v>
      </x:c>
      <x:c r="H810" s="44" t="n">
        <x:v>0.0020833333333333333</x:v>
      </x:c>
      <x:c r="I810" s="32" t="n">
        <x:f>ROUND((H810-G810)*1440,0)</x:f>
        <x:v>3</x:v>
      </x:c>
      <x:c r="J810" s="13" t="str">
        <x:v>Самопроверка</x:v>
      </x:c>
      <x:c r="K810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810" s="13" t="str">
        <x:v>☐ Не начато</x:v>
      </x:c>
      <x:c r="M810" s="13" t="str">
        <x:v>Обязательно</x:v>
      </x:c>
      <x:c r="N810" s="13" t="str">
        <x:v>Без нагрузки</x:v>
      </x:c>
      <x:c r="O810" s="13" t="str">
        <x:v>Красный флаг = не начинать пальцевую нагрузку.</x:v>
      </x:c>
      <x:c r="P810" s="13" t="str">
        <x:v>milestone_03_hooks_tension_first_sixes/week_12_2026-11-23/02_TUESDAY.md</x:v>
      </x:c>
      <x:c r="Q810" s="138" t="str">
        <x:v>Markdown</x:v>
      </x:c>
      <x:c r="R810" s="20" t="str"/>
    </x:row>
    <x:row r="811" ht="36" customHeight="1">
      <x:c r="A811" s="19" t="str">
        <x:v>W12-20261124-0810</x:v>
      </x:c>
      <x:c r="B811" s="13" t="n">
        <x:v>12</x:v>
      </x:c>
      <x:c r="C811" s="13" t="str">
        <x:v>Этап 3 — Hooks, натяжение корпуса и первые шестёрки</x:v>
      </x:c>
      <x:c r="D811" s="138" t="str">
        <x:v>2026-11-24</x:v>
      </x:c>
      <x:c r="E811" s="13" t="str">
        <x:v>Вторник</x:v>
      </x:c>
      <x:c r="F811" s="13" t="str">
        <x:v>Тренировка A — техника/объём</x:v>
      </x:c>
      <x:c r="G811" s="44" t="n">
        <x:v>0.0020833333333333333</x:v>
      </x:c>
      <x:c r="H811" s="44" t="n">
        <x:v>0.005555555555555556</x:v>
      </x:c>
      <x:c r="I811" s="32" t="n">
        <x:f>ROUND((H811-G811)*1440,0)</x:f>
        <x:v>5</x:v>
      </x:c>
      <x:c r="J811" s="13" t="str">
        <x:v>Разминка</x:v>
      </x:c>
      <x:c r="K811" s="13" t="str">
        <x:v>Подними температуру: быстрая ходьба, лестница или лёгкий велотренажёр 5 минут.</x:v>
      </x:c>
      <x:c r="L811" s="13" t="str">
        <x:v>☐ Не начато</x:v>
      </x:c>
      <x:c r="M811" s="13" t="str">
        <x:v>Обязательно</x:v>
      </x:c>
      <x:c r="N811" s="13" t="str">
        <x:v>RPE 2–3</x:v>
      </x:c>
      <x:c r="O811" s="13" t="str"/>
      <x:c r="P811" s="13" t="str">
        <x:v>milestone_03_hooks_tension_first_sixes/week_12_2026-11-23/02_TUESDAY.md</x:v>
      </x:c>
      <x:c r="Q811" s="138" t="str">
        <x:v>Markdown</x:v>
      </x:c>
      <x:c r="R811" s="20" t="str"/>
    </x:row>
    <x:row r="812" ht="36" customHeight="1">
      <x:c r="A812" s="19" t="str">
        <x:v>W12-20261124-0811</x:v>
      </x:c>
      <x:c r="B812" s="13" t="n">
        <x:v>12</x:v>
      </x:c>
      <x:c r="C812" s="13" t="str">
        <x:v>Этап 3 — Hooks, натяжение корпуса и первые шестёрки</x:v>
      </x:c>
      <x:c r="D812" s="138" t="str">
        <x:v>2026-11-24</x:v>
      </x:c>
      <x:c r="E812" s="13" t="str">
        <x:v>Вторник</x:v>
      </x:c>
      <x:c r="F812" s="13" t="str">
        <x:v>Тренировка A — техника/объём</x:v>
      </x:c>
      <x:c r="G812" s="44" t="n">
        <x:v>0.005555555555555556</x:v>
      </x:c>
      <x:c r="H812" s="44" t="n">
        <x:v>0.009027777777777777</x:v>
      </x:c>
      <x:c r="I812" s="32" t="n">
        <x:f>ROUND((H812-G812)*1440,0)</x:f>
        <x:v>5</x:v>
      </x:c>
      <x:c r="J812" s="13" t="str">
        <x:v>Разминка</x:v>
      </x:c>
      <x:c r="K812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812" s="13" t="str">
        <x:v>☐ Не начато</x:v>
      </x:c>
      <x:c r="M812" s="13" t="str">
        <x:v>Обязательно</x:v>
      </x:c>
      <x:c r="N812" s="13" t="str">
        <x:v>Очень легко</x:v>
      </x:c>
      <x:c r="O812" s="13" t="str">
        <x:v>Не делай press/отжимания и движения, которые раздражают плечо.</x:v>
      </x:c>
      <x:c r="P812" s="13" t="str">
        <x:v>milestone_03_hooks_tension_first_sixes/week_12_2026-11-23/02_TUESDAY.md</x:v>
      </x:c>
      <x:c r="Q812" s="138" t="str">
        <x:v>Markdown</x:v>
      </x:c>
      <x:c r="R812" s="20" t="str"/>
    </x:row>
    <x:row r="813" ht="36" customHeight="1">
      <x:c r="A813" s="19" t="str">
        <x:v>W12-20261124-0812</x:v>
      </x:c>
      <x:c r="B813" s="13" t="n">
        <x:v>12</x:v>
      </x:c>
      <x:c r="C813" s="13" t="str">
        <x:v>Этап 3 — Hooks, натяжение корпуса и первые шестёрки</x:v>
      </x:c>
      <x:c r="D813" s="138" t="str">
        <x:v>2026-11-24</x:v>
      </x:c>
      <x:c r="E813" s="13" t="str">
        <x:v>Вторник</x:v>
      </x:c>
      <x:c r="F813" s="13" t="str">
        <x:v>Тренировка A — техника/объём</x:v>
      </x:c>
      <x:c r="G813" s="44" t="n">
        <x:v>0.009027777777777777</x:v>
      </x:c>
      <x:c r="H813" s="44" t="n">
        <x:v>0.011805555555555555</x:v>
      </x:c>
      <x:c r="I813" s="32" t="n">
        <x:f>ROUND((H813-G813)*1440,0)</x:f>
        <x:v>4</x:v>
      </x:c>
      <x:c r="J813" s="13" t="str">
        <x:v>Разминка пальцев</x:v>
      </x:c>
      <x:c r="K813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813" s="13" t="str">
        <x:v>☐ Не начато</x:v>
      </x:c>
      <x:c r="M813" s="13" t="str">
        <x:v>Обязательно</x:v>
      </x:c>
      <x:c r="N813" s="13" t="str">
        <x:v>Очень легко</x:v>
      </x:c>
      <x:c r="O813" s="13" t="str"/>
      <x:c r="P813" s="13" t="str">
        <x:v>milestone_03_hooks_tension_first_sixes/week_12_2026-11-23/02_TUESDAY.md</x:v>
      </x:c>
      <x:c r="Q813" s="138" t="str">
        <x:v>Markdown</x:v>
      </x:c>
      <x:c r="R813" s="20" t="str"/>
    </x:row>
    <x:row r="814" ht="36" customHeight="1">
      <x:c r="A814" s="19" t="str">
        <x:v>W12-20261124-0813</x:v>
      </x:c>
      <x:c r="B814" s="13" t="n">
        <x:v>12</x:v>
      </x:c>
      <x:c r="C814" s="13" t="str">
        <x:v>Этап 3 — Hooks, натяжение корпуса и первые шестёрки</x:v>
      </x:c>
      <x:c r="D814" s="138" t="str">
        <x:v>2026-11-24</x:v>
      </x:c>
      <x:c r="E814" s="13" t="str">
        <x:v>Вторник</x:v>
      </x:c>
      <x:c r="F814" s="13" t="str">
        <x:v>Тренировка A — техника/объём</x:v>
      </x:c>
      <x:c r="G814" s="44" t="n">
        <x:v>0.011805555555555555</x:v>
      </x:c>
      <x:c r="H814" s="44" t="n">
        <x:v>0.014583333333333334</x:v>
      </x:c>
      <x:c r="I814" s="32" t="n">
        <x:f>ROUND((H814-G814)*1440,0)</x:f>
        <x:v>4</x:v>
      </x:c>
      <x:c r="J814" s="13" t="str">
        <x:v>Разминочное лазание</x:v>
      </x:c>
      <x:c r="K814" s="13" t="str">
        <x:v>Пройди 2 очень лёгкие трассы уровня 1–2; двигайся медленно, спускайся по зацепам.</x:v>
      </x:c>
      <x:c r="L814" s="13" t="str">
        <x:v>☐ Не начато</x:v>
      </x:c>
      <x:c r="M814" s="13" t="str">
        <x:v>Обязательно</x:v>
      </x:c>
      <x:c r="N814" s="13" t="str">
        <x:v>RPE 2–3</x:v>
      </x:c>
      <x:c r="O814" s="13" t="str">
        <x:v>Финиш с обязательным болезненным mantle/press пропусти.</x:v>
      </x:c>
      <x:c r="P814" s="13" t="str">
        <x:v>milestone_03_hooks_tension_first_sixes/week_12_2026-11-23/02_TUESDAY.md</x:v>
      </x:c>
      <x:c r="Q814" s="138" t="str">
        <x:v>Markdown</x:v>
      </x:c>
      <x:c r="R814" s="20" t="str"/>
    </x:row>
    <x:row r="815" ht="36" customHeight="1">
      <x:c r="A815" s="19" t="str">
        <x:v>W12-20261124-0814</x:v>
      </x:c>
      <x:c r="B815" s="13" t="n">
        <x:v>12</x:v>
      </x:c>
      <x:c r="C815" s="13" t="str">
        <x:v>Этап 3 — Hooks, натяжение корпуса и первые шестёрки</x:v>
      </x:c>
      <x:c r="D815" s="138" t="str">
        <x:v>2026-11-24</x:v>
      </x:c>
      <x:c r="E815" s="13" t="str">
        <x:v>Вторник</x:v>
      </x:c>
      <x:c r="F815" s="13" t="str">
        <x:v>Тренировка A — техника/объём</x:v>
      </x:c>
      <x:c r="G815" s="44" t="n">
        <x:v>0.014583333333333334</x:v>
      </x:c>
      <x:c r="H815" s="44" t="n">
        <x:v>0.017361111111111112</x:v>
      </x:c>
      <x:c r="I815" s="32" t="n">
        <x:f>ROUND((H815-G815)*1440,0)</x:f>
        <x:v>4</x:v>
      </x:c>
      <x:c r="J815" s="13" t="str">
        <x:v>Разминочное лазание</x:v>
      </x:c>
      <x:c r="K815" s="13" t="str">
        <x:v>Пройди 2 трассы уровня 2–3, затем сделай 2–3 движения на комфортной четвёрке. Между ними 45–60 секунд.</x:v>
      </x:c>
      <x:c r="L815" s="13" t="str">
        <x:v>☐ Не начато</x:v>
      </x:c>
      <x:c r="M815" s="13" t="str">
        <x:v>Обязательно</x:v>
      </x:c>
      <x:c r="N815" s="13" t="str">
        <x:v>RPE 3–4</x:v>
      </x:c>
      <x:c r="O815" s="13" t="str">
        <x:v>Разминка не должна утомить пальцы.</x:v>
      </x:c>
      <x:c r="P815" s="13" t="str">
        <x:v>milestone_03_hooks_tension_first_sixes/week_12_2026-11-23/02_TUESDAY.md</x:v>
      </x:c>
      <x:c r="Q815" s="138" t="str">
        <x:v>Markdown</x:v>
      </x:c>
      <x:c r="R815" s="20" t="str"/>
    </x:row>
    <x:row r="816" ht="36" customHeight="1">
      <x:c r="A816" s="19" t="str">
        <x:v>W12-20261124-0815</x:v>
      </x:c>
      <x:c r="B816" s="13" t="n">
        <x:v>12</x:v>
      </x:c>
      <x:c r="C816" s="13" t="str">
        <x:v>Этап 3 — Hooks, натяжение корпуса и первые шестёрки</x:v>
      </x:c>
      <x:c r="D816" s="138" t="str">
        <x:v>2026-11-24</x:v>
      </x:c>
      <x:c r="E816" s="13" t="str">
        <x:v>Вторник</x:v>
      </x:c>
      <x:c r="F816" s="13" t="str">
        <x:v>Тренировка A — техника/объём</x:v>
      </x:c>
      <x:c r="G816" s="44" t="n">
        <x:v>0.017361111111111112</x:v>
      </x:c>
      <x:c r="H816" s="44" t="n">
        <x:v>0.021527777777777778</x:v>
      </x:c>
      <x:c r="I816" s="32" t="n">
        <x:f>ROUND((H816-G816)*1440,0)</x:f>
        <x:v>6</x:v>
      </x:c>
      <x:c r="J816" s="13" t="str">
        <x:v>Техника</x:v>
      </x:c>
      <x:c r="K816" s="13" t="str">
        <x:v>Праймер «Натяжение корпуса» на одной лёгкой трассе. Главный cue: «До движения рукой создай давление хотя бы через две ноги и противоположную руку.».</x:v>
      </x:c>
      <x:c r="L816" s="13" t="str">
        <x:v>☐ Не начато</x:v>
      </x:c>
      <x:c r="M816" s="13" t="str">
        <x:v>Обязательно</x:v>
      </x:c>
      <x:c r="N816" s="13" t="str">
        <x:v>RPE 3–4</x:v>
      </x:c>
      <x:c r="O816" s="13" t="str">
        <x:v>Никаких больших dyno и жёстких ловлей. При плечевой боли выбрать меньший угол.</x:v>
      </x:c>
      <x:c r="P816" s="13" t="str">
        <x:v>milestone_03_hooks_tension_first_sixes/week_12_2026-11-23/02_TUESDAY.md</x:v>
      </x:c>
      <x:c r="Q816" s="138" t="str">
        <x:v>Markdown</x:v>
      </x:c>
      <x:c r="R816" s="20" t="str"/>
    </x:row>
    <x:row r="817" ht="36" customHeight="1">
      <x:c r="A817" s="19" t="str">
        <x:v>W12-20261124-0816</x:v>
      </x:c>
      <x:c r="B817" s="13" t="n">
        <x:v>12</x:v>
      </x:c>
      <x:c r="C817" s="13" t="str">
        <x:v>Этап 3 — Hooks, натяжение корпуса и первые шестёрки</x:v>
      </x:c>
      <x:c r="D817" s="138" t="str">
        <x:v>2026-11-24</x:v>
      </x:c>
      <x:c r="E817" s="13" t="str">
        <x:v>Вторник</x:v>
      </x:c>
      <x:c r="F817" s="13" t="str">
        <x:v>Тренировка A — техника/объём</x:v>
      </x:c>
      <x:c r="G817" s="44" t="n">
        <x:v>0.021527777777777778</x:v>
      </x:c>
      <x:c r="H817" s="44" t="n">
        <x:v>0.0375</x:v>
      </x:c>
      <x:c r="I817" s="32" t="n">
        <x:f>ROUND((H817-G817)*1440,0)</x:f>
        <x:v>23</x:v>
      </x:c>
      <x:c r="J817" s="13" t="str">
        <x:v>Контрольный объём</x:v>
      </x:c>
      <x:c r="K817" s="13" t="str">
        <x:v>Пройди 4 новые четвёрки, максимум 2 попытки на каждую, отдых 2:00–2:30. Фиксируй точность стоп и раннее сгибание рук.</x:v>
      </x:c>
      <x:c r="L817" s="13" t="str">
        <x:v>☐ Не начато</x:v>
      </x:c>
      <x:c r="M817" s="13" t="str">
        <x:v>Обязательно</x:v>
      </x:c>
      <x:c r="N817" s="13" t="str">
        <x:v>RPE 6–8</x:v>
      </x:c>
      <x:c r="O817" s="13" t="str">
        <x:v>Разгрузка после теста. Никаких больших dyno. Плечо и пальцы должны оставаться спокойными на следующий день.</x:v>
      </x:c>
      <x:c r="P817" s="13" t="str">
        <x:v>milestone_03_hooks_tension_first_sixes/week_12_2026-11-23/02_TUESDAY.md</x:v>
      </x:c>
      <x:c r="Q817" s="138" t="str">
        <x:v>Markdown</x:v>
      </x:c>
      <x:c r="R817" s="20" t="str"/>
    </x:row>
    <x:row r="818" ht="36" customHeight="1">
      <x:c r="A818" s="19" t="str">
        <x:v>W12-20261124-0817</x:v>
      </x:c>
      <x:c r="B818" s="13" t="n">
        <x:v>12</x:v>
      </x:c>
      <x:c r="C818" s="13" t="str">
        <x:v>Этап 3 — Hooks, натяжение корпуса и первые шестёрки</x:v>
      </x:c>
      <x:c r="D818" s="138" t="str">
        <x:v>2026-11-24</x:v>
      </x:c>
      <x:c r="E818" s="13" t="str">
        <x:v>Вторник</x:v>
      </x:c>
      <x:c r="F818" s="13" t="str">
        <x:v>Тренировка A — техника/объём</x:v>
      </x:c>
      <x:c r="G818" s="44" t="n">
        <x:v>0.0375</x:v>
      </x:c>
      <x:c r="H818" s="44" t="n">
        <x:v>0.05694444444444444</x:v>
      </x:c>
      <x:c r="I818" s="32" t="n">
        <x:f>ROUND((H818-G818)*1440,0)</x:f>
        <x:v>28</x:v>
      </x:c>
      <x:c r="J818" s="13" t="str">
        <x:v>Контрольный объём</x:v>
      </x:c>
      <x:c r="K818" s="13" t="str">
        <x:v>Попробуй 4 новые пятёрки, максимум 3 попытки на каждую, отдых 3:00. Не пытайся вместить все попытки: при падении качества переходи к записи результата.</x:v>
      </x:c>
      <x:c r="L818" s="13" t="str">
        <x:v>☐ Не начато</x:v>
      </x:c>
      <x:c r="M818" s="13" t="str">
        <x:v>Обязательно</x:v>
      </x:c>
      <x:c r="N818" s="13" t="str">
        <x:v>RPE 7–8, без отказа</x:v>
      </x:c>
      <x:c r="O818" s="13" t="str">
        <x:v>Шестёрка будет в четверг; не добивай пальцы сегодня.</x:v>
      </x:c>
      <x:c r="P818" s="13" t="str">
        <x:v>milestone_03_hooks_tension_first_sixes/week_12_2026-11-23/02_TUESDAY.md</x:v>
      </x:c>
      <x:c r="Q818" s="138" t="str">
        <x:v>Markdown</x:v>
      </x:c>
      <x:c r="R818" s="20" t="str"/>
    </x:row>
    <x:row r="819" ht="36" customHeight="1">
      <x:c r="A819" s="19" t="str">
        <x:v>W12-20261124-0818</x:v>
      </x:c>
      <x:c r="B819" s="13" t="n">
        <x:v>12</x:v>
      </x:c>
      <x:c r="C819" s="13" t="str">
        <x:v>Этап 3 — Hooks, натяжение корпуса и первые шестёрки</x:v>
      </x:c>
      <x:c r="D819" s="138" t="str">
        <x:v>2026-11-24</x:v>
      </x:c>
      <x:c r="E819" s="13" t="str">
        <x:v>Вторник</x:v>
      </x:c>
      <x:c r="F819" s="13" t="str">
        <x:v>Тренировка A — техника/объём</x:v>
      </x:c>
      <x:c r="G819" s="44" t="n">
        <x:v>0.05694444444444444</x:v>
      </x:c>
      <x:c r="H819" s="44" t="n">
        <x:v>0.059722222222222225</x:v>
      </x:c>
      <x:c r="I819" s="32" t="n">
        <x:f>ROUND((H819-G819)*1440,0)</x:f>
        <x:v>4</x:v>
      </x:c>
      <x:c r="J819" s="13" t="str">
        <x:v>Проверка хвата</x:v>
      </x:c>
      <x:c r="K819" s="13" t="str">
        <x:v>Запиши минуту первой явной просадки хвата и субъективную свежесть пальцев 1–5.</x:v>
      </x:c>
      <x:c r="L819" s="13" t="str">
        <x:v>☐ Не начато</x:v>
      </x:c>
      <x:c r="M819" s="13" t="str">
        <x:v>Обязательно</x:v>
      </x:c>
      <x:c r="N819" s="13" t="str">
        <x:v>Без нагрузки</x:v>
      </x:c>
      <x:c r="O819" s="13" t="str"/>
      <x:c r="P819" s="13" t="str">
        <x:v>milestone_03_hooks_tension_first_sixes/week_12_2026-11-23/02_TUESDAY.md</x:v>
      </x:c>
      <x:c r="Q819" s="138" t="str">
        <x:v>Markdown</x:v>
      </x:c>
      <x:c r="R819" s="20" t="str"/>
    </x:row>
    <x:row r="820" ht="36" customHeight="1">
      <x:c r="A820" s="19" t="str">
        <x:v>W12-20261124-0819</x:v>
      </x:c>
      <x:c r="B820" s="13" t="n">
        <x:v>12</x:v>
      </x:c>
      <x:c r="C820" s="13" t="str">
        <x:v>Этап 3 — Hooks, натяжение корпуса и первые шестёрки</x:v>
      </x:c>
      <x:c r="D820" s="138" t="str">
        <x:v>2026-11-24</x:v>
      </x:c>
      <x:c r="E820" s="13" t="str">
        <x:v>Вторник</x:v>
      </x:c>
      <x:c r="F820" s="13" t="str">
        <x:v>Тренировка A — техника/объём</x:v>
      </x:c>
      <x:c r="G820" s="44" t="n">
        <x:v>0.059722222222222225</x:v>
      </x:c>
      <x:c r="H820" s="44" t="n">
        <x:v>0.0625</x:v>
      </x:c>
      <x:c r="I820" s="32" t="n">
        <x:f>ROUND((H820-G820)*1440,0)</x:f>
        <x:v>4</x:v>
      </x:c>
      <x:c r="J820" s="13" t="str">
        <x:v>Журнал</x:v>
      </x:c>
      <x:c r="K820" s="13" t="str">
        <x:v>Запиши результаты теста и подготовь одну гипотезу для четверговой шестёрки. Тест 3 месяцев: 4 четвёрки, 4 пятёрки, 1 шестёрка. Успех = ясная бета и связка нескольких движений; полный топ — бонус.</x:v>
      </x:c>
      <x:c r="L820" s="13" t="str">
        <x:v>☐ Не начато</x:v>
      </x:c>
      <x:c r="M820" s="13" t="str">
        <x:v>Обязательно</x:v>
      </x:c>
      <x:c r="N820" s="13" t="str">
        <x:v>Без нагрузки</x:v>
      </x:c>
      <x:c r="O820" s="13" t="str"/>
      <x:c r="P820" s="13" t="str">
        <x:v>milestone_03_hooks_tension_first_sixes/week_12_2026-11-23/02_TUESDAY.md</x:v>
      </x:c>
      <x:c r="Q820" s="138" t="str">
        <x:v>Markdown</x:v>
      </x:c>
      <x:c r="R820" s="20" t="str"/>
    </x:row>
    <x:row r="821" ht="36" customHeight="1">
      <x:c r="A821" s="19" t="str">
        <x:v>W12-20261125-0820</x:v>
      </x:c>
      <x:c r="B821" s="13" t="n">
        <x:v>12</x:v>
      </x:c>
      <x:c r="C821" s="13" t="str">
        <x:v>Этап 3 — Hooks, натяжение корпуса и первые шестёрки</x:v>
      </x:c>
      <x:c r="D821" s="138" t="str">
        <x:v>2026-11-25</x:v>
      </x:c>
      <x:c r="E821" s="13" t="str">
        <x:v>Среда</x:v>
      </x:c>
      <x:c r="F821" s="13" t="str">
        <x:v>Восстановление / видео</x:v>
      </x:c>
      <x:c r="G821" s="44" t="n">
        <x:v>0</x:v>
      </x:c>
      <x:c r="H821" s="44" t="n">
        <x:v>0.006944444444444444</x:v>
      </x:c>
      <x:c r="I821" s="32" t="n">
        <x:f>ROUND((H821-G821)*1440,0)</x:f>
        <x:v>10</x:v>
      </x:c>
      <x:c r="J821" s="13" t="str">
        <x:v>Восстановление</x:v>
      </x:c>
      <x:c r="K821" s="13" t="str">
        <x:v>10 минут спокойной ходьбы. Руки расслаблены; это не тренировка выносливости.</x:v>
      </x:c>
      <x:c r="L821" s="13" t="str">
        <x:v>☐ Не начато</x:v>
      </x:c>
      <x:c r="M821" s="13" t="str">
        <x:v>Обязательно</x:v>
      </x:c>
      <x:c r="N821" s="13" t="str">
        <x:v>RPE 1–2</x:v>
      </x:c>
      <x:c r="O821" s="13" t="str"/>
      <x:c r="P821" s="13" t="str">
        <x:v>milestone_03_hooks_tension_first_sixes/week_12_2026-11-23/03_WEDNESDAY.md</x:v>
      </x:c>
      <x:c r="Q821" s="138" t="str">
        <x:v>Markdown</x:v>
      </x:c>
      <x:c r="R821" s="20" t="str"/>
    </x:row>
    <x:row r="822" ht="36" customHeight="1">
      <x:c r="A822" s="19" t="str">
        <x:v>W12-20261125-0821</x:v>
      </x:c>
      <x:c r="B822" s="13" t="n">
        <x:v>12</x:v>
      </x:c>
      <x:c r="C822" s="13" t="str">
        <x:v>Этап 3 — Hooks, натяжение корпуса и первые шестёрки</x:v>
      </x:c>
      <x:c r="D822" s="138" t="str">
        <x:v>2026-11-25</x:v>
      </x:c>
      <x:c r="E822" s="13" t="str">
        <x:v>Среда</x:v>
      </x:c>
      <x:c r="F822" s="13" t="str">
        <x:v>Восстановление / видео</x:v>
      </x:c>
      <x:c r="G822" s="44" t="n">
        <x:v>0.006944444444444444</x:v>
      </x:c>
      <x:c r="H822" s="44" t="n">
        <x:v>0.009027777777777777</x:v>
      </x:c>
      <x:c r="I822" s="32" t="n">
        <x:f>ROUND((H822-G822)*1440,0)</x:f>
        <x:v>3</x:v>
      </x:c>
      <x:c r="J822" s="13" t="str">
        <x:v>Самопроверка</x:v>
      </x:c>
      <x:c r="K822" s="13" t="str">
        <x:v>Оцени реакцию после вторника: плечо, пальцы, правое колено 0–10. Запиши, что изменилось относительно вчерашнего утра.</x:v>
      </x:c>
      <x:c r="L822" s="13" t="str">
        <x:v>☐ Не начато</x:v>
      </x:c>
      <x:c r="M822" s="13" t="str">
        <x:v>Обязательно</x:v>
      </x:c>
      <x:c r="N822" s="13" t="str">
        <x:v>Без нагрузки</x:v>
      </x:c>
      <x:c r="O822" s="13" t="str">
        <x:v>Острая локальная боль пальца или ухудшение плеча = не делать четверговую пальцевую нагрузку.</x:v>
      </x:c>
      <x:c r="P822" s="13" t="str">
        <x:v>milestone_03_hooks_tension_first_sixes/week_12_2026-11-23/03_WEDNESDAY.md</x:v>
      </x:c>
      <x:c r="Q822" s="138" t="str">
        <x:v>Markdown</x:v>
      </x:c>
      <x:c r="R822" s="20" t="str"/>
    </x:row>
    <x:row r="823" ht="36" customHeight="1">
      <x:c r="A823" s="19" t="str">
        <x:v>W12-20261125-0822</x:v>
      </x:c>
      <x:c r="B823" s="13" t="n">
        <x:v>12</x:v>
      </x:c>
      <x:c r="C823" s="13" t="str">
        <x:v>Этап 3 — Hooks, натяжение корпуса и первые шестёрки</x:v>
      </x:c>
      <x:c r="D823" s="138" t="str">
        <x:v>2026-11-25</x:v>
      </x:c>
      <x:c r="E823" s="13" t="str">
        <x:v>Среда</x:v>
      </x:c>
      <x:c r="F823" s="13" t="str">
        <x:v>Восстановление / видео</x:v>
      </x:c>
      <x:c r="G823" s="44" t="n">
        <x:v>0.009027777777777777</x:v>
      </x:c>
      <x:c r="H823" s="44" t="n">
        <x:v>0.01597222222222222</x:v>
      </x:c>
      <x:c r="I823" s="32" t="n">
        <x:f>ROUND((H823-G823)*1440,0)</x:f>
        <x:v>10</x:v>
      </x:c>
      <x:c r="J823" s="13" t="str">
        <x:v>Видеоразбор</x:v>
      </x:c>
      <x:c r="K823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823" s="13" t="str">
        <x:v>☐ Не начато</x:v>
      </x:c>
      <x:c r="M823" s="13" t="str">
        <x:v>Обязательно</x:v>
      </x:c>
      <x:c r="N823" s="13" t="str">
        <x:v>Без нагрузки</x:v>
      </x:c>
      <x:c r="O823" s="13" t="str"/>
      <x:c r="P823" s="13" t="str">
        <x:v>milestone_03_hooks_tension_first_sixes/week_12_2026-11-23/03_WEDNESDAY.md</x:v>
      </x:c>
      <x:c r="Q823" s="138" t="str">
        <x:v>Markdown</x:v>
      </x:c>
      <x:c r="R823" s="20" t="str"/>
    </x:row>
    <x:row r="824" ht="36" customHeight="1">
      <x:c r="A824" s="19" t="str">
        <x:v>W12-20261125-0823</x:v>
      </x:c>
      <x:c r="B824" s="13" t="n">
        <x:v>12</x:v>
      </x:c>
      <x:c r="C824" s="13" t="str">
        <x:v>Этап 3 — Hooks, натяжение корпуса и первые шестёрки</x:v>
      </x:c>
      <x:c r="D824" s="138" t="str">
        <x:v>2026-11-25</x:v>
      </x:c>
      <x:c r="E824" s="13" t="str">
        <x:v>Среда</x:v>
      </x:c>
      <x:c r="F824" s="13" t="str">
        <x:v>Восстановление / видео</x:v>
      </x:c>
      <x:c r="G824" s="44" t="n">
        <x:v>0.01597222222222222</x:v>
      </x:c>
      <x:c r="H824" s="44" t="n">
        <x:v>0.01875</x:v>
      </x:c>
      <x:c r="I824" s="32" t="n">
        <x:f>ROUND((H824-G824)*1440,0)</x:f>
        <x:v>4</x:v>
      </x:c>
      <x:c r="J824" s="13" t="str">
        <x:v>Конспект</x:v>
      </x:c>
      <x:c r="K824" s="13" t="str">
        <x:v>Запиши одну правку на четверг в формате «В следующей попытке я…». Используй cue: «До движения рукой создай давление хотя бы через две ноги и противоположную руку.».</x:v>
      </x:c>
      <x:c r="L824" s="13" t="str">
        <x:v>☐ Не начато</x:v>
      </x:c>
      <x:c r="M824" s="13" t="str">
        <x:v>Обязательно</x:v>
      </x:c>
      <x:c r="N824" s="13" t="str">
        <x:v>Без нагрузки</x:v>
      </x:c>
      <x:c r="O824" s="13" t="str"/>
      <x:c r="P824" s="13" t="str">
        <x:v>milestone_03_hooks_tension_first_sixes/week_12_2026-11-23/03_WEDNESDAY.md</x:v>
      </x:c>
      <x:c r="Q824" s="138" t="str">
        <x:v>Markdown</x:v>
      </x:c>
      <x:c r="R824" s="20" t="str"/>
    </x:row>
    <x:row r="825" ht="36" customHeight="1">
      <x:c r="A825" s="19" t="str">
        <x:v>W12-20261125-0824</x:v>
      </x:c>
      <x:c r="B825" s="13" t="n">
        <x:v>12</x:v>
      </x:c>
      <x:c r="C825" s="13" t="str">
        <x:v>Этап 3 — Hooks, натяжение корпуса и первые шестёрки</x:v>
      </x:c>
      <x:c r="D825" s="138" t="str">
        <x:v>2026-11-25</x:v>
      </x:c>
      <x:c r="E825" s="13" t="str">
        <x:v>Среда</x:v>
      </x:c>
      <x:c r="F825" s="13" t="str">
        <x:v>Восстановление / видео</x:v>
      </x:c>
      <x:c r="G825" s="44" t="n">
        <x:v>0.01875</x:v>
      </x:c>
      <x:c r="H825" s="44" t="n">
        <x:v>0.027083333333333334</x:v>
      </x:c>
      <x:c r="I825" s="32" t="n">
        <x:f>ROUND((H825-G825)*1440,0)</x:f>
        <x:v>12</x:v>
      </x:c>
      <x:c r="J825" s="13" t="str">
        <x:v>Домашняя мобильность</x:v>
      </x:c>
      <x:c r="K825" s="13" t="str">
        <x:v>Выполни комплекс H2 «Баланс и опора ног», 12 минут. Ни турника, ни колец для дополнительного хвата.</x:v>
      </x:c>
      <x:c r="L825" s="13" t="str">
        <x:v>☐ Не начато</x:v>
      </x:c>
      <x:c r="M825" s="13" t="str">
        <x:v>Обязательно</x:v>
      </x:c>
      <x:c r="N825" s="13" t="str">
        <x:v>RPE 2–3</x:v>
      </x:c>
      <x:c r="O825" s="13" t="str">
        <x:v>Не уходи в глубокий присед. Стена используется как страховка; упражнение не должно провоцировать правое колено.</x:v>
      </x:c>
      <x:c r="P825" s="13" t="str">
        <x:v>milestone_03_hooks_tension_first_sixes/week_12_2026-11-23/03_WEDNESDAY.md</x:v>
      </x:c>
      <x:c r="Q825" s="138" t="str">
        <x:v>Markdown</x:v>
      </x:c>
      <x:c r="R825" s="20" t="str"/>
    </x:row>
    <x:row r="826" ht="36" customHeight="1">
      <x:c r="A826" s="19" t="str">
        <x:v>W12-20261125-0825</x:v>
      </x:c>
      <x:c r="B826" s="13" t="n">
        <x:v>12</x:v>
      </x:c>
      <x:c r="C826" s="13" t="str">
        <x:v>Этап 3 — Hooks, натяжение корпуса и первые шестёрки</x:v>
      </x:c>
      <x:c r="D826" s="138" t="str">
        <x:v>2026-11-25</x:v>
      </x:c>
      <x:c r="E826" s="13" t="str">
        <x:v>Среда</x:v>
      </x:c>
      <x:c r="F826" s="13" t="str">
        <x:v>Восстановление / видео</x:v>
      </x:c>
      <x:c r="G826" s="44" t="n">
        <x:v>0.027083333333333334</x:v>
      </x:c>
      <x:c r="H826" s="44" t="n">
        <x:v>0.04097222222222222</x:v>
      </x:c>
      <x:c r="I826" s="32" t="n">
        <x:f>ROUND((H826-G826)*1440,0)</x:f>
        <x:v>20</x:v>
      </x:c>
      <x:c r="J826" s="13" t="str">
        <x:v>Физиотерапия</x:v>
      </x:c>
      <x:c r="K826" s="13" t="str">
        <x:v>Выполни свой назначенный физиотерапевтом комплекс, если среда входит в его расписание.</x:v>
      </x:c>
      <x:c r="L826" s="13" t="str">
        <x:v>☐ Не начато</x:v>
      </x:c>
      <x:c r="M826" s="13" t="str">
        <x:v>По назначению</x:v>
      </x:c>
      <x:c r="N826" s="13" t="str">
        <x:v>По назначению</x:v>
      </x:c>
      <x:c r="O826" s="13" t="str">
        <x:v>Назначения физиотерапевта имеют приоритет.</x:v>
      </x:c>
      <x:c r="P826" s="13" t="str">
        <x:v>milestone_03_hooks_tension_first_sixes/week_12_2026-11-23/03_WEDNESDAY.md</x:v>
      </x:c>
      <x:c r="Q826" s="138" t="str">
        <x:v>Markdown</x:v>
      </x:c>
      <x:c r="R826" s="20" t="str"/>
    </x:row>
    <x:row r="827" ht="36" customHeight="1">
      <x:c r="A827" s="19" t="str">
        <x:v>W12-20261125-0826</x:v>
      </x:c>
      <x:c r="B827" s="13" t="n">
        <x:v>12</x:v>
      </x:c>
      <x:c r="C827" s="13" t="str">
        <x:v>Этап 3 — Hooks, натяжение корпуса и первые шестёрки</x:v>
      </x:c>
      <x:c r="D827" s="138" t="str">
        <x:v>2026-11-25</x:v>
      </x:c>
      <x:c r="E827" s="13" t="str">
        <x:v>Среда</x:v>
      </x:c>
      <x:c r="F827" s="13" t="str">
        <x:v>Восстановление / видео</x:v>
      </x:c>
      <x:c r="G827" s="44" t="n">
        <x:v>0.04097222222222222</x:v>
      </x:c>
      <x:c r="H827" s="44" t="n">
        <x:v>0.043055555555555555</x:v>
      </x:c>
      <x:c r="I827" s="32" t="n">
        <x:f>ROUND((H827-G827)*1440,0)</x:f>
        <x:v>3</x:v>
      </x:c>
      <x:c r="J827" s="13" t="str">
        <x:v>Запрет лишней нагрузки</x:v>
      </x:c>
      <x:c r="K827" s="13" t="str">
        <x:v>Поставь отметку: сегодня не было висов, подтягиваний «на проверку», эспандера-сжимателя или тяжёлого ношения.</x:v>
      </x:c>
      <x:c r="L827" s="13" t="str">
        <x:v>☐ Не начато</x:v>
      </x:c>
      <x:c r="M827" s="13" t="str">
        <x:v>Обязательно</x:v>
      </x:c>
      <x:c r="N827" s="13" t="str">
        <x:v>Восстановление</x:v>
      </x:c>
      <x:c r="O827" s="13" t="str"/>
      <x:c r="P827" s="13" t="str">
        <x:v>milestone_03_hooks_tension_first_sixes/week_12_2026-11-23/03_WEDNESDAY.md</x:v>
      </x:c>
      <x:c r="Q827" s="138" t="str">
        <x:v>Markdown</x:v>
      </x:c>
      <x:c r="R827" s="20" t="str"/>
    </x:row>
    <x:row r="828" ht="36" customHeight="1">
      <x:c r="A828" s="19" t="str">
        <x:v>W12-20261126-0827</x:v>
      </x:c>
      <x:c r="B828" s="13" t="n">
        <x:v>12</x:v>
      </x:c>
      <x:c r="C828" s="13" t="str">
        <x:v>Этап 3 — Hooks, натяжение корпуса и первые шестёрки</x:v>
      </x:c>
      <x:c r="D828" s="138" t="str">
        <x:v>2026-11-26</x:v>
      </x:c>
      <x:c r="E828" s="13" t="str">
        <x:v>Четверг</x:v>
      </x:c>
      <x:c r="F828" s="13" t="str">
        <x:v>Тренировка B — пальцы/проект</x:v>
      </x:c>
      <x:c r="G828" s="44" t="n">
        <x:v>0</x:v>
      </x:c>
      <x:c r="H828" s="44" t="n">
        <x:v>0.0020833333333333333</x:v>
      </x:c>
      <x:c r="I828" s="32" t="n">
        <x:f>ROUND((H828-G828)*1440,0)</x:f>
        <x:v>3</x:v>
      </x:c>
      <x:c r="J828" s="13" t="str">
        <x:v>Самопроверка</x:v>
      </x:c>
      <x:c r="K828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828" s="13" t="str">
        <x:v>☐ Не начато</x:v>
      </x:c>
      <x:c r="M828" s="13" t="str">
        <x:v>Обязательно</x:v>
      </x:c>
      <x:c r="N828" s="13" t="str">
        <x:v>Без нагрузки</x:v>
      </x:c>
      <x:c r="O828" s="13" t="str">
        <x:v>Красный флаг = не начинать пальцевую нагрузку.</x:v>
      </x:c>
      <x:c r="P828" s="13" t="str">
        <x:v>milestone_03_hooks_tension_first_sixes/week_12_2026-11-23/04_THURSDAY.md</x:v>
      </x:c>
      <x:c r="Q828" s="138" t="str">
        <x:v>Markdown</x:v>
      </x:c>
      <x:c r="R828" s="20" t="str"/>
    </x:row>
    <x:row r="829" ht="36" customHeight="1">
      <x:c r="A829" s="19" t="str">
        <x:v>W12-20261126-0828</x:v>
      </x:c>
      <x:c r="B829" s="13" t="n">
        <x:v>12</x:v>
      </x:c>
      <x:c r="C829" s="13" t="str">
        <x:v>Этап 3 — Hooks, натяжение корпуса и первые шестёрки</x:v>
      </x:c>
      <x:c r="D829" s="138" t="str">
        <x:v>2026-11-26</x:v>
      </x:c>
      <x:c r="E829" s="13" t="str">
        <x:v>Четверг</x:v>
      </x:c>
      <x:c r="F829" s="13" t="str">
        <x:v>Тренировка B — пальцы/проект</x:v>
      </x:c>
      <x:c r="G829" s="44" t="n">
        <x:v>0.0020833333333333333</x:v>
      </x:c>
      <x:c r="H829" s="44" t="n">
        <x:v>0.005555555555555556</x:v>
      </x:c>
      <x:c r="I829" s="32" t="n">
        <x:f>ROUND((H829-G829)*1440,0)</x:f>
        <x:v>5</x:v>
      </x:c>
      <x:c r="J829" s="13" t="str">
        <x:v>Разминка</x:v>
      </x:c>
      <x:c r="K829" s="13" t="str">
        <x:v>Подними температуру: быстрая ходьба, лестница или лёгкий велотренажёр 5 минут.</x:v>
      </x:c>
      <x:c r="L829" s="13" t="str">
        <x:v>☐ Не начато</x:v>
      </x:c>
      <x:c r="M829" s="13" t="str">
        <x:v>Обязательно</x:v>
      </x:c>
      <x:c r="N829" s="13" t="str">
        <x:v>RPE 2–3</x:v>
      </x:c>
      <x:c r="O829" s="13" t="str"/>
      <x:c r="P829" s="13" t="str">
        <x:v>milestone_03_hooks_tension_first_sixes/week_12_2026-11-23/04_THURSDAY.md</x:v>
      </x:c>
      <x:c r="Q829" s="138" t="str">
        <x:v>Markdown</x:v>
      </x:c>
      <x:c r="R829" s="20" t="str"/>
    </x:row>
    <x:row r="830" ht="36" customHeight="1">
      <x:c r="A830" s="19" t="str">
        <x:v>W12-20261126-0829</x:v>
      </x:c>
      <x:c r="B830" s="13" t="n">
        <x:v>12</x:v>
      </x:c>
      <x:c r="C830" s="13" t="str">
        <x:v>Этап 3 — Hooks, натяжение корпуса и первые шестёрки</x:v>
      </x:c>
      <x:c r="D830" s="138" t="str">
        <x:v>2026-11-26</x:v>
      </x:c>
      <x:c r="E830" s="13" t="str">
        <x:v>Четверг</x:v>
      </x:c>
      <x:c r="F830" s="13" t="str">
        <x:v>Тренировка B — пальцы/проект</x:v>
      </x:c>
      <x:c r="G830" s="44" t="n">
        <x:v>0.005555555555555556</x:v>
      </x:c>
      <x:c r="H830" s="44" t="n">
        <x:v>0.009027777777777777</x:v>
      </x:c>
      <x:c r="I830" s="32" t="n">
        <x:f>ROUND((H830-G830)*1440,0)</x:f>
        <x:v>5</x:v>
      </x:c>
      <x:c r="J830" s="13" t="str">
        <x:v>Разминка</x:v>
      </x:c>
      <x:c r="K830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830" s="13" t="str">
        <x:v>☐ Не начато</x:v>
      </x:c>
      <x:c r="M830" s="13" t="str">
        <x:v>Обязательно</x:v>
      </x:c>
      <x:c r="N830" s="13" t="str">
        <x:v>Очень легко</x:v>
      </x:c>
      <x:c r="O830" s="13" t="str">
        <x:v>Не делай press/отжимания и движения, которые раздражают плечо.</x:v>
      </x:c>
      <x:c r="P830" s="13" t="str">
        <x:v>milestone_03_hooks_tension_first_sixes/week_12_2026-11-23/04_THURSDAY.md</x:v>
      </x:c>
      <x:c r="Q830" s="138" t="str">
        <x:v>Markdown</x:v>
      </x:c>
      <x:c r="R830" s="20" t="str"/>
    </x:row>
    <x:row r="831" ht="36" customHeight="1">
      <x:c r="A831" s="19" t="str">
        <x:v>W12-20261126-0830</x:v>
      </x:c>
      <x:c r="B831" s="13" t="n">
        <x:v>12</x:v>
      </x:c>
      <x:c r="C831" s="13" t="str">
        <x:v>Этап 3 — Hooks, натяжение корпуса и первые шестёрки</x:v>
      </x:c>
      <x:c r="D831" s="138" t="str">
        <x:v>2026-11-26</x:v>
      </x:c>
      <x:c r="E831" s="13" t="str">
        <x:v>Четверг</x:v>
      </x:c>
      <x:c r="F831" s="13" t="str">
        <x:v>Тренировка B — пальцы/проект</x:v>
      </x:c>
      <x:c r="G831" s="44" t="n">
        <x:v>0.009027777777777777</x:v>
      </x:c>
      <x:c r="H831" s="44" t="n">
        <x:v>0.011805555555555555</x:v>
      </x:c>
      <x:c r="I831" s="32" t="n">
        <x:f>ROUND((H831-G831)*1440,0)</x:f>
        <x:v>4</x:v>
      </x:c>
      <x:c r="J831" s="13" t="str">
        <x:v>Разминка пальцев</x:v>
      </x:c>
      <x:c r="K831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831" s="13" t="str">
        <x:v>☐ Не начато</x:v>
      </x:c>
      <x:c r="M831" s="13" t="str">
        <x:v>Обязательно</x:v>
      </x:c>
      <x:c r="N831" s="13" t="str">
        <x:v>Очень легко</x:v>
      </x:c>
      <x:c r="O831" s="13" t="str"/>
      <x:c r="P831" s="13" t="str">
        <x:v>milestone_03_hooks_tension_first_sixes/week_12_2026-11-23/04_THURSDAY.md</x:v>
      </x:c>
      <x:c r="Q831" s="138" t="str">
        <x:v>Markdown</x:v>
      </x:c>
      <x:c r="R831" s="20" t="str"/>
    </x:row>
    <x:row r="832" ht="36" customHeight="1">
      <x:c r="A832" s="19" t="str">
        <x:v>W12-20261126-0831</x:v>
      </x:c>
      <x:c r="B832" s="13" t="n">
        <x:v>12</x:v>
      </x:c>
      <x:c r="C832" s="13" t="str">
        <x:v>Этап 3 — Hooks, натяжение корпуса и первые шестёрки</x:v>
      </x:c>
      <x:c r="D832" s="138" t="str">
        <x:v>2026-11-26</x:v>
      </x:c>
      <x:c r="E832" s="13" t="str">
        <x:v>Четверг</x:v>
      </x:c>
      <x:c r="F832" s="13" t="str">
        <x:v>Тренировка B — пальцы/проект</x:v>
      </x:c>
      <x:c r="G832" s="44" t="n">
        <x:v>0.011805555555555555</x:v>
      </x:c>
      <x:c r="H832" s="44" t="n">
        <x:v>0.014583333333333334</x:v>
      </x:c>
      <x:c r="I832" s="32" t="n">
        <x:f>ROUND((H832-G832)*1440,0)</x:f>
        <x:v>4</x:v>
      </x:c>
      <x:c r="J832" s="13" t="str">
        <x:v>Разминочное лазание</x:v>
      </x:c>
      <x:c r="K832" s="13" t="str">
        <x:v>Пройди 2 очень лёгкие трассы уровня 1–2; двигайся медленно, спускайся по зацепам.</x:v>
      </x:c>
      <x:c r="L832" s="13" t="str">
        <x:v>☐ Не начато</x:v>
      </x:c>
      <x:c r="M832" s="13" t="str">
        <x:v>Обязательно</x:v>
      </x:c>
      <x:c r="N832" s="13" t="str">
        <x:v>RPE 2–3</x:v>
      </x:c>
      <x:c r="O832" s="13" t="str">
        <x:v>Финиш с обязательным болезненным mantle/press пропусти.</x:v>
      </x:c>
      <x:c r="P832" s="13" t="str">
        <x:v>milestone_03_hooks_tension_first_sixes/week_12_2026-11-23/04_THURSDAY.md</x:v>
      </x:c>
      <x:c r="Q832" s="138" t="str">
        <x:v>Markdown</x:v>
      </x:c>
      <x:c r="R832" s="20" t="str"/>
    </x:row>
    <x:row r="833" ht="36" customHeight="1">
      <x:c r="A833" s="19" t="str">
        <x:v>W12-20261126-0832</x:v>
      </x:c>
      <x:c r="B833" s="13" t="n">
        <x:v>12</x:v>
      </x:c>
      <x:c r="C833" s="13" t="str">
        <x:v>Этап 3 — Hooks, натяжение корпуса и первые шестёрки</x:v>
      </x:c>
      <x:c r="D833" s="138" t="str">
        <x:v>2026-11-26</x:v>
      </x:c>
      <x:c r="E833" s="13" t="str">
        <x:v>Четверг</x:v>
      </x:c>
      <x:c r="F833" s="13" t="str">
        <x:v>Тренировка B — пальцы/проект</x:v>
      </x:c>
      <x:c r="G833" s="44" t="n">
        <x:v>0.014583333333333334</x:v>
      </x:c>
      <x:c r="H833" s="44" t="n">
        <x:v>0.017361111111111112</x:v>
      </x:c>
      <x:c r="I833" s="32" t="n">
        <x:f>ROUND((H833-G833)*1440,0)</x:f>
        <x:v>4</x:v>
      </x:c>
      <x:c r="J833" s="13" t="str">
        <x:v>Разминочное лазание</x:v>
      </x:c>
      <x:c r="K833" s="13" t="str">
        <x:v>Пройди 2 трассы уровня 2–3, затем сделай 2–3 движения на комфортной четвёрке. Между ними 45–60 секунд.</x:v>
      </x:c>
      <x:c r="L833" s="13" t="str">
        <x:v>☐ Не начато</x:v>
      </x:c>
      <x:c r="M833" s="13" t="str">
        <x:v>Обязательно</x:v>
      </x:c>
      <x:c r="N833" s="13" t="str">
        <x:v>RPE 3–4</x:v>
      </x:c>
      <x:c r="O833" s="13" t="str">
        <x:v>Разминка не должна утомить пальцы.</x:v>
      </x:c>
      <x:c r="P833" s="13" t="str">
        <x:v>milestone_03_hooks_tension_first_sixes/week_12_2026-11-23/04_THURSDAY.md</x:v>
      </x:c>
      <x:c r="Q833" s="138" t="str">
        <x:v>Markdown</x:v>
      </x:c>
      <x:c r="R833" s="20" t="str"/>
    </x:row>
    <x:row r="834" ht="36" customHeight="1">
      <x:c r="A834" s="19" t="str">
        <x:v>W12-20261126-0833</x:v>
      </x:c>
      <x:c r="B834" s="13" t="n">
        <x:v>12</x:v>
      </x:c>
      <x:c r="C834" s="13" t="str">
        <x:v>Этап 3 — Hooks, натяжение корпуса и первые шестёрки</x:v>
      </x:c>
      <x:c r="D834" s="138" t="str">
        <x:v>2026-11-26</x:v>
      </x:c>
      <x:c r="E834" s="13" t="str">
        <x:v>Четверг</x:v>
      </x:c>
      <x:c r="F834" s="13" t="str">
        <x:v>Тренировка B — пальцы/проект</x:v>
      </x:c>
      <x:c r="G834" s="44" t="n">
        <x:v>0.017361111111111112</x:v>
      </x:c>
      <x:c r="H834" s="44" t="n">
        <x:v>0.019444444444444445</x:v>
      </x:c>
      <x:c r="I834" s="32" t="n">
        <x:f>ROUND((H834-G834)*1440,0)</x:f>
        <x:v>3</x:v>
      </x:c>
      <x:c r="J834" s="13" t="str">
        <x:v>Фингерборд — готовность</x:v>
      </x:c>
      <x:c r="K834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834" s="13" t="str">
        <x:v>☐ Не начато</x:v>
      </x:c>
      <x:c r="M834" s="13" t="str">
        <x:v>Обязательно</x:v>
      </x:c>
      <x:c r="N834" s="13" t="str">
        <x:v>Подготовка</x:v>
      </x:c>
      <x:c r="O834" s="13" t="str">
        <x:v>Плечо полностью спокойно; full crimp, карманы, одна рука и допвес запрещены.</x:v>
      </x:c>
      <x:c r="P834" s="13" t="str">
        <x:v>milestone_03_hooks_tension_first_sixes/week_12_2026-11-23/04_THURSDAY.md</x:v>
      </x:c>
      <x:c r="Q834" s="138" t="str">
        <x:v>Markdown</x:v>
      </x:c>
      <x:c r="R834" s="20" t="str"/>
    </x:row>
    <x:row r="835" ht="36" customHeight="1">
      <x:c r="A835" s="19" t="str">
        <x:v>W12-20261126-0834</x:v>
      </x:c>
      <x:c r="B835" s="13" t="n">
        <x:v>12</x:v>
      </x:c>
      <x:c r="C835" s="13" t="str">
        <x:v>Этап 3 — Hooks, натяжение корпуса и первые шестёрки</x:v>
      </x:c>
      <x:c r="D835" s="138" t="str">
        <x:v>2026-11-26</x:v>
      </x:c>
      <x:c r="E835" s="13" t="str">
        <x:v>Четверг</x:v>
      </x:c>
      <x:c r="F835" s="13" t="str">
        <x:v>Тренировка B — пальцы/проект</x:v>
      </x:c>
      <x:c r="G835" s="44" t="n">
        <x:v>0.019444444444444445</x:v>
      </x:c>
      <x:c r="H835" s="44" t="n">
        <x:v>0.029861111111111113</x:v>
      </x:c>
      <x:c r="I835" s="32" t="n">
        <x:f>ROUND((H835-G835)*1440,0)</x:f>
        <x:v>15</x:v>
      </x:c>
      <x:c r="J835" s="13" t="str">
        <x:v>Фингерборд</x:v>
      </x:c>
      <x:c r="K835" s="13" t="str">
        <x:v>Выполни протокол: 3 × 7 сек, ноги помогают, RPE 6, либо пропуск. Запусти таймер. Каждый вис прекращай с указанным запасом; форма кисти не меняется.</x:v>
      </x:c>
      <x:c r="L835" s="13" t="str">
        <x:v>☐ Не начато</x:v>
      </x:c>
      <x:c r="M835" s="13" t="str">
        <x:v>Обязательно</x:v>
      </x:c>
      <x:c r="N835" s="13" t="str">
        <x:v>3 × 7 сек, ноги помогают, RPE 6, либо пропуск</x:v>
      </x:c>
      <x:c r="O835" s="13" t="str">
        <x:v>Острая боль, дрожь формы, падение RPE-контроля или боль плеча = закончить блок.</x:v>
      </x:c>
      <x:c r="P835" s="13" t="str">
        <x:v>milestone_03_hooks_tension_first_sixes/week_12_2026-11-23/04_THURSDAY.md</x:v>
      </x:c>
      <x:c r="Q835" s="138" t="str">
        <x:v>Markdown</x:v>
      </x:c>
      <x:c r="R835" s="20" t="str"/>
    </x:row>
    <x:row r="836" ht="36" customHeight="1">
      <x:c r="A836" s="19" t="str">
        <x:v>W12-20261126-0835</x:v>
      </x:c>
      <x:c r="B836" s="13" t="n">
        <x:v>12</x:v>
      </x:c>
      <x:c r="C836" s="13" t="str">
        <x:v>Этап 3 — Hooks, натяжение корпуса и первые шестёрки</x:v>
      </x:c>
      <x:c r="D836" s="138" t="str">
        <x:v>2026-11-26</x:v>
      </x:c>
      <x:c r="E836" s="13" t="str">
        <x:v>Четверг</x:v>
      </x:c>
      <x:c r="F836" s="13" t="str">
        <x:v>Тренировка B — пальцы/проект</x:v>
      </x:c>
      <x:c r="G836" s="44" t="n">
        <x:v>0.029861111111111113</x:v>
      </x:c>
      <x:c r="H836" s="44" t="n">
        <x:v>0.03194444444444444</x:v>
      </x:c>
      <x:c r="I836" s="32" t="n">
        <x:f>ROUND((H836-G836)*1440,0)</x:f>
        <x:v>3</x:v>
      </x:c>
      <x:c r="J836" s="13" t="str">
        <x:v>Фингерборд — запись</x:v>
      </x:c>
      <x:c r="K836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836" s="13" t="str">
        <x:v>☐ Не начато</x:v>
      </x:c>
      <x:c r="M836" s="13" t="str">
        <x:v>Обязательно</x:v>
      </x:c>
      <x:c r="N836" s="13" t="str">
        <x:v>Без нагрузки</x:v>
      </x:c>
      <x:c r="O836" s="13" t="str"/>
      <x:c r="P836" s="13" t="str">
        <x:v>milestone_03_hooks_tension_first_sixes/week_12_2026-11-23/04_THURSDAY.md</x:v>
      </x:c>
      <x:c r="Q836" s="138" t="str">
        <x:v>Markdown</x:v>
      </x:c>
      <x:c r="R836" s="20" t="str"/>
    </x:row>
    <x:row r="837" ht="36" customHeight="1">
      <x:c r="A837" s="19" t="str">
        <x:v>W12-20261126-0836</x:v>
      </x:c>
      <x:c r="B837" s="13" t="n">
        <x:v>12</x:v>
      </x:c>
      <x:c r="C837" s="13" t="str">
        <x:v>Этап 3 — Hooks, натяжение корпуса и первые шестёрки</x:v>
      </x:c>
      <x:c r="D837" s="138" t="str">
        <x:v>2026-11-26</x:v>
      </x:c>
      <x:c r="E837" s="13" t="str">
        <x:v>Четверг</x:v>
      </x:c>
      <x:c r="F837" s="13" t="str">
        <x:v>Тренировка B — пальцы/проект</x:v>
      </x:c>
      <x:c r="G837" s="44" t="n">
        <x:v>0.03194444444444444</x:v>
      </x:c>
      <x:c r="H837" s="44" t="n">
        <x:v>0.035416666666666666</x:v>
      </x:c>
      <x:c r="I837" s="32" t="n">
        <x:f>ROUND((H837-G837)*1440,0)</x:f>
        <x:v>5</x:v>
      </x:c>
      <x:c r="J837" s="13" t="str">
        <x:v>Отдых</x:v>
      </x:c>
      <x:c r="K837" s="13" t="str">
        <x:v>5 минут полного отдыха: ходьба, вода, без лазания и без тестового виса.</x:v>
      </x:c>
      <x:c r="L837" s="13" t="str">
        <x:v>☐ Не начато</x:v>
      </x:c>
      <x:c r="M837" s="13" t="str">
        <x:v>Обязательно</x:v>
      </x:c>
      <x:c r="N837" s="13" t="str">
        <x:v>Восстановление</x:v>
      </x:c>
      <x:c r="O837" s="13" t="str"/>
      <x:c r="P837" s="13" t="str">
        <x:v>milestone_03_hooks_tension_first_sixes/week_12_2026-11-23/04_THURSDAY.md</x:v>
      </x:c>
      <x:c r="Q837" s="138" t="str">
        <x:v>Markdown</x:v>
      </x:c>
      <x:c r="R837" s="20" t="str"/>
    </x:row>
    <x:row r="838" ht="36" customHeight="1">
      <x:c r="A838" s="19" t="str">
        <x:v>W12-20261126-0837</x:v>
      </x:c>
      <x:c r="B838" s="13" t="n">
        <x:v>12</x:v>
      </x:c>
      <x:c r="C838" s="13" t="str">
        <x:v>Этап 3 — Hooks, натяжение корпуса и первые шестёрки</x:v>
      </x:c>
      <x:c r="D838" s="138" t="str">
        <x:v>2026-11-26</x:v>
      </x:c>
      <x:c r="E838" s="13" t="str">
        <x:v>Четверг</x:v>
      </x:c>
      <x:c r="F838" s="13" t="str">
        <x:v>Тренировка B — пальцы/проект</x:v>
      </x:c>
      <x:c r="G838" s="44" t="n">
        <x:v>0.035416666666666666</x:v>
      </x:c>
      <x:c r="H838" s="44" t="n">
        <x:v>0.03819444444444445</x:v>
      </x:c>
      <x:c r="I838" s="32" t="n">
        <x:f>ROUND((H838-G838)*1440,0)</x:f>
        <x:v>4</x:v>
      </x:c>
      <x:c r="J838" s="13" t="str">
        <x:v>Выбор проекта</x:v>
      </x:c>
      <x:c r="K838" s="13" t="str">
        <x:v>Выбери трассу по критериям недели: Контрольная шестёрка с крупными/средними зацепами и без болезненного press; 15–20 минут качественной работы.</x:v>
      </x:c>
      <x:c r="L838" s="13" t="str">
        <x:v>☐ Не начато</x:v>
      </x:c>
      <x:c r="M838" s="13" t="str">
        <x:v>Обязательно</x:v>
      </x:c>
      <x:c r="N838" s="13" t="str">
        <x:v>Без нагрузки</x:v>
      </x:c>
      <x:c r="O838" s="13" t="str">
        <x:v>Разгрузка после теста. Никаких больших dyno. Плечо и пальцы должны оставаться спокойными на следующий день.</x:v>
      </x:c>
      <x:c r="P838" s="13" t="str">
        <x:v>milestone_03_hooks_tension_first_sixes/week_12_2026-11-23/04_THURSDAY.md</x:v>
      </x:c>
      <x:c r="Q838" s="138" t="str">
        <x:v>Markdown</x:v>
      </x:c>
      <x:c r="R838" s="20" t="str"/>
    </x:row>
    <x:row r="839" ht="36" customHeight="1">
      <x:c r="A839" s="19" t="str">
        <x:v>W12-20261126-0838</x:v>
      </x:c>
      <x:c r="B839" s="13" t="n">
        <x:v>12</x:v>
      </x:c>
      <x:c r="C839" s="13" t="str">
        <x:v>Этап 3 — Hooks, натяжение корпуса и первые шестёрки</x:v>
      </x:c>
      <x:c r="D839" s="138" t="str">
        <x:v>2026-11-26</x:v>
      </x:c>
      <x:c r="E839" s="13" t="str">
        <x:v>Четверг</x:v>
      </x:c>
      <x:c r="F839" s="13" t="str">
        <x:v>Тренировка B — пальцы/проект</x:v>
      </x:c>
      <x:c r="G839" s="44" t="n">
        <x:v>0.03819444444444445</x:v>
      </x:c>
      <x:c r="H839" s="44" t="n">
        <x:v>0.041666666666666664</x:v>
      </x:c>
      <x:c r="I839" s="32" t="n">
        <x:f>ROUND((H839-G839)*1440,0)</x:f>
        <x:v>5</x:v>
      </x:c>
      <x:c r="J839" s="13" t="str">
        <x:v>Проект — попытка 1</x:v>
      </x:c>
      <x:c r="K839" s="13" t="str">
        <x:v>Сделай первую полную диагностическую попытку. После падения не повторяй сразу: назови точную причину.</x:v>
      </x:c>
      <x:c r="L839" s="13" t="str">
        <x:v>☐ Не начато</x:v>
      </x:c>
      <x:c r="M839" s="13" t="str">
        <x:v>Обязательно</x:v>
      </x:c>
      <x:c r="N839" s="13" t="str">
        <x:v>RPE 7–8</x:v>
      </x:c>
      <x:c r="O839" s="13" t="str">
        <x:v>Прекратить движение при боли, а не после падения.</x:v>
      </x:c>
      <x:c r="P839" s="13" t="str">
        <x:v>milestone_03_hooks_tension_first_sixes/week_12_2026-11-23/04_THURSDAY.md</x:v>
      </x:c>
      <x:c r="Q839" s="138" t="str">
        <x:v>Markdown</x:v>
      </x:c>
      <x:c r="R839" s="20" t="str"/>
    </x:row>
    <x:row r="840" ht="36" customHeight="1">
      <x:c r="A840" s="19" t="str">
        <x:v>W12-20261126-0839</x:v>
      </x:c>
      <x:c r="B840" s="13" t="n">
        <x:v>12</x:v>
      </x:c>
      <x:c r="C840" s="13" t="str">
        <x:v>Этап 3 — Hooks, натяжение корпуса и первые шестёрки</x:v>
      </x:c>
      <x:c r="D840" s="138" t="str">
        <x:v>2026-11-26</x:v>
      </x:c>
      <x:c r="E840" s="13" t="str">
        <x:v>Четверг</x:v>
      </x:c>
      <x:c r="F840" s="13" t="str">
        <x:v>Тренировка B — пальцы/проект</x:v>
      </x:c>
      <x:c r="G840" s="44" t="n">
        <x:v>0.041666666666666664</x:v>
      </x:c>
      <x:c r="H840" s="44" t="n">
        <x:v>0.04513888888888889</x:v>
      </x:c>
      <x:c r="I840" s="32" t="n">
        <x:f>ROUND((H840-G840)*1440,0)</x:f>
        <x:v>5</x:v>
      </x:c>
      <x:c r="J840" s="13" t="str">
        <x:v>Отдых / гипотеза</x:v>
      </x:c>
      <x:c r="K840" s="13" t="str">
        <x:v>Отдых 4–5 минут. Запиши одну гипотезу: стопа, положение таза, хват или темп.</x:v>
      </x:c>
      <x:c r="L840" s="13" t="str">
        <x:v>☐ Не начато</x:v>
      </x:c>
      <x:c r="M840" s="13" t="str">
        <x:v>Обязательно</x:v>
      </x:c>
      <x:c r="N840" s="13" t="str">
        <x:v>Восстановление</x:v>
      </x:c>
      <x:c r="O840" s="13" t="str"/>
      <x:c r="P840" s="13" t="str">
        <x:v>milestone_03_hooks_tension_first_sixes/week_12_2026-11-23/04_THURSDAY.md</x:v>
      </x:c>
      <x:c r="Q840" s="138" t="str">
        <x:v>Markdown</x:v>
      </x:c>
      <x:c r="R840" s="20" t="str"/>
    </x:row>
    <x:row r="841" ht="36" customHeight="1">
      <x:c r="A841" s="19" t="str">
        <x:v>W12-20261126-0840</x:v>
      </x:c>
      <x:c r="B841" s="13" t="n">
        <x:v>12</x:v>
      </x:c>
      <x:c r="C841" s="13" t="str">
        <x:v>Этап 3 — Hooks, натяжение корпуса и первые шестёрки</x:v>
      </x:c>
      <x:c r="D841" s="138" t="str">
        <x:v>2026-11-26</x:v>
      </x:c>
      <x:c r="E841" s="13" t="str">
        <x:v>Четверг</x:v>
      </x:c>
      <x:c r="F841" s="13" t="str">
        <x:v>Тренировка B — пальцы/проект</x:v>
      </x:c>
      <x:c r="G841" s="44" t="n">
        <x:v>0.04513888888888889</x:v>
      </x:c>
      <x:c r="H841" s="44" t="n">
        <x:v>0.049305555555555554</x:v>
      </x:c>
      <x:c r="I841" s="32" t="n">
        <x:f>ROUND((H841-G841)*1440,0)</x:f>
        <x:v>6</x:v>
      </x:c>
      <x:c r="J841" s="13" t="str">
        <x:v>Проект — попытки 2–3</x:v>
      </x:c>
      <x:c r="K841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841" s="13" t="str">
        <x:v>☐ Не начато</x:v>
      </x:c>
      <x:c r="M841" s="13" t="str">
        <x:v>Обязательно</x:v>
      </x:c>
      <x:c r="N841" s="13" t="str">
        <x:v>RPE 7–8, без отказа</x:v>
      </x:c>
      <x:c r="O841" s="13" t="str">
        <x:v>Не смотреть beta заранее: сначала собственная гипотеза.</x:v>
      </x:c>
      <x:c r="P841" s="13" t="str">
        <x:v>milestone_03_hooks_tension_first_sixes/week_12_2026-11-23/04_THURSDAY.md</x:v>
      </x:c>
      <x:c r="Q841" s="138" t="str">
        <x:v>Markdown</x:v>
      </x:c>
      <x:c r="R841" s="20" t="str"/>
    </x:row>
    <x:row r="842" ht="36" customHeight="1">
      <x:c r="A842" s="19" t="str">
        <x:v>W12-20261126-0841</x:v>
      </x:c>
      <x:c r="B842" s="13" t="n">
        <x:v>12</x:v>
      </x:c>
      <x:c r="C842" s="13" t="str">
        <x:v>Этап 3 — Hooks, натяжение корпуса и первые шестёрки</x:v>
      </x:c>
      <x:c r="D842" s="138" t="str">
        <x:v>2026-11-26</x:v>
      </x:c>
      <x:c r="E842" s="13" t="str">
        <x:v>Четверг</x:v>
      </x:c>
      <x:c r="F842" s="13" t="str">
        <x:v>Тренировка B — пальцы/проект</x:v>
      </x:c>
      <x:c r="G842" s="44" t="n">
        <x:v>0.049305555555555554</x:v>
      </x:c>
      <x:c r="H842" s="44" t="n">
        <x:v>0.05277777777777778</x:v>
      </x:c>
      <x:c r="I842" s="32" t="n">
        <x:f>ROUND((H842-G842)*1440,0)</x:f>
        <x:v>5</x:v>
      </x:c>
      <x:c r="J842" s="13" t="str">
        <x:v>Проект — заключительная попытка</x:v>
      </x:c>
      <x:c r="K842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842" s="13" t="str">
        <x:v>☐ Не начато</x:v>
      </x:c>
      <x:c r="M842" s="13" t="str">
        <x:v>Обязательно</x:v>
      </x:c>
      <x:c r="N842" s="13" t="str">
        <x:v>RPE 8, с запасом</x:v>
      </x:c>
      <x:c r="O842" s="13" t="str">
        <x:v>Разгрузка после теста. Никаких больших dyno. Плечо и пальцы должны оставаться спокойными на следующий день.</x:v>
      </x:c>
      <x:c r="P842" s="13" t="str">
        <x:v>milestone_03_hooks_tension_first_sixes/week_12_2026-11-23/04_THURSDAY.md</x:v>
      </x:c>
      <x:c r="Q842" s="138" t="str">
        <x:v>Markdown</x:v>
      </x:c>
      <x:c r="R842" s="20" t="str"/>
    </x:row>
    <x:row r="843" ht="36" customHeight="1">
      <x:c r="A843" s="19" t="str">
        <x:v>W12-20261126-0842</x:v>
      </x:c>
      <x:c r="B843" s="13" t="n">
        <x:v>12</x:v>
      </x:c>
      <x:c r="C843" s="13" t="str">
        <x:v>Этап 3 — Hooks, натяжение корпуса и первые шестёрки</x:v>
      </x:c>
      <x:c r="D843" s="138" t="str">
        <x:v>2026-11-26</x:v>
      </x:c>
      <x:c r="E843" s="13" t="str">
        <x:v>Четверг</x:v>
      </x:c>
      <x:c r="F843" s="13" t="str">
        <x:v>Тренировка B — пальцы/проект</x:v>
      </x:c>
      <x:c r="G843" s="44" t="n">
        <x:v>0.05277777777777778</x:v>
      </x:c>
      <x:c r="H843" s="44" t="n">
        <x:v>0.05763888888888889</x:v>
      </x:c>
      <x:c r="I843" s="32" t="n">
        <x:f>ROUND((H843-G843)*1440,0)</x:f>
        <x:v>7</x:v>
      </x:c>
      <x:c r="J843" s="13" t="str">
        <x:v>Вторичная трасса</x:v>
      </x:c>
      <x:c r="K843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843" s="13" t="str">
        <x:v>☐ Не начато</x:v>
      </x:c>
      <x:c r="M843" s="13" t="str">
        <x:v>Обязательно</x:v>
      </x:c>
      <x:c r="N843" s="13" t="str">
        <x:v>RPE 5–7</x:v>
      </x:c>
      <x:c r="O843" s="13" t="str">
        <x:v>Пропустить, если хват уже просел.</x:v>
      </x:c>
      <x:c r="P843" s="13" t="str">
        <x:v>milestone_03_hooks_tension_first_sixes/week_12_2026-11-23/04_THURSDAY.md</x:v>
      </x:c>
      <x:c r="Q843" s="138" t="str">
        <x:v>Markdown</x:v>
      </x:c>
      <x:c r="R843" s="20" t="str"/>
    </x:row>
    <x:row r="844" ht="36" customHeight="1">
      <x:c r="A844" s="19" t="str">
        <x:v>W12-20261126-0843</x:v>
      </x:c>
      <x:c r="B844" s="13" t="n">
        <x:v>12</x:v>
      </x:c>
      <x:c r="C844" s="13" t="str">
        <x:v>Этап 3 — Hooks, натяжение корпуса и первые шестёрки</x:v>
      </x:c>
      <x:c r="D844" s="138" t="str">
        <x:v>2026-11-26</x:v>
      </x:c>
      <x:c r="E844" s="13" t="str">
        <x:v>Четверг</x:v>
      </x:c>
      <x:c r="F844" s="13" t="str">
        <x:v>Тренировка B — пальцы/проект</x:v>
      </x:c>
      <x:c r="G844" s="44" t="n">
        <x:v>0.05763888888888889</x:v>
      </x:c>
      <x:c r="H844" s="44" t="n">
        <x:v>0.06041666666666667</x:v>
      </x:c>
      <x:c r="I844" s="32" t="n">
        <x:f>ROUND((H844-G844)*1440,0)</x:f>
        <x:v>4</x:v>
      </x:c>
      <x:c r="J844" s="13" t="str">
        <x:v>Завершение</x:v>
      </x:c>
      <x:c r="K844" s="13" t="str">
        <x:v>Очень лёгкий спуск/ходьба, вода, никаких финишных висов.</x:v>
      </x:c>
      <x:c r="L844" s="13" t="str">
        <x:v>☐ Не начато</x:v>
      </x:c>
      <x:c r="M844" s="13" t="str">
        <x:v>Обязательно</x:v>
      </x:c>
      <x:c r="N844" s="13" t="str">
        <x:v>RPE 1–2</x:v>
      </x:c>
      <x:c r="O844" s="13" t="str"/>
      <x:c r="P844" s="13" t="str">
        <x:v>milestone_03_hooks_tension_first_sixes/week_12_2026-11-23/04_THURSDAY.md</x:v>
      </x:c>
      <x:c r="Q844" s="138" t="str">
        <x:v>Markdown</x:v>
      </x:c>
      <x:c r="R844" s="20" t="str"/>
    </x:row>
    <x:row r="845" ht="36" customHeight="1">
      <x:c r="A845" s="19" t="str">
        <x:v>W12-20261126-0844</x:v>
      </x:c>
      <x:c r="B845" s="13" t="n">
        <x:v>12</x:v>
      </x:c>
      <x:c r="C845" s="13" t="str">
        <x:v>Этап 3 — Hooks, натяжение корпуса и первые шестёрки</x:v>
      </x:c>
      <x:c r="D845" s="138" t="str">
        <x:v>2026-11-26</x:v>
      </x:c>
      <x:c r="E845" s="13" t="str">
        <x:v>Четверг</x:v>
      </x:c>
      <x:c r="F845" s="13" t="str">
        <x:v>Тренировка B — пальцы/проект</x:v>
      </x:c>
      <x:c r="G845" s="44" t="n">
        <x:v>0.06041666666666667</x:v>
      </x:c>
      <x:c r="H845" s="44" t="n">
        <x:v>0.0625</x:v>
      </x:c>
      <x:c r="I845" s="32" t="n">
        <x:f>ROUND((H845-G845)*1440,0)</x:f>
        <x:v>3</x:v>
      </x:c>
      <x:c r="J845" s="13" t="str">
        <x:v>Журнал</x:v>
      </x:c>
      <x:c r="K845" s="13" t="str">
        <x:v>Запиши попытки, лучшую связку, одну правку и benchmark: Тест 3 месяцев: 4 четвёрки, 4 пятёрки, 1 шестёрка. Успех = ясная бета и связка нескольких движений; полный топ — бонус.</x:v>
      </x:c>
      <x:c r="L845" s="13" t="str">
        <x:v>☐ Не начато</x:v>
      </x:c>
      <x:c r="M845" s="13" t="str">
        <x:v>Обязательно</x:v>
      </x:c>
      <x:c r="N845" s="13" t="str">
        <x:v>Без нагрузки</x:v>
      </x:c>
      <x:c r="O845" s="13" t="str"/>
      <x:c r="P845" s="13" t="str">
        <x:v>milestone_03_hooks_tension_first_sixes/week_12_2026-11-23/04_THURSDAY.md</x:v>
      </x:c>
      <x:c r="Q845" s="138" t="str">
        <x:v>Markdown</x:v>
      </x:c>
      <x:c r="R845" s="20" t="str"/>
    </x:row>
    <x:row r="846" ht="36" customHeight="1">
      <x:c r="A846" s="19" t="str">
        <x:v>W12-20261127-0845</x:v>
      </x:c>
      <x:c r="B846" s="13" t="n">
        <x:v>12</x:v>
      </x:c>
      <x:c r="C846" s="13" t="str">
        <x:v>Этап 3 — Hooks, натяжение корпуса и первые шестёрки</x:v>
      </x:c>
      <x:c r="D846" s="138" t="str">
        <x:v>2026-11-27</x:v>
      </x:c>
      <x:c r="E846" s="13" t="str">
        <x:v>Пятница</x:v>
      </x:c>
      <x:c r="F846" s="13" t="str">
        <x:v>Дом / теория</x:v>
      </x:c>
      <x:c r="G846" s="44" t="n">
        <x:v>0</x:v>
      </x:c>
      <x:c r="H846" s="44" t="n">
        <x:v>0.0020833333333333333</x:v>
      </x:c>
      <x:c r="I846" s="32" t="n">
        <x:f>ROUND((H846-G846)*1440,0)</x:f>
        <x:v>3</x:v>
      </x:c>
      <x:c r="J846" s="13" t="str">
        <x:v>Самопроверка</x:v>
      </x:c>
      <x:c r="K846" s="13" t="str">
        <x:v>Оцени утреннюю реакцию после четверга: пальцы/плечо/колено 0–10. Запиши, восстановилась ли обычная сила кисти.</x:v>
      </x:c>
      <x:c r="L846" s="13" t="str">
        <x:v>☐ Не начато</x:v>
      </x:c>
      <x:c r="M846" s="13" t="str">
        <x:v>Обязательно</x:v>
      </x:c>
      <x:c r="N846" s="13" t="str">
        <x:v>Без нагрузки</x:v>
      </x:c>
      <x:c r="O846" s="13" t="str">
        <x:v>Острая локальная боль пальца или усилившаяся боль плеча = воскресенье только восстановительное.</x:v>
      </x:c>
      <x:c r="P846" s="13" t="str">
        <x:v>milestone_03_hooks_tension_first_sixes/week_12_2026-11-23/05_FRIDAY.md</x:v>
      </x:c>
      <x:c r="Q846" s="138" t="str">
        <x:v>Markdown</x:v>
      </x:c>
      <x:c r="R846" s="20" t="str"/>
    </x:row>
    <x:row r="847" ht="36" customHeight="1">
      <x:c r="A847" s="19" t="str">
        <x:v>W12-20261127-0846</x:v>
      </x:c>
      <x:c r="B847" s="13" t="n">
        <x:v>12</x:v>
      </x:c>
      <x:c r="C847" s="13" t="str">
        <x:v>Этап 3 — Hooks, натяжение корпуса и первые шестёрки</x:v>
      </x:c>
      <x:c r="D847" s="138" t="str">
        <x:v>2026-11-27</x:v>
      </x:c>
      <x:c r="E847" s="13" t="str">
        <x:v>Пятница</x:v>
      </x:c>
      <x:c r="F847" s="13" t="str">
        <x:v>Дом / теория</x:v>
      </x:c>
      <x:c r="G847" s="44" t="n">
        <x:v>0.0020833333333333333</x:v>
      </x:c>
      <x:c r="H847" s="44" t="n">
        <x:v>0.010416666666666666</x:v>
      </x:c>
      <x:c r="I847" s="32" t="n">
        <x:f>ROUND((H847-G847)*1440,0)</x:f>
        <x:v>12</x:v>
      </x:c>
      <x:c r="J847" s="13" t="str">
        <x:v>Теория</x:v>
      </x:c>
      <x:c r="K847" s="13" t="str">
        <x:v>Пересмотри ключевой фрагмент ресурса недели: [R13: Send Edition — Body Tension Climbing: How To Use It and Common Mistakes](https://www.youtube.com/watch?v=G8igGVRT79w). Задача: Давление через стопы, противоположная рука–нога и предотвращение срыва ног на нависании.</x:v>
      </x:c>
      <x:c r="L847" s="13" t="str">
        <x:v>☐ Не начато</x:v>
      </x:c>
      <x:c r="M847" s="13" t="str">
        <x:v>Обязательно</x:v>
      </x:c>
      <x:c r="N847" s="13" t="str">
        <x:v>Без нагрузки</x:v>
      </x:c>
      <x:c r="O847" s="13" t="str"/>
      <x:c r="P847" s="13" t="str">
        <x:v>milestone_03_hooks_tension_first_sixes/week_12_2026-11-23/05_FRIDAY.md</x:v>
      </x:c>
      <x:c r="Q847" s="138" t="str">
        <x:v>Markdown</x:v>
      </x:c>
      <x:c r="R847" s="20" t="str"/>
    </x:row>
    <x:row r="848" ht="36" customHeight="1">
      <x:c r="A848" s="19" t="str">
        <x:v>W12-20261127-0847</x:v>
      </x:c>
      <x:c r="B848" s="13" t="n">
        <x:v>12</x:v>
      </x:c>
      <x:c r="C848" s="13" t="str">
        <x:v>Этап 3 — Hooks, натяжение корпуса и первые шестёрки</x:v>
      </x:c>
      <x:c r="D848" s="138" t="str">
        <x:v>2026-11-27</x:v>
      </x:c>
      <x:c r="E848" s="13" t="str">
        <x:v>Пятница</x:v>
      </x:c>
      <x:c r="F848" s="13" t="str">
        <x:v>Дом / теория</x:v>
      </x:c>
      <x:c r="G848" s="44" t="n">
        <x:v>0.010416666666666666</x:v>
      </x:c>
      <x:c r="H848" s="44" t="n">
        <x:v>0.014583333333333334</x:v>
      </x:c>
      <x:c r="I848" s="32" t="n">
        <x:f>ROUND((H848-G848)*1440,0)</x:f>
        <x:v>6</x:v>
      </x:c>
      <x:c r="J848" s="13" t="str">
        <x:v>Ментальная репетиция</x:v>
      </x:c>
      <x:c r="K848" s="13" t="str">
        <x:v>Закрой глаза и 3 раза мысленно пройди одну рабочую трассу: руки → ноги → положение таза → дыхание. Визуализируй cue «До движения рукой создай давление хотя бы через две ноги и противоположную руку.».</x:v>
      </x:c>
      <x:c r="L848" s="13" t="str">
        <x:v>☐ Не начато</x:v>
      </x:c>
      <x:c r="M848" s="13" t="str">
        <x:v>Обязательно</x:v>
      </x:c>
      <x:c r="N848" s="13" t="str">
        <x:v>Без нагрузки</x:v>
      </x:c>
      <x:c r="O848" s="13" t="str"/>
      <x:c r="P848" s="13" t="str">
        <x:v>milestone_03_hooks_tension_first_sixes/week_12_2026-11-23/05_FRIDAY.md</x:v>
      </x:c>
      <x:c r="Q848" s="138" t="str">
        <x:v>Markdown</x:v>
      </x:c>
      <x:c r="R848" s="20" t="str"/>
    </x:row>
    <x:row r="849" ht="36" customHeight="1">
      <x:c r="A849" s="19" t="str">
        <x:v>W12-20261127-0848</x:v>
      </x:c>
      <x:c r="B849" s="13" t="n">
        <x:v>12</x:v>
      </x:c>
      <x:c r="C849" s="13" t="str">
        <x:v>Этап 3 — Hooks, натяжение корпуса и первые шестёрки</x:v>
      </x:c>
      <x:c r="D849" s="138" t="str">
        <x:v>2026-11-27</x:v>
      </x:c>
      <x:c r="E849" s="13" t="str">
        <x:v>Пятница</x:v>
      </x:c>
      <x:c r="F849" s="13" t="str">
        <x:v>Дом / теория</x:v>
      </x:c>
      <x:c r="G849" s="44" t="n">
        <x:v>0.014583333333333334</x:v>
      </x:c>
      <x:c r="H849" s="44" t="n">
        <x:v>0.022916666666666665</x:v>
      </x:c>
      <x:c r="I849" s="32" t="n">
        <x:f>ROUND((H849-G849)*1440,0)</x:f>
        <x:v>12</x:v>
      </x:c>
      <x:c r="J849" s="13" t="str">
        <x:v>Домашняя мобильность</x:v>
      </x:c>
      <x:c r="K849" s="13" t="str">
        <x:v>Выполни H3 «Мобильность таза и контроль корпуса» — 12 минут.</x:v>
      </x:c>
      <x:c r="L849" s="13" t="str">
        <x:v>☐ Не начато</x:v>
      </x:c>
      <x:c r="M849" s="13" t="str">
        <x:v>Обязательно</x:v>
      </x:c>
      <x:c r="N849" s="13" t="str">
        <x:v>RPE 2–3</x:v>
      </x:c>
      <x:c r="O849" s="13" t="str">
        <x:v>Никаких скручиваний через боль. Плечом не отталкивайся от стены; касание только для равновесия.</x:v>
      </x:c>
      <x:c r="P849" s="13" t="str">
        <x:v>milestone_03_hooks_tension_first_sixes/week_12_2026-11-23/05_FRIDAY.md</x:v>
      </x:c>
      <x:c r="Q849" s="138" t="str">
        <x:v>Markdown</x:v>
      </x:c>
      <x:c r="R849" s="20" t="str"/>
    </x:row>
    <x:row r="850" ht="36" customHeight="1">
      <x:c r="A850" s="19" t="str">
        <x:v>W12-20261127-0849</x:v>
      </x:c>
      <x:c r="B850" s="13" t="n">
        <x:v>12</x:v>
      </x:c>
      <x:c r="C850" s="13" t="str">
        <x:v>Этап 3 — Hooks, натяжение корпуса и первые шестёрки</x:v>
      </x:c>
      <x:c r="D850" s="138" t="str">
        <x:v>2026-11-27</x:v>
      </x:c>
      <x:c r="E850" s="13" t="str">
        <x:v>Пятница</x:v>
      </x:c>
      <x:c r="F850" s="13" t="str">
        <x:v>Дом / теория</x:v>
      </x:c>
      <x:c r="G850" s="44" t="n">
        <x:v>0.022916666666666665</x:v>
      </x:c>
      <x:c r="H850" s="44" t="n">
        <x:v>0.03680555555555556</x:v>
      </x:c>
      <x:c r="I850" s="32" t="n">
        <x:f>ROUND((H850-G850)*1440,0)</x:f>
        <x:v>20</x:v>
      </x:c>
      <x:c r="J850" s="13" t="str">
        <x:v>Физиотерапия</x:v>
      </x:c>
      <x:c r="K850" s="13" t="str">
        <x:v>Выполни свой назначенный комплекс, если пятница входит в расписание физиотерапевта.</x:v>
      </x:c>
      <x:c r="L850" s="13" t="str">
        <x:v>☐ Не начато</x:v>
      </x:c>
      <x:c r="M850" s="13" t="str">
        <x:v>По назначению</x:v>
      </x:c>
      <x:c r="N850" s="13" t="str">
        <x:v>По назначению</x:v>
      </x:c>
      <x:c r="O850" s="13" t="str">
        <x:v>Не добавляй упражнения из интернета поверх назначений.</x:v>
      </x:c>
      <x:c r="P850" s="13" t="str">
        <x:v>milestone_03_hooks_tension_first_sixes/week_12_2026-11-23/05_FRIDAY.md</x:v>
      </x:c>
      <x:c r="Q850" s="138" t="str">
        <x:v>Markdown</x:v>
      </x:c>
      <x:c r="R850" s="20" t="str"/>
    </x:row>
    <x:row r="851" ht="36" customHeight="1">
      <x:c r="A851" s="19" t="str">
        <x:v>W12-20261127-0850</x:v>
      </x:c>
      <x:c r="B851" s="13" t="n">
        <x:v>12</x:v>
      </x:c>
      <x:c r="C851" s="13" t="str">
        <x:v>Этап 3 — Hooks, натяжение корпуса и первые шестёрки</x:v>
      </x:c>
      <x:c r="D851" s="138" t="str">
        <x:v>2026-11-27</x:v>
      </x:c>
      <x:c r="E851" s="13" t="str">
        <x:v>Пятница</x:v>
      </x:c>
      <x:c r="F851" s="13" t="str">
        <x:v>Дом / теория</x:v>
      </x:c>
      <x:c r="G851" s="44" t="n">
        <x:v>0.03680555555555556</x:v>
      </x:c>
      <x:c r="H851" s="44" t="n">
        <x:v>0.03958333333333333</x:v>
      </x:c>
      <x:c r="I851" s="32" t="n">
        <x:f>ROUND((H851-G851)*1440,0)</x:f>
        <x:v>4</x:v>
      </x:c>
      <x:c r="J851" s="13" t="str">
        <x:v>Журнал</x:v>
      </x:c>
      <x:c r="K851" s="13" t="str">
        <x:v>Запиши одну вещь, которая сработала на этой неделе, и одну, которую повторишь в воскресенье на лёгкой трассе.</x:v>
      </x:c>
      <x:c r="L851" s="13" t="str">
        <x:v>☐ Не начато</x:v>
      </x:c>
      <x:c r="M851" s="13" t="str">
        <x:v>Обязательно</x:v>
      </x:c>
      <x:c r="N851" s="13" t="str">
        <x:v>Без нагрузки</x:v>
      </x:c>
      <x:c r="O851" s="13" t="str"/>
      <x:c r="P851" s="13" t="str">
        <x:v>milestone_03_hooks_tension_first_sixes/week_12_2026-11-23/05_FRIDAY.md</x:v>
      </x:c>
      <x:c r="Q851" s="138" t="str">
        <x:v>Markdown</x:v>
      </x:c>
      <x:c r="R851" s="20" t="str"/>
    </x:row>
    <x:row r="852" ht="36" customHeight="1">
      <x:c r="A852" s="19" t="str">
        <x:v>W12-20261127-0851</x:v>
      </x:c>
      <x:c r="B852" s="13" t="n">
        <x:v>12</x:v>
      </x:c>
      <x:c r="C852" s="13" t="str">
        <x:v>Этап 3 — Hooks, натяжение корпуса и первые шестёрки</x:v>
      </x:c>
      <x:c r="D852" s="138" t="str">
        <x:v>2026-11-27</x:v>
      </x:c>
      <x:c r="E852" s="13" t="str">
        <x:v>Пятница</x:v>
      </x:c>
      <x:c r="F852" s="13" t="str">
        <x:v>Дом / теория</x:v>
      </x:c>
      <x:c r="G852" s="44" t="n">
        <x:v>0.03958333333333333</x:v>
      </x:c>
      <x:c r="H852" s="44" t="n">
        <x:v>0.041666666666666664</x:v>
      </x:c>
      <x:c r="I852" s="32" t="n">
        <x:f>ROUND((H852-G852)*1440,0)</x:f>
        <x:v>3</x:v>
      </x:c>
      <x:c r="J852" s="13" t="str">
        <x:v>Запрет лишней нагрузки</x:v>
      </x:c>
      <x:c r="K852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852" s="13" t="str">
        <x:v>☐ Не начато</x:v>
      </x:c>
      <x:c r="M852" s="13" t="str">
        <x:v>Обязательно</x:v>
      </x:c>
      <x:c r="N852" s="13" t="str">
        <x:v>Восстановление</x:v>
      </x:c>
      <x:c r="O852" s="13" t="str">
        <x:v>Общая пальцевая нагрузка уже получена в четверг.</x:v>
      </x:c>
      <x:c r="P852" s="13" t="str">
        <x:v>milestone_03_hooks_tension_first_sixes/week_12_2026-11-23/05_FRIDAY.md</x:v>
      </x:c>
      <x:c r="Q852" s="138" t="str">
        <x:v>Markdown</x:v>
      </x:c>
      <x:c r="R852" s="20" t="str"/>
    </x:row>
    <x:row r="853" ht="36" customHeight="1">
      <x:c r="A853" s="19" t="str">
        <x:v>W12-20261128-0852</x:v>
      </x:c>
      <x:c r="B853" s="13" t="n">
        <x:v>12</x:v>
      </x:c>
      <x:c r="C853" s="13" t="str">
        <x:v>Этап 3 — Hooks, натяжение корпуса и первые шестёрки</x:v>
      </x:c>
      <x:c r="D853" s="138" t="str">
        <x:v>2026-11-28</x:v>
      </x:c>
      <x:c r="E853" s="13" t="str">
        <x:v>Суббота</x:v>
      </x:c>
      <x:c r="F853" s="13" t="str">
        <x:v>Отдых / подготовка</x:v>
      </x:c>
      <x:c r="G853" s="44" t="n">
        <x:v>0</x:v>
      </x:c>
      <x:c r="H853" s="44" t="n">
        <x:v>0.003472222222222222</x:v>
      </x:c>
      <x:c r="I853" s="32" t="n">
        <x:f>ROUND((H853-G853)*1440,0)</x:f>
        <x:v>5</x:v>
      </x:c>
      <x:c r="J853" s="13" t="str">
        <x:v>Самопроверка</x:v>
      </x:c>
      <x:c r="K853" s="13" t="str">
        <x:v>Проверь кожу пальцев, ногти, плечо и колено. Никаких тестовых висов.</x:v>
      </x:c>
      <x:c r="L853" s="13" t="str">
        <x:v>☐ Не начато</x:v>
      </x:c>
      <x:c r="M853" s="13" t="str">
        <x:v>Обязательно</x:v>
      </x:c>
      <x:c r="N853" s="13" t="str">
        <x:v>Восстановление</x:v>
      </x:c>
      <x:c r="O853" s="13" t="str"/>
      <x:c r="P853" s="13" t="str">
        <x:v>milestone_03_hooks_tension_first_sixes/week_12_2026-11-23/06_SATURDAY.md</x:v>
      </x:c>
      <x:c r="Q853" s="138" t="str">
        <x:v>Markdown</x:v>
      </x:c>
      <x:c r="R853" s="20" t="str"/>
    </x:row>
    <x:row r="854" ht="36" customHeight="1">
      <x:c r="A854" s="19" t="str">
        <x:v>W12-20261128-0853</x:v>
      </x:c>
      <x:c r="B854" s="13" t="n">
        <x:v>12</x:v>
      </x:c>
      <x:c r="C854" s="13" t="str">
        <x:v>Этап 3 — Hooks, натяжение корпуса и первые шестёрки</x:v>
      </x:c>
      <x:c r="D854" s="138" t="str">
        <x:v>2026-11-28</x:v>
      </x:c>
      <x:c r="E854" s="13" t="str">
        <x:v>Суббота</x:v>
      </x:c>
      <x:c r="F854" s="13" t="str">
        <x:v>Отдых / подготовка</x:v>
      </x:c>
      <x:c r="G854" s="44" t="n">
        <x:v>0.003472222222222222</x:v>
      </x:c>
      <x:c r="H854" s="44" t="n">
        <x:v>0.010416666666666666</x:v>
      </x:c>
      <x:c r="I854" s="32" t="n">
        <x:f>ROUND((H854-G854)*1440,0)</x:f>
        <x:v>10</x:v>
      </x:c>
      <x:c r="J854" s="13" t="str">
        <x:v>Активное восстановление</x:v>
      </x:c>
      <x:c r="K854" s="13" t="str">
        <x:v>10 минут лёгкой прогулки или бытовой активности. Цель — восстановление, не тренировка.</x:v>
      </x:c>
      <x:c r="L854" s="13" t="str">
        <x:v>☐ Не начато</x:v>
      </x:c>
      <x:c r="M854" s="13" t="str">
        <x:v>Обязательно</x:v>
      </x:c>
      <x:c r="N854" s="13" t="str">
        <x:v>RPE 1–2</x:v>
      </x:c>
      <x:c r="O854" s="13" t="str"/>
      <x:c r="P854" s="13" t="str">
        <x:v>milestone_03_hooks_tension_first_sixes/week_12_2026-11-23/06_SATURDAY.md</x:v>
      </x:c>
      <x:c r="Q854" s="138" t="str">
        <x:v>Markdown</x:v>
      </x:c>
      <x:c r="R854" s="20" t="str"/>
    </x:row>
    <x:row r="855" ht="36" customHeight="1">
      <x:c r="A855" s="19" t="str">
        <x:v>W12-20261128-0854</x:v>
      </x:c>
      <x:c r="B855" s="13" t="n">
        <x:v>12</x:v>
      </x:c>
      <x:c r="C855" s="13" t="str">
        <x:v>Этап 3 — Hooks, натяжение корпуса и первые шестёрки</x:v>
      </x:c>
      <x:c r="D855" s="138" t="str">
        <x:v>2026-11-28</x:v>
      </x:c>
      <x:c r="E855" s="13" t="str">
        <x:v>Суббота</x:v>
      </x:c>
      <x:c r="F855" s="13" t="str">
        <x:v>Отдых / подготовка</x:v>
      </x:c>
      <x:c r="G855" s="44" t="n">
        <x:v>0.010416666666666666</x:v>
      </x:c>
      <x:c r="H855" s="44" t="n">
        <x:v>0.013888888888888888</x:v>
      </x:c>
      <x:c r="I855" s="32" t="n">
        <x:f>ROUND((H855-G855)*1440,0)</x:f>
        <x:v>5</x:v>
      </x:c>
      <x:c r="J855" s="13" t="str">
        <x:v>Уход за кожей</x:v>
      </x:c>
      <x:c r="K855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855" s="13" t="str">
        <x:v>☐ Не начато</x:v>
      </x:c>
      <x:c r="M855" s="13" t="str">
        <x:v>Опционально</x:v>
      </x:c>
      <x:c r="N855" s="13" t="str">
        <x:v>Без нагрузки</x:v>
      </x:c>
      <x:c r="O855" s="13" t="str">
        <x:v>Повреждённую/болезненную кожу не шлифовать.</x:v>
      </x:c>
      <x:c r="P855" s="13" t="str">
        <x:v>milestone_03_hooks_tension_first_sixes/week_12_2026-11-23/06_SATURDAY.md</x:v>
      </x:c>
      <x:c r="Q855" s="138" t="str">
        <x:v>Markdown</x:v>
      </x:c>
      <x:c r="R855" s="20" t="str"/>
    </x:row>
    <x:row r="856" ht="36" customHeight="1">
      <x:c r="A856" s="19" t="str">
        <x:v>W12-20261128-0855</x:v>
      </x:c>
      <x:c r="B856" s="13" t="n">
        <x:v>12</x:v>
      </x:c>
      <x:c r="C856" s="13" t="str">
        <x:v>Этап 3 — Hooks, натяжение корпуса и первые шестёрки</x:v>
      </x:c>
      <x:c r="D856" s="138" t="str">
        <x:v>2026-11-28</x:v>
      </x:c>
      <x:c r="E856" s="13" t="str">
        <x:v>Суббота</x:v>
      </x:c>
      <x:c r="F856" s="13" t="str">
        <x:v>Отдых / подготовка</x:v>
      </x:c>
      <x:c r="G856" s="44" t="n">
        <x:v>0.013888888888888888</x:v>
      </x:c>
      <x:c r="H856" s="44" t="n">
        <x:v>0.016666666666666666</x:v>
      </x:c>
      <x:c r="I856" s="32" t="n">
        <x:f>ROUND((H856-G856)*1440,0)</x:f>
        <x:v>4</x:v>
      </x:c>
      <x:c r="J856" s="13" t="str">
        <x:v>Подготовка</x:v>
      </x:c>
      <x:c r="K856" s="13" t="str">
        <x:v>Заряди телефон, освободи память для одного видео, положи щётку и магнезию.</x:v>
      </x:c>
      <x:c r="L856" s="13" t="str">
        <x:v>☐ Не начато</x:v>
      </x:c>
      <x:c r="M856" s="13" t="str">
        <x:v>Обязательно</x:v>
      </x:c>
      <x:c r="N856" s="13" t="str">
        <x:v>Без нагрузки</x:v>
      </x:c>
      <x:c r="O856" s="13" t="str"/>
      <x:c r="P856" s="13" t="str">
        <x:v>milestone_03_hooks_tension_first_sixes/week_12_2026-11-23/06_SATURDAY.md</x:v>
      </x:c>
      <x:c r="Q856" s="138" t="str">
        <x:v>Markdown</x:v>
      </x:c>
      <x:c r="R856" s="20" t="str"/>
    </x:row>
    <x:row r="857" ht="36" customHeight="1">
      <x:c r="A857" s="19" t="str">
        <x:v>W12-20261128-0856</x:v>
      </x:c>
      <x:c r="B857" s="13" t="n">
        <x:v>12</x:v>
      </x:c>
      <x:c r="C857" s="13" t="str">
        <x:v>Этап 3 — Hooks, натяжение корпуса и первые шестёрки</x:v>
      </x:c>
      <x:c r="D857" s="138" t="str">
        <x:v>2026-11-28</x:v>
      </x:c>
      <x:c r="E857" s="13" t="str">
        <x:v>Суббота</x:v>
      </x:c>
      <x:c r="F857" s="13" t="str">
        <x:v>Отдых / подготовка</x:v>
      </x:c>
      <x:c r="G857" s="44" t="n">
        <x:v>0.016666666666666666</x:v>
      </x:c>
      <x:c r="H857" s="44" t="n">
        <x:v>0.01875</x:v>
      </x:c>
      <x:c r="I857" s="32" t="n">
        <x:f>ROUND((H857-G857)*1440,0)</x:f>
        <x:v>3</x:v>
      </x:c>
      <x:c r="J857" s="13" t="str">
        <x:v>План воскресенья</x:v>
      </x:c>
      <x:c r="K857" s="13" t="str">
        <x:v>Выбери заранее одну лёгкую трассу под тему «Натяжение корпуса». Воскресенье остаётся развлечением, не третьим тяжёлым днём.</x:v>
      </x:c>
      <x:c r="L857" s="13" t="str">
        <x:v>☐ Не начато</x:v>
      </x:c>
      <x:c r="M857" s="13" t="str">
        <x:v>Обязательно</x:v>
      </x:c>
      <x:c r="N857" s="13" t="str">
        <x:v>Без нагрузки</x:v>
      </x:c>
      <x:c r="O857" s="13" t="str"/>
      <x:c r="P857" s="13" t="str">
        <x:v>milestone_03_hooks_tension_first_sixes/week_12_2026-11-23/06_SATURDAY.md</x:v>
      </x:c>
      <x:c r="Q857" s="138" t="str">
        <x:v>Markdown</x:v>
      </x:c>
      <x:c r="R857" s="20" t="str"/>
    </x:row>
    <x:row r="858" ht="36" customHeight="1">
      <x:c r="A858" s="19" t="str">
        <x:v>W12-20261128-0857</x:v>
      </x:c>
      <x:c r="B858" s="13" t="n">
        <x:v>12</x:v>
      </x:c>
      <x:c r="C858" s="13" t="str">
        <x:v>Этап 3 — Hooks, натяжение корпуса и первые шестёрки</x:v>
      </x:c>
      <x:c r="D858" s="138" t="str">
        <x:v>2026-11-28</x:v>
      </x:c>
      <x:c r="E858" s="13" t="str">
        <x:v>Суббота</x:v>
      </x:c>
      <x:c r="F858" s="13" t="str">
        <x:v>Отдых / подготовка</x:v>
      </x:c>
      <x:c r="G858" s="44" t="n">
        <x:v>0.01875</x:v>
      </x:c>
      <x:c r="H858" s="44" t="n">
        <x:v>0.020833333333333332</x:v>
      </x:c>
      <x:c r="I858" s="32" t="n">
        <x:f>ROUND((H858-G858)*1440,0)</x:f>
        <x:v>3</x:v>
      </x:c>
      <x:c r="J858" s="13" t="str">
        <x:v>Сон / восстановление</x:v>
      </x:c>
      <x:c r="K858" s="13" t="str">
        <x:v>Запланируй обычный сон и нормальный приём пищи; не пытайся «разбудить хват» вечером.</x:v>
      </x:c>
      <x:c r="L858" s="13" t="str">
        <x:v>☐ Не начато</x:v>
      </x:c>
      <x:c r="M858" s="13" t="str">
        <x:v>Обязательно</x:v>
      </x:c>
      <x:c r="N858" s="13" t="str">
        <x:v>Восстановление</x:v>
      </x:c>
      <x:c r="O858" s="13" t="str"/>
      <x:c r="P858" s="13" t="str">
        <x:v>milestone_03_hooks_tension_first_sixes/week_12_2026-11-23/06_SATURDAY.md</x:v>
      </x:c>
      <x:c r="Q858" s="138" t="str">
        <x:v>Markdown</x:v>
      </x:c>
      <x:c r="R858" s="20" t="str"/>
    </x:row>
    <x:row r="859" ht="36" customHeight="1">
      <x:c r="A859" s="19" t="str">
        <x:v>W12-20261129-0858</x:v>
      </x:c>
      <x:c r="B859" s="13" t="n">
        <x:v>12</x:v>
      </x:c>
      <x:c r="C859" s="13" t="str">
        <x:v>Этап 3 — Hooks, натяжение корпуса и первые шестёрки</x:v>
      </x:c>
      <x:c r="D859" s="138" t="str">
        <x:v>2026-11-29</x:v>
      </x:c>
      <x:c r="E859" s="13" t="str">
        <x:v>Воскресенье</x:v>
      </x:c>
      <x:c r="F859" s="13" t="str">
        <x:v>Тренировка C — fun / опционально</x:v>
      </x:c>
      <x:c r="G859" s="44" t="n">
        <x:v>0</x:v>
      </x:c>
      <x:c r="H859" s="44" t="n">
        <x:v>0.0020833333333333333</x:v>
      </x:c>
      <x:c r="I859" s="32" t="n">
        <x:f>ROUND((H859-G859)*1440,0)</x:f>
        <x:v>3</x:v>
      </x:c>
      <x:c r="J859" s="13" t="str">
        <x:v>Выбор сценария</x:v>
      </x:c>
      <x:c r="K859" s="13" t="str">
        <x:v>Выбери один сценарий: (A) fun-сессия 75 минут в зале или (B) восстановительный день дома 25 минут. Не выполнять оба.</x:v>
      </x:c>
      <x:c r="L859" s="13" t="str">
        <x:v>☐ Не начато</x:v>
      </x:c>
      <x:c r="M859" s="13" t="str">
        <x:v>Выбрать один сценарий</x:v>
      </x:c>
      <x:c r="N859" s="13" t="str">
        <x:v>По состоянию</x:v>
      </x:c>
      <x:c r="O859" s="13" t="str"/>
      <x:c r="P859" s="13" t="str">
        <x:v>milestone_03_hooks_tension_first_sixes/week_12_2026-11-23/07_SUNDAY.md</x:v>
      </x:c>
      <x:c r="Q859" s="138" t="str">
        <x:v>Markdown</x:v>
      </x:c>
      <x:c r="R859" s="20" t="str"/>
    </x:row>
    <x:row r="860" ht="36" customHeight="1">
      <x:c r="A860" s="19" t="str">
        <x:v>W12-20261129-0859</x:v>
      </x:c>
      <x:c r="B860" s="13" t="n">
        <x:v>12</x:v>
      </x:c>
      <x:c r="C860" s="13" t="str">
        <x:v>Этап 3 — Hooks, натяжение корпуса и первые шестёрки</x:v>
      </x:c>
      <x:c r="D860" s="138" t="str">
        <x:v>2026-11-29</x:v>
      </x:c>
      <x:c r="E860" s="13" t="str">
        <x:v>Воскресенье</x:v>
      </x:c>
      <x:c r="F860" s="13" t="str">
        <x:v>Тренировка C — fun / опционально</x:v>
      </x:c>
      <x:c r="G860" s="44" t="n">
        <x:v>0.0020833333333333333</x:v>
      </x:c>
      <x:c r="H860" s="44" t="n">
        <x:v>0.005555555555555556</x:v>
      </x:c>
      <x:c r="I860" s="32" t="n">
        <x:f>ROUND((H860-G860)*1440,0)</x:f>
        <x:v>5</x:v>
      </x:c>
      <x:c r="J860" s="13" t="str">
        <x:v>Разминка A</x:v>
      </x:c>
      <x:c r="K860" s="13" t="str">
        <x:v>Если идёшь в зал: 5 минут поднятия температуры.</x:v>
      </x:c>
      <x:c r="L860" s="13" t="str">
        <x:v>☐ Не начато</x:v>
      </x:c>
      <x:c r="M860" s="13" t="str">
        <x:v>Опционально</x:v>
      </x:c>
      <x:c r="N860" s="13" t="str">
        <x:v>RPE 2–3</x:v>
      </x:c>
      <x:c r="O860" s="13" t="str"/>
      <x:c r="P860" s="13" t="str">
        <x:v>milestone_03_hooks_tension_first_sixes/week_12_2026-11-23/07_SUNDAY.md</x:v>
      </x:c>
      <x:c r="Q860" s="138" t="str">
        <x:v>Markdown</x:v>
      </x:c>
      <x:c r="R860" s="20" t="str"/>
    </x:row>
    <x:row r="861" ht="36" customHeight="1">
      <x:c r="A861" s="19" t="str">
        <x:v>W12-20261129-0860</x:v>
      </x:c>
      <x:c r="B861" s="13" t="n">
        <x:v>12</x:v>
      </x:c>
      <x:c r="C861" s="13" t="str">
        <x:v>Этап 3 — Hooks, натяжение корпуса и первые шестёрки</x:v>
      </x:c>
      <x:c r="D861" s="138" t="str">
        <x:v>2026-11-29</x:v>
      </x:c>
      <x:c r="E861" s="13" t="str">
        <x:v>Воскресенье</x:v>
      </x:c>
      <x:c r="F861" s="13" t="str">
        <x:v>Тренировка C — fun / опционально</x:v>
      </x:c>
      <x:c r="G861" s="44" t="n">
        <x:v>0.005555555555555556</x:v>
      </x:c>
      <x:c r="H861" s="44" t="n">
        <x:v>0.009027777777777777</x:v>
      </x:c>
      <x:c r="I861" s="32" t="n">
        <x:f>ROUND((H861-G861)*1440,0)</x:f>
        <x:v>5</x:v>
      </x:c>
      <x:c r="J861" s="13" t="str">
        <x:v>Разминка A</x:v>
      </x:c>
      <x:c r="K861" s="13" t="str">
        <x:v>Динамическая суставная разминка в безболезненном диапазоне; без отжиманий/press.</x:v>
      </x:c>
      <x:c r="L861" s="13" t="str">
        <x:v>☐ Не начато</x:v>
      </x:c>
      <x:c r="M861" s="13" t="str">
        <x:v>Опционально</x:v>
      </x:c>
      <x:c r="N861" s="13" t="str">
        <x:v>Очень легко</x:v>
      </x:c>
      <x:c r="O861" s="13" t="str">
        <x:v>Разгрузка после теста. Никаких больших dyno. Плечо и пальцы должны оставаться спокойными на следующий день.</x:v>
      </x:c>
      <x:c r="P861" s="13" t="str">
        <x:v>milestone_03_hooks_tension_first_sixes/week_12_2026-11-23/07_SUNDAY.md</x:v>
      </x:c>
      <x:c r="Q861" s="138" t="str">
        <x:v>Markdown</x:v>
      </x:c>
      <x:c r="R861" s="20" t="str"/>
    </x:row>
    <x:row r="862" ht="36" customHeight="1">
      <x:c r="A862" s="19" t="str">
        <x:v>W12-20261129-0861</x:v>
      </x:c>
      <x:c r="B862" s="13" t="n">
        <x:v>12</x:v>
      </x:c>
      <x:c r="C862" s="13" t="str">
        <x:v>Этап 3 — Hooks, натяжение корпуса и первые шестёрки</x:v>
      </x:c>
      <x:c r="D862" s="138" t="str">
        <x:v>2026-11-29</x:v>
      </x:c>
      <x:c r="E862" s="13" t="str">
        <x:v>Воскресенье</x:v>
      </x:c>
      <x:c r="F862" s="13" t="str">
        <x:v>Тренировка C — fun / опционально</x:v>
      </x:c>
      <x:c r="G862" s="44" t="n">
        <x:v>0.009027777777777777</x:v>
      </x:c>
      <x:c r="H862" s="44" t="n">
        <x:v>0.013888888888888888</x:v>
      </x:c>
      <x:c r="I862" s="32" t="n">
        <x:f>ROUND((H862-G862)*1440,0)</x:f>
        <x:v>7</x:v>
      </x:c>
      <x:c r="J862" s="13" t="str">
        <x:v>Лёгкое лазание A</x:v>
      </x:c>
      <x:c r="K862" s="13" t="str">
        <x:v>3 очень лёгкие трассы 1–3 с постепенным увеличением сложности.</x:v>
      </x:c>
      <x:c r="L862" s="13" t="str">
        <x:v>☐ Не начато</x:v>
      </x:c>
      <x:c r="M862" s="13" t="str">
        <x:v>Опционально</x:v>
      </x:c>
      <x:c r="N862" s="13" t="str">
        <x:v>RPE 2–4</x:v>
      </x:c>
      <x:c r="O862" s="13" t="str"/>
      <x:c r="P862" s="13" t="str">
        <x:v>milestone_03_hooks_tension_first_sixes/week_12_2026-11-23/07_SUNDAY.md</x:v>
      </x:c>
      <x:c r="Q862" s="138" t="str">
        <x:v>Markdown</x:v>
      </x:c>
      <x:c r="R862" s="20" t="str"/>
    </x:row>
    <x:row r="863" ht="36" customHeight="1">
      <x:c r="A863" s="19" t="str">
        <x:v>W12-20261129-0862</x:v>
      </x:c>
      <x:c r="B863" s="13" t="n">
        <x:v>12</x:v>
      </x:c>
      <x:c r="C863" s="13" t="str">
        <x:v>Этап 3 — Hooks, натяжение корпуса и первые шестёрки</x:v>
      </x:c>
      <x:c r="D863" s="138" t="str">
        <x:v>2026-11-29</x:v>
      </x:c>
      <x:c r="E863" s="13" t="str">
        <x:v>Воскресенье</x:v>
      </x:c>
      <x:c r="F863" s="13" t="str">
        <x:v>Тренировка C — fun / опционально</x:v>
      </x:c>
      <x:c r="G863" s="44" t="n">
        <x:v>0.013888888888888888</x:v>
      </x:c>
      <x:c r="H863" s="44" t="n">
        <x:v>0.020833333333333332</x:v>
      </x:c>
      <x:c r="I863" s="32" t="n">
        <x:f>ROUND((H863-G863)*1440,0)</x:f>
        <x:v>10</x:v>
      </x:c>
      <x:c r="J863" s="13" t="str">
        <x:v>Технический праймер A</x:v>
      </x:c>
      <x:c r="K863" s="13" t="str">
        <x:v>На одной лёгкой трассе дважды повтори «Натяжение корпуса». Критерий: Меньше срезаний ног; после захвата корпус не раскачивается.</x:v>
      </x:c>
      <x:c r="L863" s="13" t="str">
        <x:v>☐ Не начато</x:v>
      </x:c>
      <x:c r="M863" s="13" t="str">
        <x:v>Опционально</x:v>
      </x:c>
      <x:c r="N863" s="13" t="str">
        <x:v>RPE 3–4</x:v>
      </x:c>
      <x:c r="O863" s="13" t="str">
        <x:v>Никаких больших dyno и жёстких ловлей. При плечевой боли выбрать меньший угол.</x:v>
      </x:c>
      <x:c r="P863" s="13" t="str">
        <x:v>milestone_03_hooks_tension_first_sixes/week_12_2026-11-23/07_SUNDAY.md</x:v>
      </x:c>
      <x:c r="Q863" s="138" t="str">
        <x:v>Markdown</x:v>
      </x:c>
      <x:c r="R863" s="20" t="str"/>
    </x:row>
    <x:row r="864" ht="36" customHeight="1">
      <x:c r="A864" s="19" t="str">
        <x:v>W12-20261129-0863</x:v>
      </x:c>
      <x:c r="B864" s="13" t="n">
        <x:v>12</x:v>
      </x:c>
      <x:c r="C864" s="13" t="str">
        <x:v>Этап 3 — Hooks, натяжение корпуса и первые шестёрки</x:v>
      </x:c>
      <x:c r="D864" s="138" t="str">
        <x:v>2026-11-29</x:v>
      </x:c>
      <x:c r="E864" s="13" t="str">
        <x:v>Воскресенье</x:v>
      </x:c>
      <x:c r="F864" s="13" t="str">
        <x:v>Тренировка C — fun / опционально</x:v>
      </x:c>
      <x:c r="G864" s="44" t="n">
        <x:v>0.020833333333333332</x:v>
      </x:c>
      <x:c r="H864" s="44" t="n">
        <x:v>0.03819444444444445</x:v>
      </x:c>
      <x:c r="I864" s="32" t="n">
        <x:f>ROUND((H864-G864)*1440,0)</x:f>
        <x:v>25</x:v>
      </x:c>
      <x:c r="J864" s="13" t="str">
        <x:v>Свободное лазание A</x:v>
      </x:c>
      <x:c r="K864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864" s="13" t="str">
        <x:v>☐ Не начато</x:v>
      </x:c>
      <x:c r="M864" s="13" t="str">
        <x:v>Опционально</x:v>
      </x:c>
      <x:c r="N864" s="13" t="str">
        <x:v>RPE 4–7</x:v>
      </x:c>
      <x:c r="O864" s="13" t="str">
        <x:v>Не превращать блок в круг на выносливость.</x:v>
      </x:c>
      <x:c r="P864" s="13" t="str">
        <x:v>milestone_03_hooks_tension_first_sixes/week_12_2026-11-23/07_SUNDAY.md</x:v>
      </x:c>
      <x:c r="Q864" s="138" t="str">
        <x:v>Markdown</x:v>
      </x:c>
      <x:c r="R864" s="20" t="str"/>
    </x:row>
    <x:row r="865" ht="36" customHeight="1">
      <x:c r="A865" s="19" t="str">
        <x:v>W12-20261129-0864</x:v>
      </x:c>
      <x:c r="B865" s="13" t="n">
        <x:v>12</x:v>
      </x:c>
      <x:c r="C865" s="13" t="str">
        <x:v>Этап 3 — Hooks, натяжение корпуса и первые шестёрки</x:v>
      </x:c>
      <x:c r="D865" s="138" t="str">
        <x:v>2026-11-29</x:v>
      </x:c>
      <x:c r="E865" s="13" t="str">
        <x:v>Воскресенье</x:v>
      </x:c>
      <x:c r="F865" s="13" t="str">
        <x:v>Тренировка C — fun / опционально</x:v>
      </x:c>
      <x:c r="G865" s="44" t="n">
        <x:v>0.03819444444444445</x:v>
      </x:c>
      <x:c r="H865" s="44" t="n">
        <x:v>0.04583333333333333</x:v>
      </x:c>
      <x:c r="I865" s="32" t="n">
        <x:f>ROUND((H865-G865)*1440,0)</x:f>
        <x:v>11</x:v>
      </x:c>
      <x:c r="J865" s="13" t="str">
        <x:v>Свежая сложная попытка A</x:v>
      </x:c>
      <x:c r="K865" s="13" t="str">
        <x:v>Только если всё зелёное: попробуй одну рабочую пятёрку или дружелюбную шестёрку по критериям недели — Контрольная шестёрка с крупными/средними зацепами и без болезненного press; 15–20 минут качественной работы. Максимум 2 попытки, отдых 4 минуты.</x:v>
      </x:c>
      <x:c r="L865" s="13" t="str">
        <x:v>☐ Не начато</x:v>
      </x:c>
      <x:c r="M865" s="13" t="str">
        <x:v>Опционально</x:v>
      </x:c>
      <x:c r="N865" s="13" t="str">
        <x:v>RPE 7–8, без отказа</x:v>
      </x:c>
      <x:c r="O865" s="13" t="str">
        <x:v>Разгрузка после теста. Никаких больших dyno. Плечо и пальцы должны оставаться спокойными на следующий день.</x:v>
      </x:c>
      <x:c r="P865" s="13" t="str">
        <x:v>milestone_03_hooks_tension_first_sixes/week_12_2026-11-23/07_SUNDAY.md</x:v>
      </x:c>
      <x:c r="Q865" s="138" t="str">
        <x:v>Markdown</x:v>
      </x:c>
      <x:c r="R865" s="20" t="str"/>
    </x:row>
    <x:row r="866" ht="36" customHeight="1">
      <x:c r="A866" s="19" t="str">
        <x:v>W12-20261129-0865</x:v>
      </x:c>
      <x:c r="B866" s="13" t="n">
        <x:v>12</x:v>
      </x:c>
      <x:c r="C866" s="13" t="str">
        <x:v>Этап 3 — Hooks, натяжение корпуса и первые шестёрки</x:v>
      </x:c>
      <x:c r="D866" s="138" t="str">
        <x:v>2026-11-29</x:v>
      </x:c>
      <x:c r="E866" s="13" t="str">
        <x:v>Воскресенье</x:v>
      </x:c>
      <x:c r="F866" s="13" t="str">
        <x:v>Тренировка C — fun / опционально</x:v>
      </x:c>
      <x:c r="G866" s="44" t="n">
        <x:v>0.04583333333333333</x:v>
      </x:c>
      <x:c r="H866" s="44" t="n">
        <x:v>0.05</x:v>
      </x:c>
      <x:c r="I866" s="32" t="n">
        <x:f>ROUND((H866-G866)*1440,0)</x:f>
        <x:v>6</x:v>
      </x:c>
      <x:c r="J866" s="13" t="str">
        <x:v>Лёгкий финал A</x:v>
      </x:c>
      <x:c r="K866" s="13" t="str">
        <x:v>Одна любимая лёгкая трасса или спокойный спуск. Фингерборда и capacity-круга нет.</x:v>
      </x:c>
      <x:c r="L866" s="13" t="str">
        <x:v>☐ Не начато</x:v>
      </x:c>
      <x:c r="M866" s="13" t="str">
        <x:v>Опционально</x:v>
      </x:c>
      <x:c r="N866" s="13" t="str">
        <x:v>RPE 2–3</x:v>
      </x:c>
      <x:c r="O866" s="13" t="str"/>
      <x:c r="P866" s="13" t="str">
        <x:v>milestone_03_hooks_tension_first_sixes/week_12_2026-11-23/07_SUNDAY.md</x:v>
      </x:c>
      <x:c r="Q866" s="138" t="str">
        <x:v>Markdown</x:v>
      </x:c>
      <x:c r="R866" s="20" t="str"/>
    </x:row>
    <x:row r="867" ht="36" customHeight="1">
      <x:c r="A867" s="19" t="str">
        <x:v>W12-20261129-0866</x:v>
      </x:c>
      <x:c r="B867" s="13" t="n">
        <x:v>12</x:v>
      </x:c>
      <x:c r="C867" s="13" t="str">
        <x:v>Этап 3 — Hooks, натяжение корпуса и первые шестёрки</x:v>
      </x:c>
      <x:c r="D867" s="138" t="str">
        <x:v>2026-11-29</x:v>
      </x:c>
      <x:c r="E867" s="13" t="str">
        <x:v>Воскресенье</x:v>
      </x:c>
      <x:c r="F867" s="13" t="str">
        <x:v>Тренировка C — fun / опционально</x:v>
      </x:c>
      <x:c r="G867" s="44" t="n">
        <x:v>0.05</x:v>
      </x:c>
      <x:c r="H867" s="44" t="n">
        <x:v>0.052083333333333336</x:v>
      </x:c>
      <x:c r="I867" s="32" t="n">
        <x:f>ROUND((H867-G867)*1440,0)</x:f>
        <x:v>3</x:v>
      </x:c>
      <x:c r="J867" s="13" t="str">
        <x:v>Журнал A</x:v>
      </x:c>
      <x:c r="K867" s="13" t="str">
        <x:v>Запиши только 3 вещи: что было весело, один удачный технический момент, состояние пальцев после сессии.</x:v>
      </x:c>
      <x:c r="L867" s="13" t="str">
        <x:v>☐ Не начато</x:v>
      </x:c>
      <x:c r="M867" s="13" t="str">
        <x:v>Опционально</x:v>
      </x:c>
      <x:c r="N867" s="13" t="str">
        <x:v>Без нагрузки</x:v>
      </x:c>
      <x:c r="O867" s="13" t="str"/>
      <x:c r="P867" s="13" t="str">
        <x:v>milestone_03_hooks_tension_first_sixes/week_12_2026-11-23/07_SUNDAY.md</x:v>
      </x:c>
      <x:c r="Q867" s="138" t="str">
        <x:v>Markdown</x:v>
      </x:c>
      <x:c r="R867" s="20" t="str"/>
    </x:row>
    <x:row r="868" ht="36" customHeight="1">
      <x:c r="A868" s="19" t="str">
        <x:v>W12-20261129-0867</x:v>
      </x:c>
      <x:c r="B868" s="13" t="n">
        <x:v>12</x:v>
      </x:c>
      <x:c r="C868" s="13" t="str">
        <x:v>Этап 3 — Hooks, натяжение корпуса и первые шестёрки</x:v>
      </x:c>
      <x:c r="D868" s="138" t="str">
        <x:v>2026-11-29</x:v>
      </x:c>
      <x:c r="E868" s="13" t="str">
        <x:v>Воскресенье</x:v>
      </x:c>
      <x:c r="F868" s="13" t="str">
        <x:v>Восстановление B — дома</x:v>
      </x:c>
      <x:c r="G868" s="44" t="n">
        <x:v>0</x:v>
      </x:c>
      <x:c r="H868" s="44" t="n">
        <x:v>0.010416666666666666</x:v>
      </x:c>
      <x:c r="I868" s="32" t="n">
        <x:f>ROUND((H868-G868)*1440,0)</x:f>
        <x:v>15</x:v>
      </x:c>
      <x:c r="J868" s="13" t="str">
        <x:v>Прогулка B</x:v>
      </x:c>
      <x:c r="K868" s="13" t="str">
        <x:v>Если не идёшь в зал: 15 минут спокойной прогулки.</x:v>
      </x:c>
      <x:c r="L868" s="13" t="str">
        <x:v>☐ Не начато</x:v>
      </x:c>
      <x:c r="M868" s="13" t="str">
        <x:v>Опционально</x:v>
      </x:c>
      <x:c r="N868" s="13" t="str">
        <x:v>RPE 1–2</x:v>
      </x:c>
      <x:c r="O868" s="13" t="str"/>
      <x:c r="P868" s="13" t="str">
        <x:v>milestone_03_hooks_tension_first_sixes/week_12_2026-11-23/07_SUNDAY.md</x:v>
      </x:c>
      <x:c r="Q868" s="138" t="str">
        <x:v>Markdown</x:v>
      </x:c>
      <x:c r="R868" s="20" t="str"/>
    </x:row>
    <x:row r="869" ht="36" customHeight="1">
      <x:c r="A869" s="19" t="str">
        <x:v>W12-20261129-0868</x:v>
      </x:c>
      <x:c r="B869" s="13" t="n">
        <x:v>12</x:v>
      </x:c>
      <x:c r="C869" s="13" t="str">
        <x:v>Этап 3 — Hooks, натяжение корпуса и первые шестёрки</x:v>
      </x:c>
      <x:c r="D869" s="138" t="str">
        <x:v>2026-11-29</x:v>
      </x:c>
      <x:c r="E869" s="13" t="str">
        <x:v>Воскресенье</x:v>
      </x:c>
      <x:c r="F869" s="13" t="str">
        <x:v>Восстановление B — дома</x:v>
      </x:c>
      <x:c r="G869" s="44" t="n">
        <x:v>0.010416666666666666</x:v>
      </x:c>
      <x:c r="H869" s="44" t="n">
        <x:v>0.015277777777777777</x:v>
      </x:c>
      <x:c r="I869" s="32" t="n">
        <x:f>ROUND((H869-G869)*1440,0)</x:f>
        <x:v>7</x:v>
      </x:c>
      <x:c r="J869" s="13" t="str">
        <x:v>Визуализация B</x:v>
      </x:c>
      <x:c r="K869" s="13" t="str">
        <x:v>7 минут: мысленно повтори тему недели «Натяжение корпуса» и одну трассу четверга.</x:v>
      </x:c>
      <x:c r="L869" s="13" t="str">
        <x:v>☐ Не начато</x:v>
      </x:c>
      <x:c r="M869" s="13" t="str">
        <x:v>Опционально</x:v>
      </x:c>
      <x:c r="N869" s="13" t="str">
        <x:v>Без нагрузки</x:v>
      </x:c>
      <x:c r="O869" s="13" t="str"/>
      <x:c r="P869" s="13" t="str">
        <x:v>milestone_03_hooks_tension_first_sixes/week_12_2026-11-23/07_SUNDAY.md</x:v>
      </x:c>
      <x:c r="Q869" s="138" t="str">
        <x:v>Markdown</x:v>
      </x:c>
      <x:c r="R869" s="20" t="str"/>
    </x:row>
    <x:row r="870" ht="36" customHeight="1">
      <x:c r="A870" s="19" t="str">
        <x:v>W12-20261129-0869</x:v>
      </x:c>
      <x:c r="B870" s="13" t="n">
        <x:v>12</x:v>
      </x:c>
      <x:c r="C870" s="13" t="str">
        <x:v>Этап 3 — Hooks, натяжение корпуса и первые шестёрки</x:v>
      </x:c>
      <x:c r="D870" s="138" t="str">
        <x:v>2026-11-29</x:v>
      </x:c>
      <x:c r="E870" s="13" t="str">
        <x:v>Воскресенье</x:v>
      </x:c>
      <x:c r="F870" s="13" t="str">
        <x:v>Восстановление B — дома</x:v>
      </x:c>
      <x:c r="G870" s="44" t="n">
        <x:v>0.015277777777777777</x:v>
      </x:c>
      <x:c r="H870" s="44" t="n">
        <x:v>0.017361111111111112</x:v>
      </x:c>
      <x:c r="I870" s="32" t="n">
        <x:f>ROUND((H870-G870)*1440,0)</x:f>
        <x:v>3</x:v>
      </x:c>
      <x:c r="J870" s="13" t="str">
        <x:v>Итог недели B</x:v>
      </x:c>
      <x:c r="K870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870" s="13" t="str">
        <x:v>☐ Не начато</x:v>
      </x:c>
      <x:c r="M870" s="13" t="str">
        <x:v>Опционально</x:v>
      </x:c>
      <x:c r="N870" s="13" t="str">
        <x:v>Без нагрузки</x:v>
      </x:c>
      <x:c r="O870" s="13" t="str"/>
      <x:c r="P870" s="13" t="str">
        <x:v>milestone_03_hooks_tension_first_sixes/week_12_2026-11-23/07_SUNDAY.md</x:v>
      </x:c>
      <x:c r="Q870" s="138" t="str">
        <x:v>Markdown</x:v>
      </x:c>
      <x:c r="R870" s="20" t="str"/>
    </x:row>
    <x:row r="871" ht="36" customHeight="1">
      <x:c r="A871" s="19" t="str">
        <x:v>W13-20261130-0870</x:v>
      </x:c>
      <x:c r="B871" s="13" t="n">
        <x:v>13</x:v>
      </x:c>
      <x:c r="C871" s="13" t="str">
        <x:v>Этап 4 — Типы хвата и специфическая сила пальцев</x:v>
      </x:c>
      <x:c r="D871" s="138" t="str">
        <x:v>2026-11-30</x:v>
      </x:c>
      <x:c r="E871" s="13" t="str">
        <x:v>Понедельник</x:v>
      </x:c>
      <x:c r="F871" s="13" t="str">
        <x:v>Дом / теория</x:v>
      </x:c>
      <x:c r="G871" s="44" t="n">
        <x:v>0</x:v>
      </x:c>
      <x:c r="H871" s="44" t="n">
        <x:v>0.0020833333333333333</x:v>
      </x:c>
      <x:c r="I871" s="32" t="n">
        <x:f>ROUND((H871-G871)*1440,0)</x:f>
        <x:v>3</x:v>
      </x:c>
      <x:c r="J871" s="13" t="str">
        <x:v>Самопроверка</x:v>
      </x:c>
      <x:c r="K871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871" s="13" t="str">
        <x:v>☐ Не начато</x:v>
      </x:c>
      <x:c r="M871" s="13" t="str">
        <x:v>Обязательно</x:v>
      </x:c>
      <x:c r="N871" s="13" t="str">
        <x:v>Очень легко</x:v>
      </x:c>
      <x:c r="O871" s="13" t="str">
        <x:v>Не диагностируй травму самостоятельно; используй правила из документа безопасности.</x:v>
      </x:c>
      <x:c r="P871" s="13" t="str">
        <x:v>milestone_04_grip_literacy_strength/week_13_2026-11-30/01_MONDAY.md</x:v>
      </x:c>
      <x:c r="Q871" s="138" t="str">
        <x:v>Markdown</x:v>
      </x:c>
      <x:c r="R871" s="20" t="str"/>
    </x:row>
    <x:row r="872" ht="36" customHeight="1">
      <x:c r="A872" s="19" t="str">
        <x:v>W13-20261130-0871</x:v>
      </x:c>
      <x:c r="B872" s="13" t="n">
        <x:v>13</x:v>
      </x:c>
      <x:c r="C872" s="13" t="str">
        <x:v>Этап 4 — Типы хвата и специфическая сила пальцев</x:v>
      </x:c>
      <x:c r="D872" s="138" t="str">
        <x:v>2026-11-30</x:v>
      </x:c>
      <x:c r="E872" s="13" t="str">
        <x:v>Понедельник</x:v>
      </x:c>
      <x:c r="F872" s="13" t="str">
        <x:v>Дом / теория</x:v>
      </x:c>
      <x:c r="G872" s="44" t="n">
        <x:v>0.0020833333333333333</x:v>
      </x:c>
      <x:c r="H872" s="44" t="n">
        <x:v>0.005555555555555556</x:v>
      </x:c>
      <x:c r="I872" s="32" t="n">
        <x:f>ROUND((H872-G872)*1440,0)</x:f>
        <x:v>5</x:v>
      </x:c>
      <x:c r="J872" s="13" t="str">
        <x:v>Планирование</x:v>
      </x:c>
      <x:c r="K872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«Положение пальцев выбирается заранее и остаётся стабильным; большой палец не накрывает указательный.»</x:v>
      </x:c>
      <x:c r="L872" s="13" t="str">
        <x:v>☐ Не начато</x:v>
      </x:c>
      <x:c r="M872" s="13" t="str">
        <x:v>Обязательно</x:v>
      </x:c>
      <x:c r="N872" s="13" t="str">
        <x:v>Без нагрузки</x:v>
      </x:c>
      <x:c r="O872" s="13" t="str"/>
      <x:c r="P872" s="13" t="str">
        <x:v>milestone_04_grip_literacy_strength/week_13_2026-11-30/01_MONDAY.md</x:v>
      </x:c>
      <x:c r="Q872" s="138" t="str">
        <x:v>Markdown</x:v>
      </x:c>
      <x:c r="R872" s="20" t="str"/>
    </x:row>
    <x:row r="873" ht="36" customHeight="1">
      <x:c r="A873" s="19" t="str">
        <x:v>W13-20261130-0872</x:v>
      </x:c>
      <x:c r="B873" s="13" t="n">
        <x:v>13</x:v>
      </x:c>
      <x:c r="C873" s="13" t="str">
        <x:v>Этап 4 — Типы хвата и специфическая сила пальцев</x:v>
      </x:c>
      <x:c r="D873" s="138" t="str">
        <x:v>2026-11-30</x:v>
      </x:c>
      <x:c r="E873" s="13" t="str">
        <x:v>Понедельник</x:v>
      </x:c>
      <x:c r="F873" s="13" t="str">
        <x:v>Дом / теория</x:v>
      </x:c>
      <x:c r="G873" s="44" t="n">
        <x:v>0.005555555555555556</x:v>
      </x:c>
      <x:c r="H873" s="44" t="n">
        <x:v>0.0125</x:v>
      </x:c>
      <x:c r="I873" s="32" t="n">
        <x:f>ROUND((H873-G873)*1440,0)</x:f>
        <x:v>10</x:v>
      </x:c>
      <x:c r="J873" s="13" t="str">
        <x:v>Теория</x:v>
      </x:c>
      <x:c r="K873" s="13" t="str">
        <x:v>Посмотри/прочитай [R15: BMC — Hand positions when climbing](https://www.thebmc.co.uk/en/hand-positions-when-climbing-video). Задача: Открытый хват, half crimp и другие позиции; full crimp не тренируется на фингерборде.</x:v>
      </x:c>
      <x:c r="L873" s="13" t="str">
        <x:v>☐ Не начато</x:v>
      </x:c>
      <x:c r="M873" s="13" t="str">
        <x:v>Обязательно</x:v>
      </x:c>
      <x:c r="N873" s="13" t="str">
        <x:v>Без нагрузки</x:v>
      </x:c>
      <x:c r="O873" s="13" t="str"/>
      <x:c r="P873" s="13" t="str">
        <x:v>milestone_04_grip_literacy_strength/week_13_2026-11-30/01_MONDAY.md</x:v>
      </x:c>
      <x:c r="Q873" s="138" t="str">
        <x:v>Markdown</x:v>
      </x:c>
      <x:c r="R873" s="20" t="str"/>
    </x:row>
    <x:row r="874" ht="36" customHeight="1">
      <x:c r="A874" s="19" t="str">
        <x:v>W13-20261130-0873</x:v>
      </x:c>
      <x:c r="B874" s="13" t="n">
        <x:v>13</x:v>
      </x:c>
      <x:c r="C874" s="13" t="str">
        <x:v>Этап 4 — Типы хвата и специфическая сила пальцев</x:v>
      </x:c>
      <x:c r="D874" s="138" t="str">
        <x:v>2026-11-30</x:v>
      </x:c>
      <x:c r="E874" s="13" t="str">
        <x:v>Понедельник</x:v>
      </x:c>
      <x:c r="F874" s="13" t="str">
        <x:v>Дом / теория</x:v>
      </x:c>
      <x:c r="G874" s="44" t="n">
        <x:v>0.0125</x:v>
      </x:c>
      <x:c r="H874" s="44" t="n">
        <x:v>0.01597222222222222</x:v>
      </x:c>
      <x:c r="I874" s="32" t="n">
        <x:f>ROUND((H874-G874)*1440,0)</x:f>
        <x:v>5</x:v>
      </x:c>
      <x:c r="J874" s="13" t="str">
        <x:v>Конспект</x:v>
      </x:c>
      <x:c r="K874" s="13" t="str">
        <x:v>Запиши ровно 3 пункта: (1) что делать ногами/тазом; (2) что не делать руками; (3) какой признак успеха проверишь на стене для темы «Открытый хват и half crimp».</x:v>
      </x:c>
      <x:c r="L874" s="13" t="str">
        <x:v>☐ Не начато</x:v>
      </x:c>
      <x:c r="M874" s="13" t="str">
        <x:v>Обязательно</x:v>
      </x:c>
      <x:c r="N874" s="13" t="str">
        <x:v>Без нагрузки</x:v>
      </x:c>
      <x:c r="O874" s="13" t="str"/>
      <x:c r="P874" s="13" t="str">
        <x:v>milestone_04_grip_literacy_strength/week_13_2026-11-30/01_MONDAY.md</x:v>
      </x:c>
      <x:c r="Q874" s="138" t="str">
        <x:v>Markdown</x:v>
      </x:c>
      <x:c r="R874" s="20" t="str"/>
    </x:row>
    <x:row r="875" ht="36" customHeight="1">
      <x:c r="A875" s="19" t="str">
        <x:v>W13-20261130-0874</x:v>
      </x:c>
      <x:c r="B875" s="13" t="n">
        <x:v>13</x:v>
      </x:c>
      <x:c r="C875" s="13" t="str">
        <x:v>Этап 4 — Типы хвата и специфическая сила пальцев</x:v>
      </x:c>
      <x:c r="D875" s="138" t="str">
        <x:v>2026-11-30</x:v>
      </x:c>
      <x:c r="E875" s="13" t="str">
        <x:v>Понедельник</x:v>
      </x:c>
      <x:c r="F875" s="13" t="str">
        <x:v>Дом / теория</x:v>
      </x:c>
      <x:c r="G875" s="44" t="n">
        <x:v>0.01597222222222222</x:v>
      </x:c>
      <x:c r="H875" s="44" t="n">
        <x:v>0.024305555555555556</x:v>
      </x:c>
      <x:c r="I875" s="32" t="n">
        <x:f>ROUND((H875-G875)*1440,0)</x:f>
        <x:v>12</x:v>
      </x:c>
      <x:c r="J875" s="13" t="str">
        <x:v>Домашняя мобильность</x:v>
      </x:c>
      <x:c r="K875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875" s="13" t="str">
        <x:v>☐ Не начато</x:v>
      </x:c>
      <x:c r="M875" s="13" t="str">
        <x:v>Обязательно</x:v>
      </x:c>
      <x:c r="N875" s="13" t="str">
        <x:v>RPE 2–3</x:v>
      </x:c>
      <x:c r="O875" s="13" t="str">
        <x:v>Никаких скручиваний через боль. Плечом не отталкивайся от стены; касание только для равновесия.</x:v>
      </x:c>
      <x:c r="P875" s="13" t="str">
        <x:v>milestone_04_grip_literacy_strength/week_13_2026-11-30/01_MONDAY.md</x:v>
      </x:c>
      <x:c r="Q875" s="138" t="str">
        <x:v>Markdown</x:v>
      </x:c>
      <x:c r="R875" s="20" t="str"/>
    </x:row>
    <x:row r="876" ht="36" customHeight="1">
      <x:c r="A876" s="19" t="str">
        <x:v>W13-20261130-0875</x:v>
      </x:c>
      <x:c r="B876" s="13" t="n">
        <x:v>13</x:v>
      </x:c>
      <x:c r="C876" s="13" t="str">
        <x:v>Этап 4 — Типы хвата и специфическая сила пальцев</x:v>
      </x:c>
      <x:c r="D876" s="138" t="str">
        <x:v>2026-11-30</x:v>
      </x:c>
      <x:c r="E876" s="13" t="str">
        <x:v>Понедельник</x:v>
      </x:c>
      <x:c r="F876" s="13" t="str">
        <x:v>Дом / теория</x:v>
      </x:c>
      <x:c r="G876" s="44" t="n">
        <x:v>0.024305555555555556</x:v>
      </x:c>
      <x:c r="H876" s="44" t="n">
        <x:v>0.03819444444444445</x:v>
      </x:c>
      <x:c r="I876" s="32" t="n">
        <x:f>ROUND((H876-G876)*1440,0)</x:f>
        <x:v>20</x:v>
      </x:c>
      <x:c r="J876" s="13" t="str">
        <x:v>Физиотерапия</x:v>
      </x:c>
      <x:c r="K876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876" s="13" t="str">
        <x:v>☐ Не начато</x:v>
      </x:c>
      <x:c r="M876" s="13" t="str">
        <x:v>По назначению</x:v>
      </x:c>
      <x:c r="N876" s="13" t="str">
        <x:v>По назначению физиотерапевта</x:v>
      </x:c>
      <x:c r="O876" s="13" t="str">
        <x:v>Любые указания физиотерапевта имеют приоритет над этим планом.</x:v>
      </x:c>
      <x:c r="P876" s="13" t="str">
        <x:v>milestone_04_grip_literacy_strength/week_13_2026-11-30/01_MONDAY.md</x:v>
      </x:c>
      <x:c r="Q876" s="138" t="str">
        <x:v>Markdown</x:v>
      </x:c>
      <x:c r="R876" s="20" t="str"/>
    </x:row>
    <x:row r="877" ht="36" customHeight="1">
      <x:c r="A877" s="19" t="str">
        <x:v>W13-20261130-0876</x:v>
      </x:c>
      <x:c r="B877" s="13" t="n">
        <x:v>13</x:v>
      </x:c>
      <x:c r="C877" s="13" t="str">
        <x:v>Этап 4 — Типы хвата и специфическая сила пальцев</x:v>
      </x:c>
      <x:c r="D877" s="138" t="str">
        <x:v>2026-11-30</x:v>
      </x:c>
      <x:c r="E877" s="13" t="str">
        <x:v>Понедельник</x:v>
      </x:c>
      <x:c r="F877" s="13" t="str">
        <x:v>Дом / теория</x:v>
      </x:c>
      <x:c r="G877" s="44" t="n">
        <x:v>0.03819444444444445</x:v>
      </x:c>
      <x:c r="H877" s="44" t="n">
        <x:v>0.04027777777777778</x:v>
      </x:c>
      <x:c r="I877" s="32" t="n">
        <x:f>ROUND((H877-G877)*1440,0)</x:f>
        <x:v>3</x:v>
      </x:c>
      <x:c r="J877" s="13" t="str">
        <x:v>Подготовка</x:v>
      </x:c>
      <x:c r="K877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877" s="13" t="str">
        <x:v>☐ Не начато</x:v>
      </x:c>
      <x:c r="M877" s="13" t="str">
        <x:v>Обязательно</x:v>
      </x:c>
      <x:c r="N877" s="13" t="str">
        <x:v>Без нагрузки</x:v>
      </x:c>
      <x:c r="O877" s="13" t="str">
        <x:v>Кольца и турник — только в рамках программы физиотерапевта.</x:v>
      </x:c>
      <x:c r="P877" s="13" t="str">
        <x:v>milestone_04_grip_literacy_strength/week_13_2026-11-30/01_MONDAY.md</x:v>
      </x:c>
      <x:c r="Q877" s="138" t="str">
        <x:v>Markdown</x:v>
      </x:c>
      <x:c r="R877" s="20" t="str"/>
    </x:row>
    <x:row r="878" ht="36" customHeight="1">
      <x:c r="A878" s="19" t="str">
        <x:v>W13-20261201-0877</x:v>
      </x:c>
      <x:c r="B878" s="13" t="n">
        <x:v>13</x:v>
      </x:c>
      <x:c r="C878" s="13" t="str">
        <x:v>Этап 4 — Типы хвата и специфическая сила пальцев</x:v>
      </x:c>
      <x:c r="D878" s="138" t="str">
        <x:v>2026-12-01</x:v>
      </x:c>
      <x:c r="E878" s="13" t="str">
        <x:v>Вторник</x:v>
      </x:c>
      <x:c r="F878" s="13" t="str">
        <x:v>Тренировка A — техника/объём</x:v>
      </x:c>
      <x:c r="G878" s="44" t="n">
        <x:v>0</x:v>
      </x:c>
      <x:c r="H878" s="44" t="n">
        <x:v>0.0020833333333333333</x:v>
      </x:c>
      <x:c r="I878" s="32" t="n">
        <x:f>ROUND((H878-G878)*1440,0)</x:f>
        <x:v>3</x:v>
      </x:c>
      <x:c r="J878" s="13" t="str">
        <x:v>Самопроверка</x:v>
      </x:c>
      <x:c r="K878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878" s="13" t="str">
        <x:v>☐ Не начато</x:v>
      </x:c>
      <x:c r="M878" s="13" t="str">
        <x:v>Обязательно</x:v>
      </x:c>
      <x:c r="N878" s="13" t="str">
        <x:v>Без нагрузки</x:v>
      </x:c>
      <x:c r="O878" s="13" t="str">
        <x:v>Красный флаг = не начинать пальцевую нагрузку.</x:v>
      </x:c>
      <x:c r="P878" s="13" t="str">
        <x:v>milestone_04_grip_literacy_strength/week_13_2026-11-30/02_TUESDAY.md</x:v>
      </x:c>
      <x:c r="Q878" s="138" t="str">
        <x:v>Markdown</x:v>
      </x:c>
      <x:c r="R878" s="20" t="str"/>
    </x:row>
    <x:row r="879" ht="36" customHeight="1">
      <x:c r="A879" s="19" t="str">
        <x:v>W13-20261201-0878</x:v>
      </x:c>
      <x:c r="B879" s="13" t="n">
        <x:v>13</x:v>
      </x:c>
      <x:c r="C879" s="13" t="str">
        <x:v>Этап 4 — Типы хвата и специфическая сила пальцев</x:v>
      </x:c>
      <x:c r="D879" s="138" t="str">
        <x:v>2026-12-01</x:v>
      </x:c>
      <x:c r="E879" s="13" t="str">
        <x:v>Вторник</x:v>
      </x:c>
      <x:c r="F879" s="13" t="str">
        <x:v>Тренировка A — техника/объём</x:v>
      </x:c>
      <x:c r="G879" s="44" t="n">
        <x:v>0.0020833333333333333</x:v>
      </x:c>
      <x:c r="H879" s="44" t="n">
        <x:v>0.005555555555555556</x:v>
      </x:c>
      <x:c r="I879" s="32" t="n">
        <x:f>ROUND((H879-G879)*1440,0)</x:f>
        <x:v>5</x:v>
      </x:c>
      <x:c r="J879" s="13" t="str">
        <x:v>Разминка</x:v>
      </x:c>
      <x:c r="K879" s="13" t="str">
        <x:v>Подними температуру: быстрая ходьба, лестница или лёгкий велотренажёр 5 минут.</x:v>
      </x:c>
      <x:c r="L879" s="13" t="str">
        <x:v>☐ Не начато</x:v>
      </x:c>
      <x:c r="M879" s="13" t="str">
        <x:v>Обязательно</x:v>
      </x:c>
      <x:c r="N879" s="13" t="str">
        <x:v>RPE 2–3</x:v>
      </x:c>
      <x:c r="O879" s="13" t="str"/>
      <x:c r="P879" s="13" t="str">
        <x:v>milestone_04_grip_literacy_strength/week_13_2026-11-30/02_TUESDAY.md</x:v>
      </x:c>
      <x:c r="Q879" s="138" t="str">
        <x:v>Markdown</x:v>
      </x:c>
      <x:c r="R879" s="20" t="str"/>
    </x:row>
    <x:row r="880" ht="36" customHeight="1">
      <x:c r="A880" s="19" t="str">
        <x:v>W13-20261201-0879</x:v>
      </x:c>
      <x:c r="B880" s="13" t="n">
        <x:v>13</x:v>
      </x:c>
      <x:c r="C880" s="13" t="str">
        <x:v>Этап 4 — Типы хвата и специфическая сила пальцев</x:v>
      </x:c>
      <x:c r="D880" s="138" t="str">
        <x:v>2026-12-01</x:v>
      </x:c>
      <x:c r="E880" s="13" t="str">
        <x:v>Вторник</x:v>
      </x:c>
      <x:c r="F880" s="13" t="str">
        <x:v>Тренировка A — техника/объём</x:v>
      </x:c>
      <x:c r="G880" s="44" t="n">
        <x:v>0.005555555555555556</x:v>
      </x:c>
      <x:c r="H880" s="44" t="n">
        <x:v>0.009027777777777777</x:v>
      </x:c>
      <x:c r="I880" s="32" t="n">
        <x:f>ROUND((H880-G880)*1440,0)</x:f>
        <x:v>5</x:v>
      </x:c>
      <x:c r="J880" s="13" t="str">
        <x:v>Разминка</x:v>
      </x:c>
      <x:c r="K880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880" s="13" t="str">
        <x:v>☐ Не начато</x:v>
      </x:c>
      <x:c r="M880" s="13" t="str">
        <x:v>Обязательно</x:v>
      </x:c>
      <x:c r="N880" s="13" t="str">
        <x:v>Очень легко</x:v>
      </x:c>
      <x:c r="O880" s="13" t="str">
        <x:v>Не делай press/отжимания и движения, которые раздражают плечо.</x:v>
      </x:c>
      <x:c r="P880" s="13" t="str">
        <x:v>milestone_04_grip_literacy_strength/week_13_2026-11-30/02_TUESDAY.md</x:v>
      </x:c>
      <x:c r="Q880" s="138" t="str">
        <x:v>Markdown</x:v>
      </x:c>
      <x:c r="R880" s="20" t="str"/>
    </x:row>
    <x:row r="881" ht="36" customHeight="1">
      <x:c r="A881" s="19" t="str">
        <x:v>W13-20261201-0880</x:v>
      </x:c>
      <x:c r="B881" s="13" t="n">
        <x:v>13</x:v>
      </x:c>
      <x:c r="C881" s="13" t="str">
        <x:v>Этап 4 — Типы хвата и специфическая сила пальцев</x:v>
      </x:c>
      <x:c r="D881" s="138" t="str">
        <x:v>2026-12-01</x:v>
      </x:c>
      <x:c r="E881" s="13" t="str">
        <x:v>Вторник</x:v>
      </x:c>
      <x:c r="F881" s="13" t="str">
        <x:v>Тренировка A — техника/объём</x:v>
      </x:c>
      <x:c r="G881" s="44" t="n">
        <x:v>0.009027777777777777</x:v>
      </x:c>
      <x:c r="H881" s="44" t="n">
        <x:v>0.011805555555555555</x:v>
      </x:c>
      <x:c r="I881" s="32" t="n">
        <x:f>ROUND((H881-G881)*1440,0)</x:f>
        <x:v>4</x:v>
      </x:c>
      <x:c r="J881" s="13" t="str">
        <x:v>Разминка пальцев</x:v>
      </x:c>
      <x:c r="K881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881" s="13" t="str">
        <x:v>☐ Не начато</x:v>
      </x:c>
      <x:c r="M881" s="13" t="str">
        <x:v>Обязательно</x:v>
      </x:c>
      <x:c r="N881" s="13" t="str">
        <x:v>Очень легко</x:v>
      </x:c>
      <x:c r="O881" s="13" t="str"/>
      <x:c r="P881" s="13" t="str">
        <x:v>milestone_04_grip_literacy_strength/week_13_2026-11-30/02_TUESDAY.md</x:v>
      </x:c>
      <x:c r="Q881" s="138" t="str">
        <x:v>Markdown</x:v>
      </x:c>
      <x:c r="R881" s="20" t="str"/>
    </x:row>
    <x:row r="882" ht="36" customHeight="1">
      <x:c r="A882" s="19" t="str">
        <x:v>W13-20261201-0881</x:v>
      </x:c>
      <x:c r="B882" s="13" t="n">
        <x:v>13</x:v>
      </x:c>
      <x:c r="C882" s="13" t="str">
        <x:v>Этап 4 — Типы хвата и специфическая сила пальцев</x:v>
      </x:c>
      <x:c r="D882" s="138" t="str">
        <x:v>2026-12-01</x:v>
      </x:c>
      <x:c r="E882" s="13" t="str">
        <x:v>Вторник</x:v>
      </x:c>
      <x:c r="F882" s="13" t="str">
        <x:v>Тренировка A — техника/объём</x:v>
      </x:c>
      <x:c r="G882" s="44" t="n">
        <x:v>0.011805555555555555</x:v>
      </x:c>
      <x:c r="H882" s="44" t="n">
        <x:v>0.014583333333333334</x:v>
      </x:c>
      <x:c r="I882" s="32" t="n">
        <x:f>ROUND((H882-G882)*1440,0)</x:f>
        <x:v>4</x:v>
      </x:c>
      <x:c r="J882" s="13" t="str">
        <x:v>Разминочное лазание</x:v>
      </x:c>
      <x:c r="K882" s="13" t="str">
        <x:v>Пройди 2 очень лёгкие трассы уровня 1–2; двигайся медленно, спускайся по зацепам.</x:v>
      </x:c>
      <x:c r="L882" s="13" t="str">
        <x:v>☐ Не начато</x:v>
      </x:c>
      <x:c r="M882" s="13" t="str">
        <x:v>Обязательно</x:v>
      </x:c>
      <x:c r="N882" s="13" t="str">
        <x:v>RPE 2–3</x:v>
      </x:c>
      <x:c r="O882" s="13" t="str">
        <x:v>Финиш с обязательным болезненным mantle/press пропусти.</x:v>
      </x:c>
      <x:c r="P882" s="13" t="str">
        <x:v>milestone_04_grip_literacy_strength/week_13_2026-11-30/02_TUESDAY.md</x:v>
      </x:c>
      <x:c r="Q882" s="138" t="str">
        <x:v>Markdown</x:v>
      </x:c>
      <x:c r="R882" s="20" t="str"/>
    </x:row>
    <x:row r="883" ht="36" customHeight="1">
      <x:c r="A883" s="19" t="str">
        <x:v>W13-20261201-0882</x:v>
      </x:c>
      <x:c r="B883" s="13" t="n">
        <x:v>13</x:v>
      </x:c>
      <x:c r="C883" s="13" t="str">
        <x:v>Этап 4 — Типы хвата и специфическая сила пальцев</x:v>
      </x:c>
      <x:c r="D883" s="138" t="str">
        <x:v>2026-12-01</x:v>
      </x:c>
      <x:c r="E883" s="13" t="str">
        <x:v>Вторник</x:v>
      </x:c>
      <x:c r="F883" s="13" t="str">
        <x:v>Тренировка A — техника/объём</x:v>
      </x:c>
      <x:c r="G883" s="44" t="n">
        <x:v>0.014583333333333334</x:v>
      </x:c>
      <x:c r="H883" s="44" t="n">
        <x:v>0.017361111111111112</x:v>
      </x:c>
      <x:c r="I883" s="32" t="n">
        <x:f>ROUND((H883-G883)*1440,0)</x:f>
        <x:v>4</x:v>
      </x:c>
      <x:c r="J883" s="13" t="str">
        <x:v>Разминочное лазание</x:v>
      </x:c>
      <x:c r="K883" s="13" t="str">
        <x:v>Пройди 2 трассы уровня 2–3, затем сделай 2–3 движения на комфортной четвёрке. Между ними 45–60 секунд.</x:v>
      </x:c>
      <x:c r="L883" s="13" t="str">
        <x:v>☐ Не начато</x:v>
      </x:c>
      <x:c r="M883" s="13" t="str">
        <x:v>Обязательно</x:v>
      </x:c>
      <x:c r="N883" s="13" t="str">
        <x:v>RPE 3–4</x:v>
      </x:c>
      <x:c r="O883" s="13" t="str">
        <x:v>Разминка не должна утомить пальцы.</x:v>
      </x:c>
      <x:c r="P883" s="13" t="str">
        <x:v>milestone_04_grip_literacy_strength/week_13_2026-11-30/02_TUESDAY.md</x:v>
      </x:c>
      <x:c r="Q883" s="138" t="str">
        <x:v>Markdown</x:v>
      </x:c>
      <x:c r="R883" s="20" t="str"/>
    </x:row>
    <x:row r="884" ht="36" customHeight="1">
      <x:c r="A884" s="19" t="str">
        <x:v>W13-20261201-0883</x:v>
      </x:c>
      <x:c r="B884" s="13" t="n">
        <x:v>13</x:v>
      </x:c>
      <x:c r="C884" s="13" t="str">
        <x:v>Этап 4 — Типы хвата и специфическая сила пальцев</x:v>
      </x:c>
      <x:c r="D884" s="138" t="str">
        <x:v>2026-12-01</x:v>
      </x:c>
      <x:c r="E884" s="13" t="str">
        <x:v>Вторник</x:v>
      </x:c>
      <x:c r="F884" s="13" t="str">
        <x:v>Тренировка A — техника/объём</x:v>
      </x:c>
      <x:c r="G884" s="44" t="n">
        <x:v>0.017361111111111112</x:v>
      </x:c>
      <x:c r="H884" s="44" t="n">
        <x:v>0.02013888888888889</x:v>
      </x:c>
      <x:c r="I884" s="32" t="n">
        <x:f>ROUND((H884-G884)*1440,0)</x:f>
        <x:v>4</x:v>
      </x:c>
      <x:c r="J884" s="13" t="str">
        <x:v>Выбор трасс</x:v>
      </x:c>
      <x:c r="K884" s="13" t="str">
        <x:v>Найди трассы для упражнения: 3 лёгкие трассы с положительными кромками среднего размера; осознанно различать открытый хват и half crimp, без максимального сжатия.</x:v>
      </x:c>
      <x:c r="L884" s="13" t="str">
        <x:v>☐ Не начато</x:v>
      </x:c>
      <x:c r="M884" s="13" t="str">
        <x:v>Обязательно</x:v>
      </x:c>
      <x:c r="N884" s="13" t="str">
        <x:v>Без нагрузки</x:v>
      </x:c>
      <x:c r="O884" s="13" t="str">
        <x:v>Острая локальная боль в пальце — стоп. Full crimp на фингерборде не использовать.</x:v>
      </x:c>
      <x:c r="P884" s="13" t="str">
        <x:v>milestone_04_grip_literacy_strength/week_13_2026-11-30/02_TUESDAY.md</x:v>
      </x:c>
      <x:c r="Q884" s="138" t="str">
        <x:v>Markdown</x:v>
      </x:c>
      <x:c r="R884" s="20" t="str"/>
    </x:row>
    <x:row r="885" ht="36" customHeight="1">
      <x:c r="A885" s="19" t="str">
        <x:v>W13-20261201-0884</x:v>
      </x:c>
      <x:c r="B885" s="13" t="n">
        <x:v>13</x:v>
      </x:c>
      <x:c r="C885" s="13" t="str">
        <x:v>Этап 4 — Типы хвата и специфическая сила пальцев</x:v>
      </x:c>
      <x:c r="D885" s="138" t="str">
        <x:v>2026-12-01</x:v>
      </x:c>
      <x:c r="E885" s="13" t="str">
        <x:v>Вторник</x:v>
      </x:c>
      <x:c r="F885" s="13" t="str">
        <x:v>Тренировка A — техника/объём</x:v>
      </x:c>
      <x:c r="G885" s="44" t="n">
        <x:v>0.02013888888888889</x:v>
      </x:c>
      <x:c r="H885" s="44" t="n">
        <x:v>0.03194444444444444</x:v>
      </x:c>
      <x:c r="I885" s="32" t="n">
        <x:f>ROUND((H885-G885)*1440,0)</x:f>
        <x:v>17</x:v>
      </x:c>
      <x:c r="J885" s="13" t="str">
        <x:v>Технический блок</x:v>
      </x:c>
      <x:c r="K885" s="13" t="str">
        <x:v>Отработай «Открытый хват и half crimp». Шаги: Открытый хват: пальцы более вытянуты, большой палец не закрывает указательный. Half crimp: средние суставы согнуты примерно до прямого угла, большой палец не накрывает указательный. Выбери позицию до загрузки; не перекатывайся между ними под весом.</x:v>
      </x:c>
      <x:c r="L885" s="13" t="str">
        <x:v>☐ Не начато</x:v>
      </x:c>
      <x:c r="M885" s="13" t="str">
        <x:v>Обязательно</x:v>
      </x:c>
      <x:c r="N885" s="13" t="str">
        <x:v>RPE 3–5</x:v>
      </x:c>
      <x:c r="O885" s="13" t="str">
        <x:v>Любая острая локальная боль пальца — немедленный стоп.</x:v>
      </x:c>
      <x:c r="P885" s="13" t="str">
        <x:v>milestone_04_grip_literacy_strength/week_13_2026-11-30/02_TUESDAY.md</x:v>
      </x:c>
      <x:c r="Q885" s="138" t="str">
        <x:v>Markdown</x:v>
      </x:c>
      <x:c r="R885" s="20" t="str"/>
    </x:row>
    <x:row r="886" ht="36" customHeight="1">
      <x:c r="A886" s="19" t="str">
        <x:v>W13-20261201-0885</x:v>
      </x:c>
      <x:c r="B886" s="13" t="n">
        <x:v>13</x:v>
      </x:c>
      <x:c r="C886" s="13" t="str">
        <x:v>Этап 4 — Типы хвата и специфическая сила пальцев</x:v>
      </x:c>
      <x:c r="D886" s="138" t="str">
        <x:v>2026-12-01</x:v>
      </x:c>
      <x:c r="E886" s="13" t="str">
        <x:v>Вторник</x:v>
      </x:c>
      <x:c r="F886" s="13" t="str">
        <x:v>Тренировка A — техника/объём</x:v>
      </x:c>
      <x:c r="G886" s="44" t="n">
        <x:v>0.03194444444444444</x:v>
      </x:c>
      <x:c r="H886" s="44" t="n">
        <x:v>0.035416666666666666</x:v>
      </x:c>
      <x:c r="I886" s="32" t="n">
        <x:f>ROUND((H886-G886)*1440,0)</x:f>
        <x:v>5</x:v>
      </x:c>
      <x:c r="J886" s="13" t="str">
        <x:v>Обратная связь</x:v>
      </x:c>
      <x:c r="K886" s="13" t="str">
        <x:v>Повтори лучшую лёгкую трассу и проверь критерий успеха: Форма кисти одинакова во всех висах, без дрожи и без ухода к full crimp.</x:v>
      </x:c>
      <x:c r="L886" s="13" t="str">
        <x:v>☐ Не начато</x:v>
      </x:c>
      <x:c r="M886" s="13" t="str">
        <x:v>Обязательно</x:v>
      </x:c>
      <x:c r="N886" s="13" t="str">
        <x:v>RPE 4–5</x:v>
      </x:c>
      <x:c r="O886" s="13" t="str"/>
      <x:c r="P886" s="13" t="str">
        <x:v>milestone_04_grip_literacy_strength/week_13_2026-11-30/02_TUESDAY.md</x:v>
      </x:c>
      <x:c r="Q886" s="138" t="str">
        <x:v>Markdown</x:v>
      </x:c>
      <x:c r="R886" s="20" t="str"/>
    </x:row>
    <x:row r="887" ht="36" customHeight="1">
      <x:c r="A887" s="19" t="str">
        <x:v>W13-20261201-0886</x:v>
      </x:c>
      <x:c r="B887" s="13" t="n">
        <x:v>13</x:v>
      </x:c>
      <x:c r="C887" s="13" t="str">
        <x:v>Этап 4 — Типы хвата и специфическая сила пальцев</x:v>
      </x:c>
      <x:c r="D887" s="138" t="str">
        <x:v>2026-12-01</x:v>
      </x:c>
      <x:c r="E887" s="13" t="str">
        <x:v>Вторник</x:v>
      </x:c>
      <x:c r="F887" s="13" t="str">
        <x:v>Тренировка A — техника/объём</x:v>
      </x:c>
      <x:c r="G887" s="44" t="n">
        <x:v>0.035416666666666666</x:v>
      </x:c>
      <x:c r="H887" s="44" t="n">
        <x:v>0.04583333333333333</x:v>
      </x:c>
      <x:c r="I887" s="32" t="n">
        <x:f>ROUND((H887-G887)*1440,0)</x:f>
        <x:v>15</x:v>
      </x:c>
      <x:c r="J887" s="13" t="str">
        <x:v>Качественный объём</x:v>
      </x:c>
      <x:c r="K887" s="13" t="str">
        <x:v>Попробуй 2–3 четвёрки, максимум 2 попытки на каждую, отдых 2:00. На неудаче назови техническую причину.</x:v>
      </x:c>
      <x:c r="L887" s="13" t="str">
        <x:v>☐ Не начато</x:v>
      </x:c>
      <x:c r="M887" s="13" t="str">
        <x:v>Обязательно</x:v>
      </x:c>
      <x:c r="N887" s="13" t="str">
        <x:v>RPE 6–7</x:v>
      </x:c>
      <x:c r="O887" s="13" t="str">
        <x:v>Не выбирать подряд три трассы на одинаково маленьких кромках.</x:v>
      </x:c>
      <x:c r="P887" s="13" t="str">
        <x:v>milestone_04_grip_literacy_strength/week_13_2026-11-30/02_TUESDAY.md</x:v>
      </x:c>
      <x:c r="Q887" s="138" t="str">
        <x:v>Markdown</x:v>
      </x:c>
      <x:c r="R887" s="20" t="str"/>
    </x:row>
    <x:row r="888" ht="36" customHeight="1">
      <x:c r="A888" s="19" t="str">
        <x:v>W13-20261201-0887</x:v>
      </x:c>
      <x:c r="B888" s="13" t="n">
        <x:v>13</x:v>
      </x:c>
      <x:c r="C888" s="13" t="str">
        <x:v>Этап 4 — Типы хвата и специфическая сила пальцев</x:v>
      </x:c>
      <x:c r="D888" s="138" t="str">
        <x:v>2026-12-01</x:v>
      </x:c>
      <x:c r="E888" s="13" t="str">
        <x:v>Вторник</x:v>
      </x:c>
      <x:c r="F888" s="13" t="str">
        <x:v>Тренировка A — техника/объём</x:v>
      </x:c>
      <x:c r="G888" s="44" t="n">
        <x:v>0.04583333333333333</x:v>
      </x:c>
      <x:c r="H888" s="44" t="n">
        <x:v>0.052083333333333336</x:v>
      </x:c>
      <x:c r="I888" s="32" t="n">
        <x:f>ROUND((H888-G888)*1440,0)</x:f>
        <x:v>9</x:v>
      </x:c>
      <x:c r="J888" s="13" t="str">
        <x:v>Рабочая пятёрка</x:v>
      </x:c>
      <x:c r="K888" s="13" t="str">
        <x:v>Одна пятёрка, максимум 2 попытки, отдых 3:00. Цель — применить тему недели, а не обязательно закрыть.</x:v>
      </x:c>
      <x:c r="L888" s="13" t="str">
        <x:v>☐ Не начато</x:v>
      </x:c>
      <x:c r="M888" s="13" t="str">
        <x:v>Обязательно</x:v>
      </x:c>
      <x:c r="N888" s="13" t="str">
        <x:v>RPE 7–8</x:v>
      </x:c>
      <x:c r="O888" s="13" t="str">
        <x:v>Острая локальная боль в пальце — стоп. Full crimp на фингерборде не использовать.</x:v>
      </x:c>
      <x:c r="P888" s="13" t="str">
        <x:v>milestone_04_grip_literacy_strength/week_13_2026-11-30/02_TUESDAY.md</x:v>
      </x:c>
      <x:c r="Q888" s="138" t="str">
        <x:v>Markdown</x:v>
      </x:c>
      <x:c r="R888" s="20" t="str"/>
    </x:row>
    <x:row r="889" ht="36" customHeight="1">
      <x:c r="A889" s="19" t="str">
        <x:v>W13-20261201-0888</x:v>
      </x:c>
      <x:c r="B889" s="13" t="n">
        <x:v>13</x:v>
      </x:c>
      <x:c r="C889" s="13" t="str">
        <x:v>Этап 4 — Типы хвата и специфическая сила пальцев</x:v>
      </x:c>
      <x:c r="D889" s="138" t="str">
        <x:v>2026-12-01</x:v>
      </x:c>
      <x:c r="E889" s="13" t="str">
        <x:v>Вторник</x:v>
      </x:c>
      <x:c r="F889" s="13" t="str">
        <x:v>Тренировка A — техника/объём</x:v>
      </x:c>
      <x:c r="G889" s="44" t="n">
        <x:v>0.052083333333333336</x:v>
      </x:c>
      <x:c r="H889" s="44" t="n">
        <x:v>0.058333333333333334</x:v>
      </x:c>
      <x:c r="I889" s="32" t="n">
        <x:f>ROUND((H889-G889)*1440,0)</x:f>
        <x:v>9</x:v>
      </x:c>
      <x:c r="J889" s="13" t="str">
        <x:v>Лёгкая выносливость</x:v>
      </x:c>
      <x:c r="K889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889" s="13" t="str">
        <x:v>☐ Не начато</x:v>
      </x:c>
      <x:c r="M889" s="13" t="str">
        <x:v>Обязательно</x:v>
      </x:c>
      <x:c r="N889" s="13" t="str">
        <x:v>Памп максимум 4/10</x:v>
      </x:c>
      <x:c r="O889" s="13" t="str">
        <x:v>Остановиться при неточной постановке ног или разжимании пальцев.</x:v>
      </x:c>
      <x:c r="P889" s="13" t="str">
        <x:v>milestone_04_grip_literacy_strength/week_13_2026-11-30/02_TUESDAY.md</x:v>
      </x:c>
      <x:c r="Q889" s="138" t="str">
        <x:v>Markdown</x:v>
      </x:c>
      <x:c r="R889" s="20" t="str"/>
    </x:row>
    <x:row r="890" ht="36" customHeight="1">
      <x:c r="A890" s="19" t="str">
        <x:v>W13-20261201-0889</x:v>
      </x:c>
      <x:c r="B890" s="13" t="n">
        <x:v>13</x:v>
      </x:c>
      <x:c r="C890" s="13" t="str">
        <x:v>Этап 4 — Типы хвата и специфическая сила пальцев</x:v>
      </x:c>
      <x:c r="D890" s="138" t="str">
        <x:v>2026-12-01</x:v>
      </x:c>
      <x:c r="E890" s="13" t="str">
        <x:v>Вторник</x:v>
      </x:c>
      <x:c r="F890" s="13" t="str">
        <x:v>Тренировка A — техника/объём</x:v>
      </x:c>
      <x:c r="G890" s="44" t="n">
        <x:v>0.058333333333333334</x:v>
      </x:c>
      <x:c r="H890" s="44" t="n">
        <x:v>0.06041666666666667</x:v>
      </x:c>
      <x:c r="I890" s="32" t="n">
        <x:f>ROUND((H890-G890)*1440,0)</x:f>
        <x:v>3</x:v>
      </x:c>
      <x:c r="J890" s="13" t="str">
        <x:v>Завершение</x:v>
      </x:c>
      <x:c r="K890" s="13" t="str">
        <x:v>Очень лёгкий спуск/ходьба и спокойное встряхивание кистей.</x:v>
      </x:c>
      <x:c r="L890" s="13" t="str">
        <x:v>☐ Не начато</x:v>
      </x:c>
      <x:c r="M890" s="13" t="str">
        <x:v>Обязательно</x:v>
      </x:c>
      <x:c r="N890" s="13" t="str">
        <x:v>RPE 1–2</x:v>
      </x:c>
      <x:c r="O890" s="13" t="str"/>
      <x:c r="P890" s="13" t="str">
        <x:v>milestone_04_grip_literacy_strength/week_13_2026-11-30/02_TUESDAY.md</x:v>
      </x:c>
      <x:c r="Q890" s="138" t="str">
        <x:v>Markdown</x:v>
      </x:c>
      <x:c r="R890" s="20" t="str"/>
    </x:row>
    <x:row r="891" ht="36" customHeight="1">
      <x:c r="A891" s="19" t="str">
        <x:v>W13-20261201-0890</x:v>
      </x:c>
      <x:c r="B891" s="13" t="n">
        <x:v>13</x:v>
      </x:c>
      <x:c r="C891" s="13" t="str">
        <x:v>Этап 4 — Типы хвата и специфическая сила пальцев</x:v>
      </x:c>
      <x:c r="D891" s="138" t="str">
        <x:v>2026-12-01</x:v>
      </x:c>
      <x:c r="E891" s="13" t="str">
        <x:v>Вторник</x:v>
      </x:c>
      <x:c r="F891" s="13" t="str">
        <x:v>Тренировка A — техника/объём</x:v>
      </x:c>
      <x:c r="G891" s="44" t="n">
        <x:v>0.06041666666666667</x:v>
      </x:c>
      <x:c r="H891" s="44" t="n">
        <x:v>0.0625</x:v>
      </x:c>
      <x:c r="I891" s="32" t="n">
        <x:f>ROUND((H891-G891)*1440,0)</x:f>
        <x:v>3</x:v>
      </x:c>
      <x:c r="J891" s="13" t="str">
        <x:v>Журнал</x:v>
      </x:c>
      <x:c r="K891" s="13" t="str">
        <x:v>Запиши: Все 5 висов одинаковы по форме; запас не менее 2–3 секунд в каждом. Также отметь минуту первой просадки хвата.</x:v>
      </x:c>
      <x:c r="L891" s="13" t="str">
        <x:v>☐ Не начато</x:v>
      </x:c>
      <x:c r="M891" s="13" t="str">
        <x:v>Обязательно</x:v>
      </x:c>
      <x:c r="N891" s="13" t="str">
        <x:v>Без нагрузки</x:v>
      </x:c>
      <x:c r="O891" s="13" t="str"/>
      <x:c r="P891" s="13" t="str">
        <x:v>milestone_04_grip_literacy_strength/week_13_2026-11-30/02_TUESDAY.md</x:v>
      </x:c>
      <x:c r="Q891" s="138" t="str">
        <x:v>Markdown</x:v>
      </x:c>
      <x:c r="R891" s="20" t="str"/>
    </x:row>
    <x:row r="892" ht="36" customHeight="1">
      <x:c r="A892" s="19" t="str">
        <x:v>W13-20261202-0891</x:v>
      </x:c>
      <x:c r="B892" s="13" t="n">
        <x:v>13</x:v>
      </x:c>
      <x:c r="C892" s="13" t="str">
        <x:v>Этап 4 — Типы хвата и специфическая сила пальцев</x:v>
      </x:c>
      <x:c r="D892" s="138" t="str">
        <x:v>2026-12-02</x:v>
      </x:c>
      <x:c r="E892" s="13" t="str">
        <x:v>Среда</x:v>
      </x:c>
      <x:c r="F892" s="13" t="str">
        <x:v>Восстановление / видео</x:v>
      </x:c>
      <x:c r="G892" s="44" t="n">
        <x:v>0</x:v>
      </x:c>
      <x:c r="H892" s="44" t="n">
        <x:v>0.006944444444444444</x:v>
      </x:c>
      <x:c r="I892" s="32" t="n">
        <x:f>ROUND((H892-G892)*1440,0)</x:f>
        <x:v>10</x:v>
      </x:c>
      <x:c r="J892" s="13" t="str">
        <x:v>Восстановление</x:v>
      </x:c>
      <x:c r="K892" s="13" t="str">
        <x:v>10 минут спокойной ходьбы. Руки расслаблены; это не тренировка выносливости.</x:v>
      </x:c>
      <x:c r="L892" s="13" t="str">
        <x:v>☐ Не начато</x:v>
      </x:c>
      <x:c r="M892" s="13" t="str">
        <x:v>Обязательно</x:v>
      </x:c>
      <x:c r="N892" s="13" t="str">
        <x:v>RPE 1–2</x:v>
      </x:c>
      <x:c r="O892" s="13" t="str"/>
      <x:c r="P892" s="13" t="str">
        <x:v>milestone_04_grip_literacy_strength/week_13_2026-11-30/03_WEDNESDAY.md</x:v>
      </x:c>
      <x:c r="Q892" s="138" t="str">
        <x:v>Markdown</x:v>
      </x:c>
      <x:c r="R892" s="20" t="str"/>
    </x:row>
    <x:row r="893" ht="36" customHeight="1">
      <x:c r="A893" s="19" t="str">
        <x:v>W13-20261202-0892</x:v>
      </x:c>
      <x:c r="B893" s="13" t="n">
        <x:v>13</x:v>
      </x:c>
      <x:c r="C893" s="13" t="str">
        <x:v>Этап 4 — Типы хвата и специфическая сила пальцев</x:v>
      </x:c>
      <x:c r="D893" s="138" t="str">
        <x:v>2026-12-02</x:v>
      </x:c>
      <x:c r="E893" s="13" t="str">
        <x:v>Среда</x:v>
      </x:c>
      <x:c r="F893" s="13" t="str">
        <x:v>Восстановление / видео</x:v>
      </x:c>
      <x:c r="G893" s="44" t="n">
        <x:v>0.006944444444444444</x:v>
      </x:c>
      <x:c r="H893" s="44" t="n">
        <x:v>0.009027777777777777</x:v>
      </x:c>
      <x:c r="I893" s="32" t="n">
        <x:f>ROUND((H893-G893)*1440,0)</x:f>
        <x:v>3</x:v>
      </x:c>
      <x:c r="J893" s="13" t="str">
        <x:v>Самопроверка</x:v>
      </x:c>
      <x:c r="K893" s="13" t="str">
        <x:v>Оцени реакцию после вторника: плечо, пальцы, правое колено 0–10. Запиши, что изменилось относительно вчерашнего утра.</x:v>
      </x:c>
      <x:c r="L893" s="13" t="str">
        <x:v>☐ Не начато</x:v>
      </x:c>
      <x:c r="M893" s="13" t="str">
        <x:v>Обязательно</x:v>
      </x:c>
      <x:c r="N893" s="13" t="str">
        <x:v>Без нагрузки</x:v>
      </x:c>
      <x:c r="O893" s="13" t="str">
        <x:v>Острая локальная боль пальца или ухудшение плеча = не делать четверговую пальцевую нагрузку.</x:v>
      </x:c>
      <x:c r="P893" s="13" t="str">
        <x:v>milestone_04_grip_literacy_strength/week_13_2026-11-30/03_WEDNESDAY.md</x:v>
      </x:c>
      <x:c r="Q893" s="138" t="str">
        <x:v>Markdown</x:v>
      </x:c>
      <x:c r="R893" s="20" t="str"/>
    </x:row>
    <x:row r="894" ht="36" customHeight="1">
      <x:c r="A894" s="19" t="str">
        <x:v>W13-20261202-0893</x:v>
      </x:c>
      <x:c r="B894" s="13" t="n">
        <x:v>13</x:v>
      </x:c>
      <x:c r="C894" s="13" t="str">
        <x:v>Этап 4 — Типы хвата и специфическая сила пальцев</x:v>
      </x:c>
      <x:c r="D894" s="138" t="str">
        <x:v>2026-12-02</x:v>
      </x:c>
      <x:c r="E894" s="13" t="str">
        <x:v>Среда</x:v>
      </x:c>
      <x:c r="F894" s="13" t="str">
        <x:v>Восстановление / видео</x:v>
      </x:c>
      <x:c r="G894" s="44" t="n">
        <x:v>0.009027777777777777</x:v>
      </x:c>
      <x:c r="H894" s="44" t="n">
        <x:v>0.01597222222222222</x:v>
      </x:c>
      <x:c r="I894" s="32" t="n">
        <x:f>ROUND((H894-G894)*1440,0)</x:f>
        <x:v>10</x:v>
      </x:c>
      <x:c r="J894" s="13" t="str">
        <x:v>Видеоразбор</x:v>
      </x:c>
      <x:c r="K894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894" s="13" t="str">
        <x:v>☐ Не начато</x:v>
      </x:c>
      <x:c r="M894" s="13" t="str">
        <x:v>Обязательно</x:v>
      </x:c>
      <x:c r="N894" s="13" t="str">
        <x:v>Без нагрузки</x:v>
      </x:c>
      <x:c r="O894" s="13" t="str"/>
      <x:c r="P894" s="13" t="str">
        <x:v>milestone_04_grip_literacy_strength/week_13_2026-11-30/03_WEDNESDAY.md</x:v>
      </x:c>
      <x:c r="Q894" s="138" t="str">
        <x:v>Markdown</x:v>
      </x:c>
      <x:c r="R894" s="20" t="str"/>
    </x:row>
    <x:row r="895" ht="36" customHeight="1">
      <x:c r="A895" s="19" t="str">
        <x:v>W13-20261202-0894</x:v>
      </x:c>
      <x:c r="B895" s="13" t="n">
        <x:v>13</x:v>
      </x:c>
      <x:c r="C895" s="13" t="str">
        <x:v>Этап 4 — Типы хвата и специфическая сила пальцев</x:v>
      </x:c>
      <x:c r="D895" s="138" t="str">
        <x:v>2026-12-02</x:v>
      </x:c>
      <x:c r="E895" s="13" t="str">
        <x:v>Среда</x:v>
      </x:c>
      <x:c r="F895" s="13" t="str">
        <x:v>Восстановление / видео</x:v>
      </x:c>
      <x:c r="G895" s="44" t="n">
        <x:v>0.01597222222222222</x:v>
      </x:c>
      <x:c r="H895" s="44" t="n">
        <x:v>0.01875</x:v>
      </x:c>
      <x:c r="I895" s="32" t="n">
        <x:f>ROUND((H895-G895)*1440,0)</x:f>
        <x:v>4</x:v>
      </x:c>
      <x:c r="J895" s="13" t="str">
        <x:v>Конспект</x:v>
      </x:c>
      <x:c r="K895" s="13" t="str">
        <x:v>Запиши одну правку на четверг в формате «В следующей попытке я…». Используй cue: «Положение пальцев выбирается заранее и остаётся стабильным; большой палец не накрывает указательный.».</x:v>
      </x:c>
      <x:c r="L895" s="13" t="str">
        <x:v>☐ Не начато</x:v>
      </x:c>
      <x:c r="M895" s="13" t="str">
        <x:v>Обязательно</x:v>
      </x:c>
      <x:c r="N895" s="13" t="str">
        <x:v>Без нагрузки</x:v>
      </x:c>
      <x:c r="O895" s="13" t="str"/>
      <x:c r="P895" s="13" t="str">
        <x:v>milestone_04_grip_literacy_strength/week_13_2026-11-30/03_WEDNESDAY.md</x:v>
      </x:c>
      <x:c r="Q895" s="138" t="str">
        <x:v>Markdown</x:v>
      </x:c>
      <x:c r="R895" s="20" t="str"/>
    </x:row>
    <x:row r="896" ht="36" customHeight="1">
      <x:c r="A896" s="19" t="str">
        <x:v>W13-20261202-0895</x:v>
      </x:c>
      <x:c r="B896" s="13" t="n">
        <x:v>13</x:v>
      </x:c>
      <x:c r="C896" s="13" t="str">
        <x:v>Этап 4 — Типы хвата и специфическая сила пальцев</x:v>
      </x:c>
      <x:c r="D896" s="138" t="str">
        <x:v>2026-12-02</x:v>
      </x:c>
      <x:c r="E896" s="13" t="str">
        <x:v>Среда</x:v>
      </x:c>
      <x:c r="F896" s="13" t="str">
        <x:v>Восстановление / видео</x:v>
      </x:c>
      <x:c r="G896" s="44" t="n">
        <x:v>0.01875</x:v>
      </x:c>
      <x:c r="H896" s="44" t="n">
        <x:v>0.027083333333333334</x:v>
      </x:c>
      <x:c r="I896" s="32" t="n">
        <x:f>ROUND((H896-G896)*1440,0)</x:f>
        <x:v>12</x:v>
      </x:c>
      <x:c r="J896" s="13" t="str">
        <x:v>Домашняя мобильность</x:v>
      </x:c>
      <x:c r="K896" s="13" t="str">
        <x:v>Выполни комплекс H1 «База: таз, корпус и стопы», 12 минут. Ни турника, ни колец для дополнительного хвата.</x:v>
      </x:c>
      <x:c r="L896" s="13" t="str">
        <x:v>☐ Не начато</x:v>
      </x:c>
      <x:c r="M896" s="13" t="str">
        <x:v>Обязательно</x:v>
      </x:c>
      <x:c r="N896" s="13" t="str">
        <x:v>RPE 2–3</x:v>
      </x:c>
      <x:c r="O896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896" s="13" t="str">
        <x:v>milestone_04_grip_literacy_strength/week_13_2026-11-30/03_WEDNESDAY.md</x:v>
      </x:c>
      <x:c r="Q896" s="138" t="str">
        <x:v>Markdown</x:v>
      </x:c>
      <x:c r="R896" s="20" t="str"/>
    </x:row>
    <x:row r="897" ht="36" customHeight="1">
      <x:c r="A897" s="19" t="str">
        <x:v>W13-20261202-0896</x:v>
      </x:c>
      <x:c r="B897" s="13" t="n">
        <x:v>13</x:v>
      </x:c>
      <x:c r="C897" s="13" t="str">
        <x:v>Этап 4 — Типы хвата и специфическая сила пальцев</x:v>
      </x:c>
      <x:c r="D897" s="138" t="str">
        <x:v>2026-12-02</x:v>
      </x:c>
      <x:c r="E897" s="13" t="str">
        <x:v>Среда</x:v>
      </x:c>
      <x:c r="F897" s="13" t="str">
        <x:v>Восстановление / видео</x:v>
      </x:c>
      <x:c r="G897" s="44" t="n">
        <x:v>0.027083333333333334</x:v>
      </x:c>
      <x:c r="H897" s="44" t="n">
        <x:v>0.04097222222222222</x:v>
      </x:c>
      <x:c r="I897" s="32" t="n">
        <x:f>ROUND((H897-G897)*1440,0)</x:f>
        <x:v>20</x:v>
      </x:c>
      <x:c r="J897" s="13" t="str">
        <x:v>Физиотерапия</x:v>
      </x:c>
      <x:c r="K897" s="13" t="str">
        <x:v>Выполни свой назначенный физиотерапевтом комплекс, если среда входит в его расписание.</x:v>
      </x:c>
      <x:c r="L897" s="13" t="str">
        <x:v>☐ Не начато</x:v>
      </x:c>
      <x:c r="M897" s="13" t="str">
        <x:v>По назначению</x:v>
      </x:c>
      <x:c r="N897" s="13" t="str">
        <x:v>По назначению</x:v>
      </x:c>
      <x:c r="O897" s="13" t="str">
        <x:v>Назначения физиотерапевта имеют приоритет.</x:v>
      </x:c>
      <x:c r="P897" s="13" t="str">
        <x:v>milestone_04_grip_literacy_strength/week_13_2026-11-30/03_WEDNESDAY.md</x:v>
      </x:c>
      <x:c r="Q897" s="138" t="str">
        <x:v>Markdown</x:v>
      </x:c>
      <x:c r="R897" s="20" t="str"/>
    </x:row>
    <x:row r="898" ht="36" customHeight="1">
      <x:c r="A898" s="19" t="str">
        <x:v>W13-20261202-0897</x:v>
      </x:c>
      <x:c r="B898" s="13" t="n">
        <x:v>13</x:v>
      </x:c>
      <x:c r="C898" s="13" t="str">
        <x:v>Этап 4 — Типы хвата и специфическая сила пальцев</x:v>
      </x:c>
      <x:c r="D898" s="138" t="str">
        <x:v>2026-12-02</x:v>
      </x:c>
      <x:c r="E898" s="13" t="str">
        <x:v>Среда</x:v>
      </x:c>
      <x:c r="F898" s="13" t="str">
        <x:v>Восстановление / видео</x:v>
      </x:c>
      <x:c r="G898" s="44" t="n">
        <x:v>0.04097222222222222</x:v>
      </x:c>
      <x:c r="H898" s="44" t="n">
        <x:v>0.043055555555555555</x:v>
      </x:c>
      <x:c r="I898" s="32" t="n">
        <x:f>ROUND((H898-G898)*1440,0)</x:f>
        <x:v>3</x:v>
      </x:c>
      <x:c r="J898" s="13" t="str">
        <x:v>Запрет лишней нагрузки</x:v>
      </x:c>
      <x:c r="K898" s="13" t="str">
        <x:v>Поставь отметку: сегодня не было висов, подтягиваний «на проверку», эспандера-сжимателя или тяжёлого ношения.</x:v>
      </x:c>
      <x:c r="L898" s="13" t="str">
        <x:v>☐ Не начато</x:v>
      </x:c>
      <x:c r="M898" s="13" t="str">
        <x:v>Обязательно</x:v>
      </x:c>
      <x:c r="N898" s="13" t="str">
        <x:v>Восстановление</x:v>
      </x:c>
      <x:c r="O898" s="13" t="str"/>
      <x:c r="P898" s="13" t="str">
        <x:v>milestone_04_grip_literacy_strength/week_13_2026-11-30/03_WEDNESDAY.md</x:v>
      </x:c>
      <x:c r="Q898" s="138" t="str">
        <x:v>Markdown</x:v>
      </x:c>
      <x:c r="R898" s="20" t="str"/>
    </x:row>
    <x:row r="899" ht="36" customHeight="1">
      <x:c r="A899" s="19" t="str">
        <x:v>W13-20261203-0898</x:v>
      </x:c>
      <x:c r="B899" s="13" t="n">
        <x:v>13</x:v>
      </x:c>
      <x:c r="C899" s="13" t="str">
        <x:v>Этап 4 — Типы хвата и специфическая сила пальцев</x:v>
      </x:c>
      <x:c r="D899" s="138" t="str">
        <x:v>2026-12-03</x:v>
      </x:c>
      <x:c r="E899" s="13" t="str">
        <x:v>Четверг</x:v>
      </x:c>
      <x:c r="F899" s="13" t="str">
        <x:v>Тренировка B — пальцы/проект</x:v>
      </x:c>
      <x:c r="G899" s="44" t="n">
        <x:v>0</x:v>
      </x:c>
      <x:c r="H899" s="44" t="n">
        <x:v>0.0020833333333333333</x:v>
      </x:c>
      <x:c r="I899" s="32" t="n">
        <x:f>ROUND((H899-G899)*1440,0)</x:f>
        <x:v>3</x:v>
      </x:c>
      <x:c r="J899" s="13" t="str">
        <x:v>Самопроверка</x:v>
      </x:c>
      <x:c r="K899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899" s="13" t="str">
        <x:v>☐ Не начато</x:v>
      </x:c>
      <x:c r="M899" s="13" t="str">
        <x:v>Обязательно</x:v>
      </x:c>
      <x:c r="N899" s="13" t="str">
        <x:v>Без нагрузки</x:v>
      </x:c>
      <x:c r="O899" s="13" t="str">
        <x:v>Красный флаг = не начинать пальцевую нагрузку.</x:v>
      </x:c>
      <x:c r="P899" s="13" t="str">
        <x:v>milestone_04_grip_literacy_strength/week_13_2026-11-30/04_THURSDAY.md</x:v>
      </x:c>
      <x:c r="Q899" s="138" t="str">
        <x:v>Markdown</x:v>
      </x:c>
      <x:c r="R899" s="20" t="str"/>
    </x:row>
    <x:row r="900" ht="36" customHeight="1">
      <x:c r="A900" s="19" t="str">
        <x:v>W13-20261203-0899</x:v>
      </x:c>
      <x:c r="B900" s="13" t="n">
        <x:v>13</x:v>
      </x:c>
      <x:c r="C900" s="13" t="str">
        <x:v>Этап 4 — Типы хвата и специфическая сила пальцев</x:v>
      </x:c>
      <x:c r="D900" s="138" t="str">
        <x:v>2026-12-03</x:v>
      </x:c>
      <x:c r="E900" s="13" t="str">
        <x:v>Четверг</x:v>
      </x:c>
      <x:c r="F900" s="13" t="str">
        <x:v>Тренировка B — пальцы/проект</x:v>
      </x:c>
      <x:c r="G900" s="44" t="n">
        <x:v>0.0020833333333333333</x:v>
      </x:c>
      <x:c r="H900" s="44" t="n">
        <x:v>0.005555555555555556</x:v>
      </x:c>
      <x:c r="I900" s="32" t="n">
        <x:f>ROUND((H900-G900)*1440,0)</x:f>
        <x:v>5</x:v>
      </x:c>
      <x:c r="J900" s="13" t="str">
        <x:v>Разминка</x:v>
      </x:c>
      <x:c r="K900" s="13" t="str">
        <x:v>Подними температуру: быстрая ходьба, лестница или лёгкий велотренажёр 5 минут.</x:v>
      </x:c>
      <x:c r="L900" s="13" t="str">
        <x:v>☐ Не начато</x:v>
      </x:c>
      <x:c r="M900" s="13" t="str">
        <x:v>Обязательно</x:v>
      </x:c>
      <x:c r="N900" s="13" t="str">
        <x:v>RPE 2–3</x:v>
      </x:c>
      <x:c r="O900" s="13" t="str"/>
      <x:c r="P900" s="13" t="str">
        <x:v>milestone_04_grip_literacy_strength/week_13_2026-11-30/04_THURSDAY.md</x:v>
      </x:c>
      <x:c r="Q900" s="138" t="str">
        <x:v>Markdown</x:v>
      </x:c>
      <x:c r="R900" s="20" t="str"/>
    </x:row>
    <x:row r="901" ht="36" customHeight="1">
      <x:c r="A901" s="19" t="str">
        <x:v>W13-20261203-0900</x:v>
      </x:c>
      <x:c r="B901" s="13" t="n">
        <x:v>13</x:v>
      </x:c>
      <x:c r="C901" s="13" t="str">
        <x:v>Этап 4 — Типы хвата и специфическая сила пальцев</x:v>
      </x:c>
      <x:c r="D901" s="138" t="str">
        <x:v>2026-12-03</x:v>
      </x:c>
      <x:c r="E901" s="13" t="str">
        <x:v>Четверг</x:v>
      </x:c>
      <x:c r="F901" s="13" t="str">
        <x:v>Тренировка B — пальцы/проект</x:v>
      </x:c>
      <x:c r="G901" s="44" t="n">
        <x:v>0.005555555555555556</x:v>
      </x:c>
      <x:c r="H901" s="44" t="n">
        <x:v>0.009027777777777777</x:v>
      </x:c>
      <x:c r="I901" s="32" t="n">
        <x:f>ROUND((H901-G901)*1440,0)</x:f>
        <x:v>5</x:v>
      </x:c>
      <x:c r="J901" s="13" t="str">
        <x:v>Разминка</x:v>
      </x:c>
      <x:c r="K901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901" s="13" t="str">
        <x:v>☐ Не начато</x:v>
      </x:c>
      <x:c r="M901" s="13" t="str">
        <x:v>Обязательно</x:v>
      </x:c>
      <x:c r="N901" s="13" t="str">
        <x:v>Очень легко</x:v>
      </x:c>
      <x:c r="O901" s="13" t="str">
        <x:v>Не делай press/отжимания и движения, которые раздражают плечо.</x:v>
      </x:c>
      <x:c r="P901" s="13" t="str">
        <x:v>milestone_04_grip_literacy_strength/week_13_2026-11-30/04_THURSDAY.md</x:v>
      </x:c>
      <x:c r="Q901" s="138" t="str">
        <x:v>Markdown</x:v>
      </x:c>
      <x:c r="R901" s="20" t="str"/>
    </x:row>
    <x:row r="902" ht="36" customHeight="1">
      <x:c r="A902" s="19" t="str">
        <x:v>W13-20261203-0901</x:v>
      </x:c>
      <x:c r="B902" s="13" t="n">
        <x:v>13</x:v>
      </x:c>
      <x:c r="C902" s="13" t="str">
        <x:v>Этап 4 — Типы хвата и специфическая сила пальцев</x:v>
      </x:c>
      <x:c r="D902" s="138" t="str">
        <x:v>2026-12-03</x:v>
      </x:c>
      <x:c r="E902" s="13" t="str">
        <x:v>Четверг</x:v>
      </x:c>
      <x:c r="F902" s="13" t="str">
        <x:v>Тренировка B — пальцы/проект</x:v>
      </x:c>
      <x:c r="G902" s="44" t="n">
        <x:v>0.009027777777777777</x:v>
      </x:c>
      <x:c r="H902" s="44" t="n">
        <x:v>0.011805555555555555</x:v>
      </x:c>
      <x:c r="I902" s="32" t="n">
        <x:f>ROUND((H902-G902)*1440,0)</x:f>
        <x:v>4</x:v>
      </x:c>
      <x:c r="J902" s="13" t="str">
        <x:v>Разминка пальцев</x:v>
      </x:c>
      <x:c r="K902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902" s="13" t="str">
        <x:v>☐ Не начато</x:v>
      </x:c>
      <x:c r="M902" s="13" t="str">
        <x:v>Обязательно</x:v>
      </x:c>
      <x:c r="N902" s="13" t="str">
        <x:v>Очень легко</x:v>
      </x:c>
      <x:c r="O902" s="13" t="str"/>
      <x:c r="P902" s="13" t="str">
        <x:v>milestone_04_grip_literacy_strength/week_13_2026-11-30/04_THURSDAY.md</x:v>
      </x:c>
      <x:c r="Q902" s="138" t="str">
        <x:v>Markdown</x:v>
      </x:c>
      <x:c r="R902" s="20" t="str"/>
    </x:row>
    <x:row r="903" ht="36" customHeight="1">
      <x:c r="A903" s="19" t="str">
        <x:v>W13-20261203-0902</x:v>
      </x:c>
      <x:c r="B903" s="13" t="n">
        <x:v>13</x:v>
      </x:c>
      <x:c r="C903" s="13" t="str">
        <x:v>Этап 4 — Типы хвата и специфическая сила пальцев</x:v>
      </x:c>
      <x:c r="D903" s="138" t="str">
        <x:v>2026-12-03</x:v>
      </x:c>
      <x:c r="E903" s="13" t="str">
        <x:v>Четверг</x:v>
      </x:c>
      <x:c r="F903" s="13" t="str">
        <x:v>Тренировка B — пальцы/проект</x:v>
      </x:c>
      <x:c r="G903" s="44" t="n">
        <x:v>0.011805555555555555</x:v>
      </x:c>
      <x:c r="H903" s="44" t="n">
        <x:v>0.014583333333333334</x:v>
      </x:c>
      <x:c r="I903" s="32" t="n">
        <x:f>ROUND((H903-G903)*1440,0)</x:f>
        <x:v>4</x:v>
      </x:c>
      <x:c r="J903" s="13" t="str">
        <x:v>Разминочное лазание</x:v>
      </x:c>
      <x:c r="K903" s="13" t="str">
        <x:v>Пройди 2 очень лёгкие трассы уровня 1–2; двигайся медленно, спускайся по зацепам.</x:v>
      </x:c>
      <x:c r="L903" s="13" t="str">
        <x:v>☐ Не начато</x:v>
      </x:c>
      <x:c r="M903" s="13" t="str">
        <x:v>Обязательно</x:v>
      </x:c>
      <x:c r="N903" s="13" t="str">
        <x:v>RPE 2–3</x:v>
      </x:c>
      <x:c r="O903" s="13" t="str">
        <x:v>Финиш с обязательным болезненным mantle/press пропусти.</x:v>
      </x:c>
      <x:c r="P903" s="13" t="str">
        <x:v>milestone_04_grip_literacy_strength/week_13_2026-11-30/04_THURSDAY.md</x:v>
      </x:c>
      <x:c r="Q903" s="138" t="str">
        <x:v>Markdown</x:v>
      </x:c>
      <x:c r="R903" s="20" t="str"/>
    </x:row>
    <x:row r="904" ht="36" customHeight="1">
      <x:c r="A904" s="19" t="str">
        <x:v>W13-20261203-0903</x:v>
      </x:c>
      <x:c r="B904" s="13" t="n">
        <x:v>13</x:v>
      </x:c>
      <x:c r="C904" s="13" t="str">
        <x:v>Этап 4 — Типы хвата и специфическая сила пальцев</x:v>
      </x:c>
      <x:c r="D904" s="138" t="str">
        <x:v>2026-12-03</x:v>
      </x:c>
      <x:c r="E904" s="13" t="str">
        <x:v>Четверг</x:v>
      </x:c>
      <x:c r="F904" s="13" t="str">
        <x:v>Тренировка B — пальцы/проект</x:v>
      </x:c>
      <x:c r="G904" s="44" t="n">
        <x:v>0.014583333333333334</x:v>
      </x:c>
      <x:c r="H904" s="44" t="n">
        <x:v>0.017361111111111112</x:v>
      </x:c>
      <x:c r="I904" s="32" t="n">
        <x:f>ROUND((H904-G904)*1440,0)</x:f>
        <x:v>4</x:v>
      </x:c>
      <x:c r="J904" s="13" t="str">
        <x:v>Разминочное лазание</x:v>
      </x:c>
      <x:c r="K904" s="13" t="str">
        <x:v>Пройди 2 трассы уровня 2–3, затем сделай 2–3 движения на комфортной четвёрке. Между ними 45–60 секунд.</x:v>
      </x:c>
      <x:c r="L904" s="13" t="str">
        <x:v>☐ Не начато</x:v>
      </x:c>
      <x:c r="M904" s="13" t="str">
        <x:v>Обязательно</x:v>
      </x:c>
      <x:c r="N904" s="13" t="str">
        <x:v>RPE 3–4</x:v>
      </x:c>
      <x:c r="O904" s="13" t="str">
        <x:v>Разминка не должна утомить пальцы.</x:v>
      </x:c>
      <x:c r="P904" s="13" t="str">
        <x:v>milestone_04_grip_literacy_strength/week_13_2026-11-30/04_THURSDAY.md</x:v>
      </x:c>
      <x:c r="Q904" s="138" t="str">
        <x:v>Markdown</x:v>
      </x:c>
      <x:c r="R904" s="20" t="str"/>
    </x:row>
    <x:row r="905" ht="36" customHeight="1">
      <x:c r="A905" s="19" t="str">
        <x:v>W13-20261203-0904</x:v>
      </x:c>
      <x:c r="B905" s="13" t="n">
        <x:v>13</x:v>
      </x:c>
      <x:c r="C905" s="13" t="str">
        <x:v>Этап 4 — Типы хвата и специфическая сила пальцев</x:v>
      </x:c>
      <x:c r="D905" s="138" t="str">
        <x:v>2026-12-03</x:v>
      </x:c>
      <x:c r="E905" s="13" t="str">
        <x:v>Четверг</x:v>
      </x:c>
      <x:c r="F905" s="13" t="str">
        <x:v>Тренировка B — пальцы/проект</x:v>
      </x:c>
      <x:c r="G905" s="44" t="n">
        <x:v>0.017361111111111112</x:v>
      </x:c>
      <x:c r="H905" s="44" t="n">
        <x:v>0.019444444444444445</x:v>
      </x:c>
      <x:c r="I905" s="32" t="n">
        <x:f>ROUND((H905-G905)*1440,0)</x:f>
        <x:v>3</x:v>
      </x:c>
      <x:c r="J905" s="13" t="str">
        <x:v>Фингерборд — готовность</x:v>
      </x:c>
      <x:c r="K905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905" s="13" t="str">
        <x:v>☐ Не начато</x:v>
      </x:c>
      <x:c r="M905" s="13" t="str">
        <x:v>Обязательно</x:v>
      </x:c>
      <x:c r="N905" s="13" t="str">
        <x:v>Подготовка</x:v>
      </x:c>
      <x:c r="O905" s="13" t="str">
        <x:v>Плечо полностью спокойно; full crimp, карманы, одна рука и допвес запрещены.</x:v>
      </x:c>
      <x:c r="P905" s="13" t="str">
        <x:v>milestone_04_grip_literacy_strength/week_13_2026-11-30/04_THURSDAY.md</x:v>
      </x:c>
      <x:c r="Q905" s="138" t="str">
        <x:v>Markdown</x:v>
      </x:c>
      <x:c r="R905" s="20" t="str"/>
    </x:row>
    <x:row r="906" ht="36" customHeight="1">
      <x:c r="A906" s="19" t="str">
        <x:v>W13-20261203-0905</x:v>
      </x:c>
      <x:c r="B906" s="13" t="n">
        <x:v>13</x:v>
      </x:c>
      <x:c r="C906" s="13" t="str">
        <x:v>Этап 4 — Типы хвата и специфическая сила пальцев</x:v>
      </x:c>
      <x:c r="D906" s="138" t="str">
        <x:v>2026-12-03</x:v>
      </x:c>
      <x:c r="E906" s="13" t="str">
        <x:v>Четверг</x:v>
      </x:c>
      <x:c r="F906" s="13" t="str">
        <x:v>Тренировка B — пальцы/проект</x:v>
      </x:c>
      <x:c r="G906" s="44" t="n">
        <x:v>0.019444444444444445</x:v>
      </x:c>
      <x:c r="H906" s="44" t="n">
        <x:v>0.029861111111111113</x:v>
      </x:c>
      <x:c r="I906" s="32" t="n">
        <x:f>ROUND((H906-G906)*1440,0)</x:f>
        <x:v>15</x:v>
      </x:c>
      <x:c r="J906" s="13" t="str">
        <x:v>Фингерборд</x:v>
      </x:c>
      <x:c r="K906" s="13" t="str">
        <x:v>Выполни протокол: 5 × 10 сек, большая кромка, ноги помогают, RPE 7, отдых 2:30. Запусти таймер. Каждый вис прекращай с указанным запасом; форма кисти не меняется.</x:v>
      </x:c>
      <x:c r="L906" s="13" t="str">
        <x:v>☐ Не начато</x:v>
      </x:c>
      <x:c r="M906" s="13" t="str">
        <x:v>Обязательно</x:v>
      </x:c>
      <x:c r="N906" s="13" t="str">
        <x:v>5 × 10 сек, большая кромка, ноги помогают, RPE 7, отдых 2:30</x:v>
      </x:c>
      <x:c r="O906" s="13" t="str">
        <x:v>Острая боль, дрожь формы, падение RPE-контроля или боль плеча = закончить блок.</x:v>
      </x:c>
      <x:c r="P906" s="13" t="str">
        <x:v>milestone_04_grip_literacy_strength/week_13_2026-11-30/04_THURSDAY.md</x:v>
      </x:c>
      <x:c r="Q906" s="138" t="str">
        <x:v>Markdown</x:v>
      </x:c>
      <x:c r="R906" s="20" t="str"/>
    </x:row>
    <x:row r="907" ht="36" customHeight="1">
      <x:c r="A907" s="19" t="str">
        <x:v>W13-20261203-0906</x:v>
      </x:c>
      <x:c r="B907" s="13" t="n">
        <x:v>13</x:v>
      </x:c>
      <x:c r="C907" s="13" t="str">
        <x:v>Этап 4 — Типы хвата и специфическая сила пальцев</x:v>
      </x:c>
      <x:c r="D907" s="138" t="str">
        <x:v>2026-12-03</x:v>
      </x:c>
      <x:c r="E907" s="13" t="str">
        <x:v>Четверг</x:v>
      </x:c>
      <x:c r="F907" s="13" t="str">
        <x:v>Тренировка B — пальцы/проект</x:v>
      </x:c>
      <x:c r="G907" s="44" t="n">
        <x:v>0.029861111111111113</x:v>
      </x:c>
      <x:c r="H907" s="44" t="n">
        <x:v>0.03194444444444444</x:v>
      </x:c>
      <x:c r="I907" s="32" t="n">
        <x:f>ROUND((H907-G907)*1440,0)</x:f>
        <x:v>3</x:v>
      </x:c>
      <x:c r="J907" s="13" t="str">
        <x:v>Фингерборд — запись</x:v>
      </x:c>
      <x:c r="K907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907" s="13" t="str">
        <x:v>☐ Не начато</x:v>
      </x:c>
      <x:c r="M907" s="13" t="str">
        <x:v>Обязательно</x:v>
      </x:c>
      <x:c r="N907" s="13" t="str">
        <x:v>Без нагрузки</x:v>
      </x:c>
      <x:c r="O907" s="13" t="str"/>
      <x:c r="P907" s="13" t="str">
        <x:v>milestone_04_grip_literacy_strength/week_13_2026-11-30/04_THURSDAY.md</x:v>
      </x:c>
      <x:c r="Q907" s="138" t="str">
        <x:v>Markdown</x:v>
      </x:c>
      <x:c r="R907" s="20" t="str"/>
    </x:row>
    <x:row r="908" ht="36" customHeight="1">
      <x:c r="A908" s="19" t="str">
        <x:v>W13-20261203-0907</x:v>
      </x:c>
      <x:c r="B908" s="13" t="n">
        <x:v>13</x:v>
      </x:c>
      <x:c r="C908" s="13" t="str">
        <x:v>Этап 4 — Типы хвата и специфическая сила пальцев</x:v>
      </x:c>
      <x:c r="D908" s="138" t="str">
        <x:v>2026-12-03</x:v>
      </x:c>
      <x:c r="E908" s="13" t="str">
        <x:v>Четверг</x:v>
      </x:c>
      <x:c r="F908" s="13" t="str">
        <x:v>Тренировка B — пальцы/проект</x:v>
      </x:c>
      <x:c r="G908" s="44" t="n">
        <x:v>0.03194444444444444</x:v>
      </x:c>
      <x:c r="H908" s="44" t="n">
        <x:v>0.035416666666666666</x:v>
      </x:c>
      <x:c r="I908" s="32" t="n">
        <x:f>ROUND((H908-G908)*1440,0)</x:f>
        <x:v>5</x:v>
      </x:c>
      <x:c r="J908" s="13" t="str">
        <x:v>Отдых</x:v>
      </x:c>
      <x:c r="K908" s="13" t="str">
        <x:v>5 минут полного отдыха: ходьба, вода, без лазания и без тестового виса.</x:v>
      </x:c>
      <x:c r="L908" s="13" t="str">
        <x:v>☐ Не начато</x:v>
      </x:c>
      <x:c r="M908" s="13" t="str">
        <x:v>Обязательно</x:v>
      </x:c>
      <x:c r="N908" s="13" t="str">
        <x:v>Восстановление</x:v>
      </x:c>
      <x:c r="O908" s="13" t="str"/>
      <x:c r="P908" s="13" t="str">
        <x:v>milestone_04_grip_literacy_strength/week_13_2026-11-30/04_THURSDAY.md</x:v>
      </x:c>
      <x:c r="Q908" s="138" t="str">
        <x:v>Markdown</x:v>
      </x:c>
      <x:c r="R908" s="20" t="str"/>
    </x:row>
    <x:row r="909" ht="36" customHeight="1">
      <x:c r="A909" s="19" t="str">
        <x:v>W13-20261203-0908</x:v>
      </x:c>
      <x:c r="B909" s="13" t="n">
        <x:v>13</x:v>
      </x:c>
      <x:c r="C909" s="13" t="str">
        <x:v>Этап 4 — Типы хвата и специфическая сила пальцев</x:v>
      </x:c>
      <x:c r="D909" s="138" t="str">
        <x:v>2026-12-03</x:v>
      </x:c>
      <x:c r="E909" s="13" t="str">
        <x:v>Четверг</x:v>
      </x:c>
      <x:c r="F909" s="13" t="str">
        <x:v>Тренировка B — пальцы/проект</x:v>
      </x:c>
      <x:c r="G909" s="44" t="n">
        <x:v>0.035416666666666666</x:v>
      </x:c>
      <x:c r="H909" s="44" t="n">
        <x:v>0.03819444444444445</x:v>
      </x:c>
      <x:c r="I909" s="32" t="n">
        <x:f>ROUND((H909-G909)*1440,0)</x:f>
        <x:v>4</x:v>
      </x:c>
      <x:c r="J909" s="13" t="str">
        <x:v>Выбор проекта</x:v>
      </x:c>
      <x:c r="K909" s="13" t="str">
        <x:v>Выбери трассу по критериям недели: Пятёрка на кромках + шестёрка с хотя бы одной рабочей кромкой, но без острых микрозацепов.</x:v>
      </x:c>
      <x:c r="L909" s="13" t="str">
        <x:v>☐ Не начато</x:v>
      </x:c>
      <x:c r="M909" s="13" t="str">
        <x:v>Обязательно</x:v>
      </x:c>
      <x:c r="N909" s="13" t="str">
        <x:v>Без нагрузки</x:v>
      </x:c>
      <x:c r="O909" s="13" t="str">
        <x:v>Острая локальная боль в пальце — стоп. Full crimp на фингерборде не использовать.</x:v>
      </x:c>
      <x:c r="P909" s="13" t="str">
        <x:v>milestone_04_grip_literacy_strength/week_13_2026-11-30/04_THURSDAY.md</x:v>
      </x:c>
      <x:c r="Q909" s="138" t="str">
        <x:v>Markdown</x:v>
      </x:c>
      <x:c r="R909" s="20" t="str"/>
    </x:row>
    <x:row r="910" ht="36" customHeight="1">
      <x:c r="A910" s="19" t="str">
        <x:v>W13-20261203-0909</x:v>
      </x:c>
      <x:c r="B910" s="13" t="n">
        <x:v>13</x:v>
      </x:c>
      <x:c r="C910" s="13" t="str">
        <x:v>Этап 4 — Типы хвата и специфическая сила пальцев</x:v>
      </x:c>
      <x:c r="D910" s="138" t="str">
        <x:v>2026-12-03</x:v>
      </x:c>
      <x:c r="E910" s="13" t="str">
        <x:v>Четверг</x:v>
      </x:c>
      <x:c r="F910" s="13" t="str">
        <x:v>Тренировка B — пальцы/проект</x:v>
      </x:c>
      <x:c r="G910" s="44" t="n">
        <x:v>0.03819444444444445</x:v>
      </x:c>
      <x:c r="H910" s="44" t="n">
        <x:v>0.041666666666666664</x:v>
      </x:c>
      <x:c r="I910" s="32" t="n">
        <x:f>ROUND((H910-G910)*1440,0)</x:f>
        <x:v>5</x:v>
      </x:c>
      <x:c r="J910" s="13" t="str">
        <x:v>Проект — попытка 1</x:v>
      </x:c>
      <x:c r="K910" s="13" t="str">
        <x:v>Сделай первую полную диагностическую попытку. После падения не повторяй сразу: назови точную причину.</x:v>
      </x:c>
      <x:c r="L910" s="13" t="str">
        <x:v>☐ Не начато</x:v>
      </x:c>
      <x:c r="M910" s="13" t="str">
        <x:v>Обязательно</x:v>
      </x:c>
      <x:c r="N910" s="13" t="str">
        <x:v>RPE 7–8</x:v>
      </x:c>
      <x:c r="O910" s="13" t="str">
        <x:v>Прекратить движение при боли, а не после падения.</x:v>
      </x:c>
      <x:c r="P910" s="13" t="str">
        <x:v>milestone_04_grip_literacy_strength/week_13_2026-11-30/04_THURSDAY.md</x:v>
      </x:c>
      <x:c r="Q910" s="138" t="str">
        <x:v>Markdown</x:v>
      </x:c>
      <x:c r="R910" s="20" t="str"/>
    </x:row>
    <x:row r="911" ht="36" customHeight="1">
      <x:c r="A911" s="19" t="str">
        <x:v>W13-20261203-0910</x:v>
      </x:c>
      <x:c r="B911" s="13" t="n">
        <x:v>13</x:v>
      </x:c>
      <x:c r="C911" s="13" t="str">
        <x:v>Этап 4 — Типы хвата и специфическая сила пальцев</x:v>
      </x:c>
      <x:c r="D911" s="138" t="str">
        <x:v>2026-12-03</x:v>
      </x:c>
      <x:c r="E911" s="13" t="str">
        <x:v>Четверг</x:v>
      </x:c>
      <x:c r="F911" s="13" t="str">
        <x:v>Тренировка B — пальцы/проект</x:v>
      </x:c>
      <x:c r="G911" s="44" t="n">
        <x:v>0.041666666666666664</x:v>
      </x:c>
      <x:c r="H911" s="44" t="n">
        <x:v>0.04513888888888889</x:v>
      </x:c>
      <x:c r="I911" s="32" t="n">
        <x:f>ROUND((H911-G911)*1440,0)</x:f>
        <x:v>5</x:v>
      </x:c>
      <x:c r="J911" s="13" t="str">
        <x:v>Отдых / гипотеза</x:v>
      </x:c>
      <x:c r="K911" s="13" t="str">
        <x:v>Отдых 4–5 минут. Запиши одну гипотезу: стопа, положение таза, хват или темп.</x:v>
      </x:c>
      <x:c r="L911" s="13" t="str">
        <x:v>☐ Не начато</x:v>
      </x:c>
      <x:c r="M911" s="13" t="str">
        <x:v>Обязательно</x:v>
      </x:c>
      <x:c r="N911" s="13" t="str">
        <x:v>Восстановление</x:v>
      </x:c>
      <x:c r="O911" s="13" t="str"/>
      <x:c r="P911" s="13" t="str">
        <x:v>milestone_04_grip_literacy_strength/week_13_2026-11-30/04_THURSDAY.md</x:v>
      </x:c>
      <x:c r="Q911" s="138" t="str">
        <x:v>Markdown</x:v>
      </x:c>
      <x:c r="R911" s="20" t="str"/>
    </x:row>
    <x:row r="912" ht="36" customHeight="1">
      <x:c r="A912" s="19" t="str">
        <x:v>W13-20261203-0911</x:v>
      </x:c>
      <x:c r="B912" s="13" t="n">
        <x:v>13</x:v>
      </x:c>
      <x:c r="C912" s="13" t="str">
        <x:v>Этап 4 — Типы хвата и специфическая сила пальцев</x:v>
      </x:c>
      <x:c r="D912" s="138" t="str">
        <x:v>2026-12-03</x:v>
      </x:c>
      <x:c r="E912" s="13" t="str">
        <x:v>Четверг</x:v>
      </x:c>
      <x:c r="F912" s="13" t="str">
        <x:v>Тренировка B — пальцы/проект</x:v>
      </x:c>
      <x:c r="G912" s="44" t="n">
        <x:v>0.04513888888888889</x:v>
      </x:c>
      <x:c r="H912" s="44" t="n">
        <x:v>0.049305555555555554</x:v>
      </x:c>
      <x:c r="I912" s="32" t="n">
        <x:f>ROUND((H912-G912)*1440,0)</x:f>
        <x:v>6</x:v>
      </x:c>
      <x:c r="J912" s="13" t="str">
        <x:v>Проект — попытки 2–3</x:v>
      </x:c>
      <x:c r="K912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912" s="13" t="str">
        <x:v>☐ Не начато</x:v>
      </x:c>
      <x:c r="M912" s="13" t="str">
        <x:v>Обязательно</x:v>
      </x:c>
      <x:c r="N912" s="13" t="str">
        <x:v>RPE 7–8, без отказа</x:v>
      </x:c>
      <x:c r="O912" s="13" t="str">
        <x:v>Не смотреть beta заранее: сначала собственная гипотеза.</x:v>
      </x:c>
      <x:c r="P912" s="13" t="str">
        <x:v>milestone_04_grip_literacy_strength/week_13_2026-11-30/04_THURSDAY.md</x:v>
      </x:c>
      <x:c r="Q912" s="138" t="str">
        <x:v>Markdown</x:v>
      </x:c>
      <x:c r="R912" s="20" t="str"/>
    </x:row>
    <x:row r="913" ht="36" customHeight="1">
      <x:c r="A913" s="19" t="str">
        <x:v>W13-20261203-0912</x:v>
      </x:c>
      <x:c r="B913" s="13" t="n">
        <x:v>13</x:v>
      </x:c>
      <x:c r="C913" s="13" t="str">
        <x:v>Этап 4 — Типы хвата и специфическая сила пальцев</x:v>
      </x:c>
      <x:c r="D913" s="138" t="str">
        <x:v>2026-12-03</x:v>
      </x:c>
      <x:c r="E913" s="13" t="str">
        <x:v>Четверг</x:v>
      </x:c>
      <x:c r="F913" s="13" t="str">
        <x:v>Тренировка B — пальцы/проект</x:v>
      </x:c>
      <x:c r="G913" s="44" t="n">
        <x:v>0.049305555555555554</x:v>
      </x:c>
      <x:c r="H913" s="44" t="n">
        <x:v>0.05277777777777778</x:v>
      </x:c>
      <x:c r="I913" s="32" t="n">
        <x:f>ROUND((H913-G913)*1440,0)</x:f>
        <x:v>5</x:v>
      </x:c>
      <x:c r="J913" s="13" t="str">
        <x:v>Проект — заключительная попытка</x:v>
      </x:c>
      <x:c r="K913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913" s="13" t="str">
        <x:v>☐ Не начато</x:v>
      </x:c>
      <x:c r="M913" s="13" t="str">
        <x:v>Обязательно</x:v>
      </x:c>
      <x:c r="N913" s="13" t="str">
        <x:v>RPE 8, с запасом</x:v>
      </x:c>
      <x:c r="O913" s="13" t="str">
        <x:v>Острая локальная боль в пальце — стоп. Full crimp на фингерборде не использовать.</x:v>
      </x:c>
      <x:c r="P913" s="13" t="str">
        <x:v>milestone_04_grip_literacy_strength/week_13_2026-11-30/04_THURSDAY.md</x:v>
      </x:c>
      <x:c r="Q913" s="138" t="str">
        <x:v>Markdown</x:v>
      </x:c>
      <x:c r="R913" s="20" t="str"/>
    </x:row>
    <x:row r="914" ht="36" customHeight="1">
      <x:c r="A914" s="19" t="str">
        <x:v>W13-20261203-0913</x:v>
      </x:c>
      <x:c r="B914" s="13" t="n">
        <x:v>13</x:v>
      </x:c>
      <x:c r="C914" s="13" t="str">
        <x:v>Этап 4 — Типы хвата и специфическая сила пальцев</x:v>
      </x:c>
      <x:c r="D914" s="138" t="str">
        <x:v>2026-12-03</x:v>
      </x:c>
      <x:c r="E914" s="13" t="str">
        <x:v>Четверг</x:v>
      </x:c>
      <x:c r="F914" s="13" t="str">
        <x:v>Тренировка B — пальцы/проект</x:v>
      </x:c>
      <x:c r="G914" s="44" t="n">
        <x:v>0.05277777777777778</x:v>
      </x:c>
      <x:c r="H914" s="44" t="n">
        <x:v>0.05763888888888889</x:v>
      </x:c>
      <x:c r="I914" s="32" t="n">
        <x:f>ROUND((H914-G914)*1440,0)</x:f>
        <x:v>7</x:v>
      </x:c>
      <x:c r="J914" s="13" t="str">
        <x:v>Вторичная трасса</x:v>
      </x:c>
      <x:c r="K914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914" s="13" t="str">
        <x:v>☐ Не начато</x:v>
      </x:c>
      <x:c r="M914" s="13" t="str">
        <x:v>Обязательно</x:v>
      </x:c>
      <x:c r="N914" s="13" t="str">
        <x:v>RPE 5–7</x:v>
      </x:c>
      <x:c r="O914" s="13" t="str">
        <x:v>Пропустить, если хват уже просел.</x:v>
      </x:c>
      <x:c r="P914" s="13" t="str">
        <x:v>milestone_04_grip_literacy_strength/week_13_2026-11-30/04_THURSDAY.md</x:v>
      </x:c>
      <x:c r="Q914" s="138" t="str">
        <x:v>Markdown</x:v>
      </x:c>
      <x:c r="R914" s="20" t="str"/>
    </x:row>
    <x:row r="915" ht="36" customHeight="1">
      <x:c r="A915" s="19" t="str">
        <x:v>W13-20261203-0914</x:v>
      </x:c>
      <x:c r="B915" s="13" t="n">
        <x:v>13</x:v>
      </x:c>
      <x:c r="C915" s="13" t="str">
        <x:v>Этап 4 — Типы хвата и специфическая сила пальцев</x:v>
      </x:c>
      <x:c r="D915" s="138" t="str">
        <x:v>2026-12-03</x:v>
      </x:c>
      <x:c r="E915" s="13" t="str">
        <x:v>Четверг</x:v>
      </x:c>
      <x:c r="F915" s="13" t="str">
        <x:v>Тренировка B — пальцы/проект</x:v>
      </x:c>
      <x:c r="G915" s="44" t="n">
        <x:v>0.05763888888888889</x:v>
      </x:c>
      <x:c r="H915" s="44" t="n">
        <x:v>0.06041666666666667</x:v>
      </x:c>
      <x:c r="I915" s="32" t="n">
        <x:f>ROUND((H915-G915)*1440,0)</x:f>
        <x:v>4</x:v>
      </x:c>
      <x:c r="J915" s="13" t="str">
        <x:v>Завершение</x:v>
      </x:c>
      <x:c r="K915" s="13" t="str">
        <x:v>Очень лёгкий спуск/ходьба, вода, никаких финишных висов.</x:v>
      </x:c>
      <x:c r="L915" s="13" t="str">
        <x:v>☐ Не начато</x:v>
      </x:c>
      <x:c r="M915" s="13" t="str">
        <x:v>Обязательно</x:v>
      </x:c>
      <x:c r="N915" s="13" t="str">
        <x:v>RPE 1–2</x:v>
      </x:c>
      <x:c r="O915" s="13" t="str"/>
      <x:c r="P915" s="13" t="str">
        <x:v>milestone_04_grip_literacy_strength/week_13_2026-11-30/04_THURSDAY.md</x:v>
      </x:c>
      <x:c r="Q915" s="138" t="str">
        <x:v>Markdown</x:v>
      </x:c>
      <x:c r="R915" s="20" t="str"/>
    </x:row>
    <x:row r="916" ht="36" customHeight="1">
      <x:c r="A916" s="19" t="str">
        <x:v>W13-20261203-0915</x:v>
      </x:c>
      <x:c r="B916" s="13" t="n">
        <x:v>13</x:v>
      </x:c>
      <x:c r="C916" s="13" t="str">
        <x:v>Этап 4 — Типы хвата и специфическая сила пальцев</x:v>
      </x:c>
      <x:c r="D916" s="138" t="str">
        <x:v>2026-12-03</x:v>
      </x:c>
      <x:c r="E916" s="13" t="str">
        <x:v>Четверг</x:v>
      </x:c>
      <x:c r="F916" s="13" t="str">
        <x:v>Тренировка B — пальцы/проект</x:v>
      </x:c>
      <x:c r="G916" s="44" t="n">
        <x:v>0.06041666666666667</x:v>
      </x:c>
      <x:c r="H916" s="44" t="n">
        <x:v>0.0625</x:v>
      </x:c>
      <x:c r="I916" s="32" t="n">
        <x:f>ROUND((H916-G916)*1440,0)</x:f>
        <x:v>3</x:v>
      </x:c>
      <x:c r="J916" s="13" t="str">
        <x:v>Журнал</x:v>
      </x:c>
      <x:c r="K916" s="13" t="str">
        <x:v>Запиши попытки, лучшую связку, одну правку и benchmark: Все 5 висов одинаковы по форме; запас не менее 2–3 секунд в каждом.</x:v>
      </x:c>
      <x:c r="L916" s="13" t="str">
        <x:v>☐ Не начато</x:v>
      </x:c>
      <x:c r="M916" s="13" t="str">
        <x:v>Обязательно</x:v>
      </x:c>
      <x:c r="N916" s="13" t="str">
        <x:v>Без нагрузки</x:v>
      </x:c>
      <x:c r="O916" s="13" t="str"/>
      <x:c r="P916" s="13" t="str">
        <x:v>milestone_04_grip_literacy_strength/week_13_2026-11-30/04_THURSDAY.md</x:v>
      </x:c>
      <x:c r="Q916" s="138" t="str">
        <x:v>Markdown</x:v>
      </x:c>
      <x:c r="R916" s="20" t="str"/>
    </x:row>
    <x:row r="917" ht="36" customHeight="1">
      <x:c r="A917" s="19" t="str">
        <x:v>W13-20261204-0916</x:v>
      </x:c>
      <x:c r="B917" s="13" t="n">
        <x:v>13</x:v>
      </x:c>
      <x:c r="C917" s="13" t="str">
        <x:v>Этап 4 — Типы хвата и специфическая сила пальцев</x:v>
      </x:c>
      <x:c r="D917" s="138" t="str">
        <x:v>2026-12-04</x:v>
      </x:c>
      <x:c r="E917" s="13" t="str">
        <x:v>Пятница</x:v>
      </x:c>
      <x:c r="F917" s="13" t="str">
        <x:v>Дом / теория</x:v>
      </x:c>
      <x:c r="G917" s="44" t="n">
        <x:v>0</x:v>
      </x:c>
      <x:c r="H917" s="44" t="n">
        <x:v>0.0020833333333333333</x:v>
      </x:c>
      <x:c r="I917" s="32" t="n">
        <x:f>ROUND((H917-G917)*1440,0)</x:f>
        <x:v>3</x:v>
      </x:c>
      <x:c r="J917" s="13" t="str">
        <x:v>Самопроверка</x:v>
      </x:c>
      <x:c r="K917" s="13" t="str">
        <x:v>Оцени утреннюю реакцию после четверга: пальцы/плечо/колено 0–10. Запиши, восстановилась ли обычная сила кисти.</x:v>
      </x:c>
      <x:c r="L917" s="13" t="str">
        <x:v>☐ Не начато</x:v>
      </x:c>
      <x:c r="M917" s="13" t="str">
        <x:v>Обязательно</x:v>
      </x:c>
      <x:c r="N917" s="13" t="str">
        <x:v>Без нагрузки</x:v>
      </x:c>
      <x:c r="O917" s="13" t="str">
        <x:v>Острая локальная боль пальца или усилившаяся боль плеча = воскресенье только восстановительное.</x:v>
      </x:c>
      <x:c r="P917" s="13" t="str">
        <x:v>milestone_04_grip_literacy_strength/week_13_2026-11-30/05_FRIDAY.md</x:v>
      </x:c>
      <x:c r="Q917" s="138" t="str">
        <x:v>Markdown</x:v>
      </x:c>
      <x:c r="R917" s="20" t="str"/>
    </x:row>
    <x:row r="918" ht="36" customHeight="1">
      <x:c r="A918" s="19" t="str">
        <x:v>W13-20261204-0917</x:v>
      </x:c>
      <x:c r="B918" s="13" t="n">
        <x:v>13</x:v>
      </x:c>
      <x:c r="C918" s="13" t="str">
        <x:v>Этап 4 — Типы хвата и специфическая сила пальцев</x:v>
      </x:c>
      <x:c r="D918" s="138" t="str">
        <x:v>2026-12-04</x:v>
      </x:c>
      <x:c r="E918" s="13" t="str">
        <x:v>Пятница</x:v>
      </x:c>
      <x:c r="F918" s="13" t="str">
        <x:v>Дом / теория</x:v>
      </x:c>
      <x:c r="G918" s="44" t="n">
        <x:v>0.0020833333333333333</x:v>
      </x:c>
      <x:c r="H918" s="44" t="n">
        <x:v>0.009027777777777777</x:v>
      </x:c>
      <x:c r="I918" s="32" t="n">
        <x:f>ROUND((H918-G918)*1440,0)</x:f>
        <x:v>10</x:v>
      </x:c>
      <x:c r="J918" s="13" t="str">
        <x:v>Теория</x:v>
      </x:c>
      <x:c r="K918" s="13" t="str">
        <x:v>Посмотри/прочитай второй ресурс недели: [R14: BMC — How to start fingerboarding](https://www.thebmc.co.uk/en/how-to-start-fingerboarding-with-gb-climbing-coach-rachel-carr-video). Задача: Только техника положения кисти/плеча. Не копировать чужую тяжёлую программу: в плане используется облегчённый вис с ногами.</x:v>
      </x:c>
      <x:c r="L918" s="13" t="str">
        <x:v>☐ Не начато</x:v>
      </x:c>
      <x:c r="M918" s="13" t="str">
        <x:v>Обязательно</x:v>
      </x:c>
      <x:c r="N918" s="13" t="str">
        <x:v>Без нагрузки</x:v>
      </x:c>
      <x:c r="O918" s="13" t="str"/>
      <x:c r="P918" s="13" t="str">
        <x:v>milestone_04_grip_literacy_strength/week_13_2026-11-30/05_FRIDAY.md</x:v>
      </x:c>
      <x:c r="Q918" s="138" t="str">
        <x:v>Markdown</x:v>
      </x:c>
      <x:c r="R918" s="20" t="str"/>
    </x:row>
    <x:row r="919" ht="36" customHeight="1">
      <x:c r="A919" s="19" t="str">
        <x:v>W13-20261204-0918</x:v>
      </x:c>
      <x:c r="B919" s="13" t="n">
        <x:v>13</x:v>
      </x:c>
      <x:c r="C919" s="13" t="str">
        <x:v>Этап 4 — Типы хвата и специфическая сила пальцев</x:v>
      </x:c>
      <x:c r="D919" s="138" t="str">
        <x:v>2026-12-04</x:v>
      </x:c>
      <x:c r="E919" s="13" t="str">
        <x:v>Пятница</x:v>
      </x:c>
      <x:c r="F919" s="13" t="str">
        <x:v>Дом / теория</x:v>
      </x:c>
      <x:c r="G919" s="44" t="n">
        <x:v>0.009027777777777777</x:v>
      </x:c>
      <x:c r="H919" s="44" t="n">
        <x:v>0.013194444444444444</x:v>
      </x:c>
      <x:c r="I919" s="32" t="n">
        <x:f>ROUND((H919-G919)*1440,0)</x:f>
        <x:v>6</x:v>
      </x:c>
      <x:c r="J919" s="13" t="str">
        <x:v>Ментальная репетиция</x:v>
      </x:c>
      <x:c r="K919" s="13" t="str">
        <x:v>Закрой глаза и 3 раза мысленно пройди одну рабочую трассу: руки → ноги → положение таза → дыхание. Визуализируй cue «Положение пальцев выбирается заранее и остаётся стабильным; большой палец не накрывает указательный.».</x:v>
      </x:c>
      <x:c r="L919" s="13" t="str">
        <x:v>☐ Не начато</x:v>
      </x:c>
      <x:c r="M919" s="13" t="str">
        <x:v>Обязательно</x:v>
      </x:c>
      <x:c r="N919" s="13" t="str">
        <x:v>Без нагрузки</x:v>
      </x:c>
      <x:c r="O919" s="13" t="str"/>
      <x:c r="P919" s="13" t="str">
        <x:v>milestone_04_grip_literacy_strength/week_13_2026-11-30/05_FRIDAY.md</x:v>
      </x:c>
      <x:c r="Q919" s="138" t="str">
        <x:v>Markdown</x:v>
      </x:c>
      <x:c r="R919" s="20" t="str"/>
    </x:row>
    <x:row r="920" ht="36" customHeight="1">
      <x:c r="A920" s="19" t="str">
        <x:v>W13-20261204-0919</x:v>
      </x:c>
      <x:c r="B920" s="13" t="n">
        <x:v>13</x:v>
      </x:c>
      <x:c r="C920" s="13" t="str">
        <x:v>Этап 4 — Типы хвата и специфическая сила пальцев</x:v>
      </x:c>
      <x:c r="D920" s="138" t="str">
        <x:v>2026-12-04</x:v>
      </x:c>
      <x:c r="E920" s="13" t="str">
        <x:v>Пятница</x:v>
      </x:c>
      <x:c r="F920" s="13" t="str">
        <x:v>Дом / теория</x:v>
      </x:c>
      <x:c r="G920" s="44" t="n">
        <x:v>0.013194444444444444</x:v>
      </x:c>
      <x:c r="H920" s="44" t="n">
        <x:v>0.021527777777777778</x:v>
      </x:c>
      <x:c r="I920" s="32" t="n">
        <x:f>ROUND((H920-G920)*1440,0)</x:f>
        <x:v>12</x:v>
      </x:c>
      <x:c r="J920" s="13" t="str">
        <x:v>Домашняя мобильность</x:v>
      </x:c>
      <x:c r="K920" s="13" t="str">
        <x:v>Выполни H3 «Мобильность таза и контроль корпуса» — 12 минут.</x:v>
      </x:c>
      <x:c r="L920" s="13" t="str">
        <x:v>☐ Не начато</x:v>
      </x:c>
      <x:c r="M920" s="13" t="str">
        <x:v>Обязательно</x:v>
      </x:c>
      <x:c r="N920" s="13" t="str">
        <x:v>RPE 2–3</x:v>
      </x:c>
      <x:c r="O920" s="13" t="str">
        <x:v>Никаких скручиваний через боль. Плечом не отталкивайся от стены; касание только для равновесия.</x:v>
      </x:c>
      <x:c r="P920" s="13" t="str">
        <x:v>milestone_04_grip_literacy_strength/week_13_2026-11-30/05_FRIDAY.md</x:v>
      </x:c>
      <x:c r="Q920" s="138" t="str">
        <x:v>Markdown</x:v>
      </x:c>
      <x:c r="R920" s="20" t="str"/>
    </x:row>
    <x:row r="921" ht="36" customHeight="1">
      <x:c r="A921" s="19" t="str">
        <x:v>W13-20261204-0920</x:v>
      </x:c>
      <x:c r="B921" s="13" t="n">
        <x:v>13</x:v>
      </x:c>
      <x:c r="C921" s="13" t="str">
        <x:v>Этап 4 — Типы хвата и специфическая сила пальцев</x:v>
      </x:c>
      <x:c r="D921" s="138" t="str">
        <x:v>2026-12-04</x:v>
      </x:c>
      <x:c r="E921" s="13" t="str">
        <x:v>Пятница</x:v>
      </x:c>
      <x:c r="F921" s="13" t="str">
        <x:v>Дом / теория</x:v>
      </x:c>
      <x:c r="G921" s="44" t="n">
        <x:v>0.021527777777777778</x:v>
      </x:c>
      <x:c r="H921" s="44" t="n">
        <x:v>0.035416666666666666</x:v>
      </x:c>
      <x:c r="I921" s="32" t="n">
        <x:f>ROUND((H921-G921)*1440,0)</x:f>
        <x:v>20</x:v>
      </x:c>
      <x:c r="J921" s="13" t="str">
        <x:v>Физиотерапия</x:v>
      </x:c>
      <x:c r="K921" s="13" t="str">
        <x:v>Выполни свой назначенный комплекс, если пятница входит в расписание физиотерапевта.</x:v>
      </x:c>
      <x:c r="L921" s="13" t="str">
        <x:v>☐ Не начато</x:v>
      </x:c>
      <x:c r="M921" s="13" t="str">
        <x:v>По назначению</x:v>
      </x:c>
      <x:c r="N921" s="13" t="str">
        <x:v>По назначению</x:v>
      </x:c>
      <x:c r="O921" s="13" t="str">
        <x:v>Не добавляй упражнения из интернета поверх назначений.</x:v>
      </x:c>
      <x:c r="P921" s="13" t="str">
        <x:v>milestone_04_grip_literacy_strength/week_13_2026-11-30/05_FRIDAY.md</x:v>
      </x:c>
      <x:c r="Q921" s="138" t="str">
        <x:v>Markdown</x:v>
      </x:c>
      <x:c r="R921" s="20" t="str"/>
    </x:row>
    <x:row r="922" ht="36" customHeight="1">
      <x:c r="A922" s="19" t="str">
        <x:v>W13-20261204-0921</x:v>
      </x:c>
      <x:c r="B922" s="13" t="n">
        <x:v>13</x:v>
      </x:c>
      <x:c r="C922" s="13" t="str">
        <x:v>Этап 4 — Типы хвата и специфическая сила пальцев</x:v>
      </x:c>
      <x:c r="D922" s="138" t="str">
        <x:v>2026-12-04</x:v>
      </x:c>
      <x:c r="E922" s="13" t="str">
        <x:v>Пятница</x:v>
      </x:c>
      <x:c r="F922" s="13" t="str">
        <x:v>Дом / теория</x:v>
      </x:c>
      <x:c r="G922" s="44" t="n">
        <x:v>0.035416666666666666</x:v>
      </x:c>
      <x:c r="H922" s="44" t="n">
        <x:v>0.03819444444444445</x:v>
      </x:c>
      <x:c r="I922" s="32" t="n">
        <x:f>ROUND((H922-G922)*1440,0)</x:f>
        <x:v>4</x:v>
      </x:c>
      <x:c r="J922" s="13" t="str">
        <x:v>Журнал</x:v>
      </x:c>
      <x:c r="K922" s="13" t="str">
        <x:v>Запиши одну вещь, которая сработала на этой неделе, и одну, которую повторишь в воскресенье на лёгкой трассе.</x:v>
      </x:c>
      <x:c r="L922" s="13" t="str">
        <x:v>☐ Не начато</x:v>
      </x:c>
      <x:c r="M922" s="13" t="str">
        <x:v>Обязательно</x:v>
      </x:c>
      <x:c r="N922" s="13" t="str">
        <x:v>Без нагрузки</x:v>
      </x:c>
      <x:c r="O922" s="13" t="str"/>
      <x:c r="P922" s="13" t="str">
        <x:v>milestone_04_grip_literacy_strength/week_13_2026-11-30/05_FRIDAY.md</x:v>
      </x:c>
      <x:c r="Q922" s="138" t="str">
        <x:v>Markdown</x:v>
      </x:c>
      <x:c r="R922" s="20" t="str"/>
    </x:row>
    <x:row r="923" ht="36" customHeight="1">
      <x:c r="A923" s="19" t="str">
        <x:v>W13-20261204-0922</x:v>
      </x:c>
      <x:c r="B923" s="13" t="n">
        <x:v>13</x:v>
      </x:c>
      <x:c r="C923" s="13" t="str">
        <x:v>Этап 4 — Типы хвата и специфическая сила пальцев</x:v>
      </x:c>
      <x:c r="D923" s="138" t="str">
        <x:v>2026-12-04</x:v>
      </x:c>
      <x:c r="E923" s="13" t="str">
        <x:v>Пятница</x:v>
      </x:c>
      <x:c r="F923" s="13" t="str">
        <x:v>Дом / теория</x:v>
      </x:c>
      <x:c r="G923" s="44" t="n">
        <x:v>0.03819444444444445</x:v>
      </x:c>
      <x:c r="H923" s="44" t="n">
        <x:v>0.04027777777777778</x:v>
      </x:c>
      <x:c r="I923" s="32" t="n">
        <x:f>ROUND((H923-G923)*1440,0)</x:f>
        <x:v>3</x:v>
      </x:c>
      <x:c r="J923" s="13" t="str">
        <x:v>Запрет лишней нагрузки</x:v>
      </x:c>
      <x:c r="K923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923" s="13" t="str">
        <x:v>☐ Не начато</x:v>
      </x:c>
      <x:c r="M923" s="13" t="str">
        <x:v>Обязательно</x:v>
      </x:c>
      <x:c r="N923" s="13" t="str">
        <x:v>Восстановление</x:v>
      </x:c>
      <x:c r="O923" s="13" t="str">
        <x:v>Общая пальцевая нагрузка уже получена в четверг.</x:v>
      </x:c>
      <x:c r="P923" s="13" t="str">
        <x:v>milestone_04_grip_literacy_strength/week_13_2026-11-30/05_FRIDAY.md</x:v>
      </x:c>
      <x:c r="Q923" s="138" t="str">
        <x:v>Markdown</x:v>
      </x:c>
      <x:c r="R923" s="20" t="str"/>
    </x:row>
    <x:row r="924" ht="36" customHeight="1">
      <x:c r="A924" s="19" t="str">
        <x:v>W13-20261205-0923</x:v>
      </x:c>
      <x:c r="B924" s="13" t="n">
        <x:v>13</x:v>
      </x:c>
      <x:c r="C924" s="13" t="str">
        <x:v>Этап 4 — Типы хвата и специфическая сила пальцев</x:v>
      </x:c>
      <x:c r="D924" s="138" t="str">
        <x:v>2026-12-05</x:v>
      </x:c>
      <x:c r="E924" s="13" t="str">
        <x:v>Суббота</x:v>
      </x:c>
      <x:c r="F924" s="13" t="str">
        <x:v>Отдых / подготовка</x:v>
      </x:c>
      <x:c r="G924" s="44" t="n">
        <x:v>0</x:v>
      </x:c>
      <x:c r="H924" s="44" t="n">
        <x:v>0.003472222222222222</x:v>
      </x:c>
      <x:c r="I924" s="32" t="n">
        <x:f>ROUND((H924-G924)*1440,0)</x:f>
        <x:v>5</x:v>
      </x:c>
      <x:c r="J924" s="13" t="str">
        <x:v>Самопроверка</x:v>
      </x:c>
      <x:c r="K924" s="13" t="str">
        <x:v>Проверь кожу пальцев, ногти, плечо и колено. Никаких тестовых висов.</x:v>
      </x:c>
      <x:c r="L924" s="13" t="str">
        <x:v>☐ Не начато</x:v>
      </x:c>
      <x:c r="M924" s="13" t="str">
        <x:v>Обязательно</x:v>
      </x:c>
      <x:c r="N924" s="13" t="str">
        <x:v>Восстановление</x:v>
      </x:c>
      <x:c r="O924" s="13" t="str"/>
      <x:c r="P924" s="13" t="str">
        <x:v>milestone_04_grip_literacy_strength/week_13_2026-11-30/06_SATURDAY.md</x:v>
      </x:c>
      <x:c r="Q924" s="138" t="str">
        <x:v>Markdown</x:v>
      </x:c>
      <x:c r="R924" s="20" t="str"/>
    </x:row>
    <x:row r="925" ht="36" customHeight="1">
      <x:c r="A925" s="19" t="str">
        <x:v>W13-20261205-0924</x:v>
      </x:c>
      <x:c r="B925" s="13" t="n">
        <x:v>13</x:v>
      </x:c>
      <x:c r="C925" s="13" t="str">
        <x:v>Этап 4 — Типы хвата и специфическая сила пальцев</x:v>
      </x:c>
      <x:c r="D925" s="138" t="str">
        <x:v>2026-12-05</x:v>
      </x:c>
      <x:c r="E925" s="13" t="str">
        <x:v>Суббота</x:v>
      </x:c>
      <x:c r="F925" s="13" t="str">
        <x:v>Отдых / подготовка</x:v>
      </x:c>
      <x:c r="G925" s="44" t="n">
        <x:v>0.003472222222222222</x:v>
      </x:c>
      <x:c r="H925" s="44" t="n">
        <x:v>0.010416666666666666</x:v>
      </x:c>
      <x:c r="I925" s="32" t="n">
        <x:f>ROUND((H925-G925)*1440,0)</x:f>
        <x:v>10</x:v>
      </x:c>
      <x:c r="J925" s="13" t="str">
        <x:v>Активное восстановление</x:v>
      </x:c>
      <x:c r="K925" s="13" t="str">
        <x:v>10 минут лёгкой прогулки или бытовой активности. Цель — восстановление, не тренировка.</x:v>
      </x:c>
      <x:c r="L925" s="13" t="str">
        <x:v>☐ Не начато</x:v>
      </x:c>
      <x:c r="M925" s="13" t="str">
        <x:v>Обязательно</x:v>
      </x:c>
      <x:c r="N925" s="13" t="str">
        <x:v>RPE 1–2</x:v>
      </x:c>
      <x:c r="O925" s="13" t="str"/>
      <x:c r="P925" s="13" t="str">
        <x:v>milestone_04_grip_literacy_strength/week_13_2026-11-30/06_SATURDAY.md</x:v>
      </x:c>
      <x:c r="Q925" s="138" t="str">
        <x:v>Markdown</x:v>
      </x:c>
      <x:c r="R925" s="20" t="str"/>
    </x:row>
    <x:row r="926" ht="36" customHeight="1">
      <x:c r="A926" s="19" t="str">
        <x:v>W13-20261205-0925</x:v>
      </x:c>
      <x:c r="B926" s="13" t="n">
        <x:v>13</x:v>
      </x:c>
      <x:c r="C926" s="13" t="str">
        <x:v>Этап 4 — Типы хвата и специфическая сила пальцев</x:v>
      </x:c>
      <x:c r="D926" s="138" t="str">
        <x:v>2026-12-05</x:v>
      </x:c>
      <x:c r="E926" s="13" t="str">
        <x:v>Суббота</x:v>
      </x:c>
      <x:c r="F926" s="13" t="str">
        <x:v>Отдых / подготовка</x:v>
      </x:c>
      <x:c r="G926" s="44" t="n">
        <x:v>0.010416666666666666</x:v>
      </x:c>
      <x:c r="H926" s="44" t="n">
        <x:v>0.013888888888888888</x:v>
      </x:c>
      <x:c r="I926" s="32" t="n">
        <x:f>ROUND((H926-G926)*1440,0)</x:f>
        <x:v>5</x:v>
      </x:c>
      <x:c r="J926" s="13" t="str">
        <x:v>Уход за кожей</x:v>
      </x:c>
      <x:c r="K926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926" s="13" t="str">
        <x:v>☐ Не начато</x:v>
      </x:c>
      <x:c r="M926" s="13" t="str">
        <x:v>Опционально</x:v>
      </x:c>
      <x:c r="N926" s="13" t="str">
        <x:v>Без нагрузки</x:v>
      </x:c>
      <x:c r="O926" s="13" t="str">
        <x:v>Повреждённую/болезненную кожу не шлифовать.</x:v>
      </x:c>
      <x:c r="P926" s="13" t="str">
        <x:v>milestone_04_grip_literacy_strength/week_13_2026-11-30/06_SATURDAY.md</x:v>
      </x:c>
      <x:c r="Q926" s="138" t="str">
        <x:v>Markdown</x:v>
      </x:c>
      <x:c r="R926" s="20" t="str"/>
    </x:row>
    <x:row r="927" ht="36" customHeight="1">
      <x:c r="A927" s="19" t="str">
        <x:v>W13-20261205-0926</x:v>
      </x:c>
      <x:c r="B927" s="13" t="n">
        <x:v>13</x:v>
      </x:c>
      <x:c r="C927" s="13" t="str">
        <x:v>Этап 4 — Типы хвата и специфическая сила пальцев</x:v>
      </x:c>
      <x:c r="D927" s="138" t="str">
        <x:v>2026-12-05</x:v>
      </x:c>
      <x:c r="E927" s="13" t="str">
        <x:v>Суббота</x:v>
      </x:c>
      <x:c r="F927" s="13" t="str">
        <x:v>Отдых / подготовка</x:v>
      </x:c>
      <x:c r="G927" s="44" t="n">
        <x:v>0.013888888888888888</x:v>
      </x:c>
      <x:c r="H927" s="44" t="n">
        <x:v>0.016666666666666666</x:v>
      </x:c>
      <x:c r="I927" s="32" t="n">
        <x:f>ROUND((H927-G927)*1440,0)</x:f>
        <x:v>4</x:v>
      </x:c>
      <x:c r="J927" s="13" t="str">
        <x:v>Подготовка</x:v>
      </x:c>
      <x:c r="K927" s="13" t="str">
        <x:v>Заряди телефон, освободи память для одного видео, положи щётку и магнезию.</x:v>
      </x:c>
      <x:c r="L927" s="13" t="str">
        <x:v>☐ Не начато</x:v>
      </x:c>
      <x:c r="M927" s="13" t="str">
        <x:v>Обязательно</x:v>
      </x:c>
      <x:c r="N927" s="13" t="str">
        <x:v>Без нагрузки</x:v>
      </x:c>
      <x:c r="O927" s="13" t="str"/>
      <x:c r="P927" s="13" t="str">
        <x:v>milestone_04_grip_literacy_strength/week_13_2026-11-30/06_SATURDAY.md</x:v>
      </x:c>
      <x:c r="Q927" s="138" t="str">
        <x:v>Markdown</x:v>
      </x:c>
      <x:c r="R927" s="20" t="str"/>
    </x:row>
    <x:row r="928" ht="36" customHeight="1">
      <x:c r="A928" s="19" t="str">
        <x:v>W13-20261205-0927</x:v>
      </x:c>
      <x:c r="B928" s="13" t="n">
        <x:v>13</x:v>
      </x:c>
      <x:c r="C928" s="13" t="str">
        <x:v>Этап 4 — Типы хвата и специфическая сила пальцев</x:v>
      </x:c>
      <x:c r="D928" s="138" t="str">
        <x:v>2026-12-05</x:v>
      </x:c>
      <x:c r="E928" s="13" t="str">
        <x:v>Суббота</x:v>
      </x:c>
      <x:c r="F928" s="13" t="str">
        <x:v>Отдых / подготовка</x:v>
      </x:c>
      <x:c r="G928" s="44" t="n">
        <x:v>0.016666666666666666</x:v>
      </x:c>
      <x:c r="H928" s="44" t="n">
        <x:v>0.01875</x:v>
      </x:c>
      <x:c r="I928" s="32" t="n">
        <x:f>ROUND((H928-G928)*1440,0)</x:f>
        <x:v>3</x:v>
      </x:c>
      <x:c r="J928" s="13" t="str">
        <x:v>План воскресенья</x:v>
      </x:c>
      <x:c r="K928" s="13" t="str">
        <x:v>Выбери заранее одну лёгкую трассу под тему «Открытый хват и half crimp». Воскресенье остаётся развлечением, не третьим тяжёлым днём.</x:v>
      </x:c>
      <x:c r="L928" s="13" t="str">
        <x:v>☐ Не начато</x:v>
      </x:c>
      <x:c r="M928" s="13" t="str">
        <x:v>Обязательно</x:v>
      </x:c>
      <x:c r="N928" s="13" t="str">
        <x:v>Без нагрузки</x:v>
      </x:c>
      <x:c r="O928" s="13" t="str"/>
      <x:c r="P928" s="13" t="str">
        <x:v>milestone_04_grip_literacy_strength/week_13_2026-11-30/06_SATURDAY.md</x:v>
      </x:c>
      <x:c r="Q928" s="138" t="str">
        <x:v>Markdown</x:v>
      </x:c>
      <x:c r="R928" s="20" t="str"/>
    </x:row>
    <x:row r="929" ht="36" customHeight="1">
      <x:c r="A929" s="19" t="str">
        <x:v>W13-20261205-0928</x:v>
      </x:c>
      <x:c r="B929" s="13" t="n">
        <x:v>13</x:v>
      </x:c>
      <x:c r="C929" s="13" t="str">
        <x:v>Этап 4 — Типы хвата и специфическая сила пальцев</x:v>
      </x:c>
      <x:c r="D929" s="138" t="str">
        <x:v>2026-12-05</x:v>
      </x:c>
      <x:c r="E929" s="13" t="str">
        <x:v>Суббота</x:v>
      </x:c>
      <x:c r="F929" s="13" t="str">
        <x:v>Отдых / подготовка</x:v>
      </x:c>
      <x:c r="G929" s="44" t="n">
        <x:v>0.01875</x:v>
      </x:c>
      <x:c r="H929" s="44" t="n">
        <x:v>0.020833333333333332</x:v>
      </x:c>
      <x:c r="I929" s="32" t="n">
        <x:f>ROUND((H929-G929)*1440,0)</x:f>
        <x:v>3</x:v>
      </x:c>
      <x:c r="J929" s="13" t="str">
        <x:v>Сон / восстановление</x:v>
      </x:c>
      <x:c r="K929" s="13" t="str">
        <x:v>Запланируй обычный сон и нормальный приём пищи; не пытайся «разбудить хват» вечером.</x:v>
      </x:c>
      <x:c r="L929" s="13" t="str">
        <x:v>☐ Не начато</x:v>
      </x:c>
      <x:c r="M929" s="13" t="str">
        <x:v>Обязательно</x:v>
      </x:c>
      <x:c r="N929" s="13" t="str">
        <x:v>Восстановление</x:v>
      </x:c>
      <x:c r="O929" s="13" t="str"/>
      <x:c r="P929" s="13" t="str">
        <x:v>milestone_04_grip_literacy_strength/week_13_2026-11-30/06_SATURDAY.md</x:v>
      </x:c>
      <x:c r="Q929" s="138" t="str">
        <x:v>Markdown</x:v>
      </x:c>
      <x:c r="R929" s="20" t="str"/>
    </x:row>
    <x:row r="930" ht="36" customHeight="1">
      <x:c r="A930" s="19" t="str">
        <x:v>W13-20261206-0929</x:v>
      </x:c>
      <x:c r="B930" s="13" t="n">
        <x:v>13</x:v>
      </x:c>
      <x:c r="C930" s="13" t="str">
        <x:v>Этап 4 — Типы хвата и специфическая сила пальцев</x:v>
      </x:c>
      <x:c r="D930" s="138" t="str">
        <x:v>2026-12-06</x:v>
      </x:c>
      <x:c r="E930" s="13" t="str">
        <x:v>Воскресенье</x:v>
      </x:c>
      <x:c r="F930" s="13" t="str">
        <x:v>Тренировка C — fun / опционально</x:v>
      </x:c>
      <x:c r="G930" s="44" t="n">
        <x:v>0</x:v>
      </x:c>
      <x:c r="H930" s="44" t="n">
        <x:v>0.0020833333333333333</x:v>
      </x:c>
      <x:c r="I930" s="32" t="n">
        <x:f>ROUND((H930-G930)*1440,0)</x:f>
        <x:v>3</x:v>
      </x:c>
      <x:c r="J930" s="13" t="str">
        <x:v>Выбор сценария</x:v>
      </x:c>
      <x:c r="K930" s="13" t="str">
        <x:v>Выбери один сценарий: (A) fun-сессия 75 минут в зале или (B) восстановительный день дома 25 минут. Не выполнять оба.</x:v>
      </x:c>
      <x:c r="L930" s="13" t="str">
        <x:v>☐ Не начато</x:v>
      </x:c>
      <x:c r="M930" s="13" t="str">
        <x:v>Выбрать один сценарий</x:v>
      </x:c>
      <x:c r="N930" s="13" t="str">
        <x:v>По состоянию</x:v>
      </x:c>
      <x:c r="O930" s="13" t="str"/>
      <x:c r="P930" s="13" t="str">
        <x:v>milestone_04_grip_literacy_strength/week_13_2026-11-30/07_SUNDAY.md</x:v>
      </x:c>
      <x:c r="Q930" s="138" t="str">
        <x:v>Markdown</x:v>
      </x:c>
      <x:c r="R930" s="20" t="str"/>
    </x:row>
    <x:row r="931" ht="36" customHeight="1">
      <x:c r="A931" s="19" t="str">
        <x:v>W13-20261206-0930</x:v>
      </x:c>
      <x:c r="B931" s="13" t="n">
        <x:v>13</x:v>
      </x:c>
      <x:c r="C931" s="13" t="str">
        <x:v>Этап 4 — Типы хвата и специфическая сила пальцев</x:v>
      </x:c>
      <x:c r="D931" s="138" t="str">
        <x:v>2026-12-06</x:v>
      </x:c>
      <x:c r="E931" s="13" t="str">
        <x:v>Воскресенье</x:v>
      </x:c>
      <x:c r="F931" s="13" t="str">
        <x:v>Тренировка C — fun / опционально</x:v>
      </x:c>
      <x:c r="G931" s="44" t="n">
        <x:v>0.0020833333333333333</x:v>
      </x:c>
      <x:c r="H931" s="44" t="n">
        <x:v>0.005555555555555556</x:v>
      </x:c>
      <x:c r="I931" s="32" t="n">
        <x:f>ROUND((H931-G931)*1440,0)</x:f>
        <x:v>5</x:v>
      </x:c>
      <x:c r="J931" s="13" t="str">
        <x:v>Разминка A</x:v>
      </x:c>
      <x:c r="K931" s="13" t="str">
        <x:v>Если идёшь в зал: 5 минут поднятия температуры.</x:v>
      </x:c>
      <x:c r="L931" s="13" t="str">
        <x:v>☐ Не начато</x:v>
      </x:c>
      <x:c r="M931" s="13" t="str">
        <x:v>Опционально</x:v>
      </x:c>
      <x:c r="N931" s="13" t="str">
        <x:v>RPE 2–3</x:v>
      </x:c>
      <x:c r="O931" s="13" t="str"/>
      <x:c r="P931" s="13" t="str">
        <x:v>milestone_04_grip_literacy_strength/week_13_2026-11-30/07_SUNDAY.md</x:v>
      </x:c>
      <x:c r="Q931" s="138" t="str">
        <x:v>Markdown</x:v>
      </x:c>
      <x:c r="R931" s="20" t="str"/>
    </x:row>
    <x:row r="932" ht="36" customHeight="1">
      <x:c r="A932" s="19" t="str">
        <x:v>W13-20261206-0931</x:v>
      </x:c>
      <x:c r="B932" s="13" t="n">
        <x:v>13</x:v>
      </x:c>
      <x:c r="C932" s="13" t="str">
        <x:v>Этап 4 — Типы хвата и специфическая сила пальцев</x:v>
      </x:c>
      <x:c r="D932" s="138" t="str">
        <x:v>2026-12-06</x:v>
      </x:c>
      <x:c r="E932" s="13" t="str">
        <x:v>Воскресенье</x:v>
      </x:c>
      <x:c r="F932" s="13" t="str">
        <x:v>Тренировка C — fun / опционально</x:v>
      </x:c>
      <x:c r="G932" s="44" t="n">
        <x:v>0.005555555555555556</x:v>
      </x:c>
      <x:c r="H932" s="44" t="n">
        <x:v>0.009027777777777777</x:v>
      </x:c>
      <x:c r="I932" s="32" t="n">
        <x:f>ROUND((H932-G932)*1440,0)</x:f>
        <x:v>5</x:v>
      </x:c>
      <x:c r="J932" s="13" t="str">
        <x:v>Разминка A</x:v>
      </x:c>
      <x:c r="K932" s="13" t="str">
        <x:v>Динамическая суставная разминка в безболезненном диапазоне; без отжиманий/press.</x:v>
      </x:c>
      <x:c r="L932" s="13" t="str">
        <x:v>☐ Не начато</x:v>
      </x:c>
      <x:c r="M932" s="13" t="str">
        <x:v>Опционально</x:v>
      </x:c>
      <x:c r="N932" s="13" t="str">
        <x:v>Очень легко</x:v>
      </x:c>
      <x:c r="O932" s="13" t="str">
        <x:v>Острая локальная боль в пальце — стоп. Full crimp на фингерборде не использовать.</x:v>
      </x:c>
      <x:c r="P932" s="13" t="str">
        <x:v>milestone_04_grip_literacy_strength/week_13_2026-11-30/07_SUNDAY.md</x:v>
      </x:c>
      <x:c r="Q932" s="138" t="str">
        <x:v>Markdown</x:v>
      </x:c>
      <x:c r="R932" s="20" t="str"/>
    </x:row>
    <x:row r="933" ht="36" customHeight="1">
      <x:c r="A933" s="19" t="str">
        <x:v>W13-20261206-0932</x:v>
      </x:c>
      <x:c r="B933" s="13" t="n">
        <x:v>13</x:v>
      </x:c>
      <x:c r="C933" s="13" t="str">
        <x:v>Этап 4 — Типы хвата и специфическая сила пальцев</x:v>
      </x:c>
      <x:c r="D933" s="138" t="str">
        <x:v>2026-12-06</x:v>
      </x:c>
      <x:c r="E933" s="13" t="str">
        <x:v>Воскресенье</x:v>
      </x:c>
      <x:c r="F933" s="13" t="str">
        <x:v>Тренировка C — fun / опционально</x:v>
      </x:c>
      <x:c r="G933" s="44" t="n">
        <x:v>0.009027777777777777</x:v>
      </x:c>
      <x:c r="H933" s="44" t="n">
        <x:v>0.013888888888888888</x:v>
      </x:c>
      <x:c r="I933" s="32" t="n">
        <x:f>ROUND((H933-G933)*1440,0)</x:f>
        <x:v>7</x:v>
      </x:c>
      <x:c r="J933" s="13" t="str">
        <x:v>Лёгкое лазание A</x:v>
      </x:c>
      <x:c r="K933" s="13" t="str">
        <x:v>3 очень лёгкие трассы 1–3 с постепенным увеличением сложности.</x:v>
      </x:c>
      <x:c r="L933" s="13" t="str">
        <x:v>☐ Не начато</x:v>
      </x:c>
      <x:c r="M933" s="13" t="str">
        <x:v>Опционально</x:v>
      </x:c>
      <x:c r="N933" s="13" t="str">
        <x:v>RPE 2–4</x:v>
      </x:c>
      <x:c r="O933" s="13" t="str"/>
      <x:c r="P933" s="13" t="str">
        <x:v>milestone_04_grip_literacy_strength/week_13_2026-11-30/07_SUNDAY.md</x:v>
      </x:c>
      <x:c r="Q933" s="138" t="str">
        <x:v>Markdown</x:v>
      </x:c>
      <x:c r="R933" s="20" t="str"/>
    </x:row>
    <x:row r="934" ht="36" customHeight="1">
      <x:c r="A934" s="19" t="str">
        <x:v>W13-20261206-0933</x:v>
      </x:c>
      <x:c r="B934" s="13" t="n">
        <x:v>13</x:v>
      </x:c>
      <x:c r="C934" s="13" t="str">
        <x:v>Этап 4 — Типы хвата и специфическая сила пальцев</x:v>
      </x:c>
      <x:c r="D934" s="138" t="str">
        <x:v>2026-12-06</x:v>
      </x:c>
      <x:c r="E934" s="13" t="str">
        <x:v>Воскресенье</x:v>
      </x:c>
      <x:c r="F934" s="13" t="str">
        <x:v>Тренировка C — fun / опционально</x:v>
      </x:c>
      <x:c r="G934" s="44" t="n">
        <x:v>0.013888888888888888</x:v>
      </x:c>
      <x:c r="H934" s="44" t="n">
        <x:v>0.020833333333333332</x:v>
      </x:c>
      <x:c r="I934" s="32" t="n">
        <x:f>ROUND((H934-G934)*1440,0)</x:f>
        <x:v>10</x:v>
      </x:c>
      <x:c r="J934" s="13" t="str">
        <x:v>Технический праймер A</x:v>
      </x:c>
      <x:c r="K934" s="13" t="str">
        <x:v>На одной лёгкой трассе дважды повтори «Открытый хват и half crimp». Критерий: Форма кисти одинакова во всех висах, без дрожи и без ухода к full crimp.</x:v>
      </x:c>
      <x:c r="L934" s="13" t="str">
        <x:v>☐ Не начато</x:v>
      </x:c>
      <x:c r="M934" s="13" t="str">
        <x:v>Опционально</x:v>
      </x:c>
      <x:c r="N934" s="13" t="str">
        <x:v>RPE 3–4</x:v>
      </x:c>
      <x:c r="O934" s="13" t="str">
        <x:v>Любая острая локальная боль пальца — немедленный стоп.</x:v>
      </x:c>
      <x:c r="P934" s="13" t="str">
        <x:v>milestone_04_grip_literacy_strength/week_13_2026-11-30/07_SUNDAY.md</x:v>
      </x:c>
      <x:c r="Q934" s="138" t="str">
        <x:v>Markdown</x:v>
      </x:c>
      <x:c r="R934" s="20" t="str"/>
    </x:row>
    <x:row r="935" ht="36" customHeight="1">
      <x:c r="A935" s="19" t="str">
        <x:v>W13-20261206-0934</x:v>
      </x:c>
      <x:c r="B935" s="13" t="n">
        <x:v>13</x:v>
      </x:c>
      <x:c r="C935" s="13" t="str">
        <x:v>Этап 4 — Типы хвата и специфическая сила пальцев</x:v>
      </x:c>
      <x:c r="D935" s="138" t="str">
        <x:v>2026-12-06</x:v>
      </x:c>
      <x:c r="E935" s="13" t="str">
        <x:v>Воскресенье</x:v>
      </x:c>
      <x:c r="F935" s="13" t="str">
        <x:v>Тренировка C — fun / опционально</x:v>
      </x:c>
      <x:c r="G935" s="44" t="n">
        <x:v>0.020833333333333332</x:v>
      </x:c>
      <x:c r="H935" s="44" t="n">
        <x:v>0.03819444444444445</x:v>
      </x:c>
      <x:c r="I935" s="32" t="n">
        <x:f>ROUND((H935-G935)*1440,0)</x:f>
        <x:v>25</x:v>
      </x:c>
      <x:c r="J935" s="13" t="str">
        <x:v>Свободное лазание A</x:v>
      </x:c>
      <x:c r="K935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935" s="13" t="str">
        <x:v>☐ Не начато</x:v>
      </x:c>
      <x:c r="M935" s="13" t="str">
        <x:v>Опционально</x:v>
      </x:c>
      <x:c r="N935" s="13" t="str">
        <x:v>RPE 4–7</x:v>
      </x:c>
      <x:c r="O935" s="13" t="str">
        <x:v>Не превращать блок в круг на выносливость.</x:v>
      </x:c>
      <x:c r="P935" s="13" t="str">
        <x:v>milestone_04_grip_literacy_strength/week_13_2026-11-30/07_SUNDAY.md</x:v>
      </x:c>
      <x:c r="Q935" s="138" t="str">
        <x:v>Markdown</x:v>
      </x:c>
      <x:c r="R935" s="20" t="str"/>
    </x:row>
    <x:row r="936" ht="36" customHeight="1">
      <x:c r="A936" s="19" t="str">
        <x:v>W13-20261206-0935</x:v>
      </x:c>
      <x:c r="B936" s="13" t="n">
        <x:v>13</x:v>
      </x:c>
      <x:c r="C936" s="13" t="str">
        <x:v>Этап 4 — Типы хвата и специфическая сила пальцев</x:v>
      </x:c>
      <x:c r="D936" s="138" t="str">
        <x:v>2026-12-06</x:v>
      </x:c>
      <x:c r="E936" s="13" t="str">
        <x:v>Воскресенье</x:v>
      </x:c>
      <x:c r="F936" s="13" t="str">
        <x:v>Тренировка C — fun / опционально</x:v>
      </x:c>
      <x:c r="G936" s="44" t="n">
        <x:v>0.03819444444444445</x:v>
      </x:c>
      <x:c r="H936" s="44" t="n">
        <x:v>0.04583333333333333</x:v>
      </x:c>
      <x:c r="I936" s="32" t="n">
        <x:f>ROUND((H936-G936)*1440,0)</x:f>
        <x:v>11</x:v>
      </x:c>
      <x:c r="J936" s="13" t="str">
        <x:v>Свежая сложная попытка A</x:v>
      </x:c>
      <x:c r="K936" s="13" t="str">
        <x:v>Только если всё зелёное: попробуй одну рабочую пятёрку или дружелюбную шестёрку по критериям недели — Пятёрка на кромках + шестёрка с хотя бы одной рабочей кромкой, но без острых микрозацепов. Максимум 2 попытки, отдых 4 минуты.</x:v>
      </x:c>
      <x:c r="L936" s="13" t="str">
        <x:v>☐ Не начато</x:v>
      </x:c>
      <x:c r="M936" s="13" t="str">
        <x:v>Опционально</x:v>
      </x:c>
      <x:c r="N936" s="13" t="str">
        <x:v>RPE 7–8, без отказа</x:v>
      </x:c>
      <x:c r="O936" s="13" t="str">
        <x:v>Острая локальная боль в пальце — стоп. Full crimp на фингерборде не использовать.</x:v>
      </x:c>
      <x:c r="P936" s="13" t="str">
        <x:v>milestone_04_grip_literacy_strength/week_13_2026-11-30/07_SUNDAY.md</x:v>
      </x:c>
      <x:c r="Q936" s="138" t="str">
        <x:v>Markdown</x:v>
      </x:c>
      <x:c r="R936" s="20" t="str"/>
    </x:row>
    <x:row r="937" ht="36" customHeight="1">
      <x:c r="A937" s="19" t="str">
        <x:v>W13-20261206-0936</x:v>
      </x:c>
      <x:c r="B937" s="13" t="n">
        <x:v>13</x:v>
      </x:c>
      <x:c r="C937" s="13" t="str">
        <x:v>Этап 4 — Типы хвата и специфическая сила пальцев</x:v>
      </x:c>
      <x:c r="D937" s="138" t="str">
        <x:v>2026-12-06</x:v>
      </x:c>
      <x:c r="E937" s="13" t="str">
        <x:v>Воскресенье</x:v>
      </x:c>
      <x:c r="F937" s="13" t="str">
        <x:v>Тренировка C — fun / опционально</x:v>
      </x:c>
      <x:c r="G937" s="44" t="n">
        <x:v>0.04583333333333333</x:v>
      </x:c>
      <x:c r="H937" s="44" t="n">
        <x:v>0.05</x:v>
      </x:c>
      <x:c r="I937" s="32" t="n">
        <x:f>ROUND((H937-G937)*1440,0)</x:f>
        <x:v>6</x:v>
      </x:c>
      <x:c r="J937" s="13" t="str">
        <x:v>Лёгкий финал A</x:v>
      </x:c>
      <x:c r="K937" s="13" t="str">
        <x:v>Одна любимая лёгкая трасса или спокойный спуск. Фингерборда и capacity-круга нет.</x:v>
      </x:c>
      <x:c r="L937" s="13" t="str">
        <x:v>☐ Не начато</x:v>
      </x:c>
      <x:c r="M937" s="13" t="str">
        <x:v>Опционально</x:v>
      </x:c>
      <x:c r="N937" s="13" t="str">
        <x:v>RPE 2–3</x:v>
      </x:c>
      <x:c r="O937" s="13" t="str"/>
      <x:c r="P937" s="13" t="str">
        <x:v>milestone_04_grip_literacy_strength/week_13_2026-11-30/07_SUNDAY.md</x:v>
      </x:c>
      <x:c r="Q937" s="138" t="str">
        <x:v>Markdown</x:v>
      </x:c>
      <x:c r="R937" s="20" t="str"/>
    </x:row>
    <x:row r="938" ht="36" customHeight="1">
      <x:c r="A938" s="19" t="str">
        <x:v>W13-20261206-0937</x:v>
      </x:c>
      <x:c r="B938" s="13" t="n">
        <x:v>13</x:v>
      </x:c>
      <x:c r="C938" s="13" t="str">
        <x:v>Этап 4 — Типы хвата и специфическая сила пальцев</x:v>
      </x:c>
      <x:c r="D938" s="138" t="str">
        <x:v>2026-12-06</x:v>
      </x:c>
      <x:c r="E938" s="13" t="str">
        <x:v>Воскресенье</x:v>
      </x:c>
      <x:c r="F938" s="13" t="str">
        <x:v>Тренировка C — fun / опционально</x:v>
      </x:c>
      <x:c r="G938" s="44" t="n">
        <x:v>0.05</x:v>
      </x:c>
      <x:c r="H938" s="44" t="n">
        <x:v>0.052083333333333336</x:v>
      </x:c>
      <x:c r="I938" s="32" t="n">
        <x:f>ROUND((H938-G938)*1440,0)</x:f>
        <x:v>3</x:v>
      </x:c>
      <x:c r="J938" s="13" t="str">
        <x:v>Журнал A</x:v>
      </x:c>
      <x:c r="K938" s="13" t="str">
        <x:v>Запиши только 3 вещи: что было весело, один удачный технический момент, состояние пальцев после сессии.</x:v>
      </x:c>
      <x:c r="L938" s="13" t="str">
        <x:v>☐ Не начато</x:v>
      </x:c>
      <x:c r="M938" s="13" t="str">
        <x:v>Опционально</x:v>
      </x:c>
      <x:c r="N938" s="13" t="str">
        <x:v>Без нагрузки</x:v>
      </x:c>
      <x:c r="O938" s="13" t="str"/>
      <x:c r="P938" s="13" t="str">
        <x:v>milestone_04_grip_literacy_strength/week_13_2026-11-30/07_SUNDAY.md</x:v>
      </x:c>
      <x:c r="Q938" s="138" t="str">
        <x:v>Markdown</x:v>
      </x:c>
      <x:c r="R938" s="20" t="str"/>
    </x:row>
    <x:row r="939" ht="36" customHeight="1">
      <x:c r="A939" s="19" t="str">
        <x:v>W13-20261206-0938</x:v>
      </x:c>
      <x:c r="B939" s="13" t="n">
        <x:v>13</x:v>
      </x:c>
      <x:c r="C939" s="13" t="str">
        <x:v>Этап 4 — Типы хвата и специфическая сила пальцев</x:v>
      </x:c>
      <x:c r="D939" s="138" t="str">
        <x:v>2026-12-06</x:v>
      </x:c>
      <x:c r="E939" s="13" t="str">
        <x:v>Воскресенье</x:v>
      </x:c>
      <x:c r="F939" s="13" t="str">
        <x:v>Восстановление B — дома</x:v>
      </x:c>
      <x:c r="G939" s="44" t="n">
        <x:v>0</x:v>
      </x:c>
      <x:c r="H939" s="44" t="n">
        <x:v>0.010416666666666666</x:v>
      </x:c>
      <x:c r="I939" s="32" t="n">
        <x:f>ROUND((H939-G939)*1440,0)</x:f>
        <x:v>15</x:v>
      </x:c>
      <x:c r="J939" s="13" t="str">
        <x:v>Прогулка B</x:v>
      </x:c>
      <x:c r="K939" s="13" t="str">
        <x:v>Если не идёшь в зал: 15 минут спокойной прогулки.</x:v>
      </x:c>
      <x:c r="L939" s="13" t="str">
        <x:v>☐ Не начато</x:v>
      </x:c>
      <x:c r="M939" s="13" t="str">
        <x:v>Опционально</x:v>
      </x:c>
      <x:c r="N939" s="13" t="str">
        <x:v>RPE 1–2</x:v>
      </x:c>
      <x:c r="O939" s="13" t="str"/>
      <x:c r="P939" s="13" t="str">
        <x:v>milestone_04_grip_literacy_strength/week_13_2026-11-30/07_SUNDAY.md</x:v>
      </x:c>
      <x:c r="Q939" s="138" t="str">
        <x:v>Markdown</x:v>
      </x:c>
      <x:c r="R939" s="20" t="str"/>
    </x:row>
    <x:row r="940" ht="36" customHeight="1">
      <x:c r="A940" s="19" t="str">
        <x:v>W13-20261206-0939</x:v>
      </x:c>
      <x:c r="B940" s="13" t="n">
        <x:v>13</x:v>
      </x:c>
      <x:c r="C940" s="13" t="str">
        <x:v>Этап 4 — Типы хвата и специфическая сила пальцев</x:v>
      </x:c>
      <x:c r="D940" s="138" t="str">
        <x:v>2026-12-06</x:v>
      </x:c>
      <x:c r="E940" s="13" t="str">
        <x:v>Воскресенье</x:v>
      </x:c>
      <x:c r="F940" s="13" t="str">
        <x:v>Восстановление B — дома</x:v>
      </x:c>
      <x:c r="G940" s="44" t="n">
        <x:v>0.010416666666666666</x:v>
      </x:c>
      <x:c r="H940" s="44" t="n">
        <x:v>0.015277777777777777</x:v>
      </x:c>
      <x:c r="I940" s="32" t="n">
        <x:f>ROUND((H940-G940)*1440,0)</x:f>
        <x:v>7</x:v>
      </x:c>
      <x:c r="J940" s="13" t="str">
        <x:v>Визуализация B</x:v>
      </x:c>
      <x:c r="K940" s="13" t="str">
        <x:v>7 минут: мысленно повтори тему недели «Открытый хват и half crimp» и одну трассу четверга.</x:v>
      </x:c>
      <x:c r="L940" s="13" t="str">
        <x:v>☐ Не начато</x:v>
      </x:c>
      <x:c r="M940" s="13" t="str">
        <x:v>Опционально</x:v>
      </x:c>
      <x:c r="N940" s="13" t="str">
        <x:v>Без нагрузки</x:v>
      </x:c>
      <x:c r="O940" s="13" t="str"/>
      <x:c r="P940" s="13" t="str">
        <x:v>milestone_04_grip_literacy_strength/week_13_2026-11-30/07_SUNDAY.md</x:v>
      </x:c>
      <x:c r="Q940" s="138" t="str">
        <x:v>Markdown</x:v>
      </x:c>
      <x:c r="R940" s="20" t="str"/>
    </x:row>
    <x:row r="941" ht="36" customHeight="1">
      <x:c r="A941" s="19" t="str">
        <x:v>W13-20261206-0940</x:v>
      </x:c>
      <x:c r="B941" s="13" t="n">
        <x:v>13</x:v>
      </x:c>
      <x:c r="C941" s="13" t="str">
        <x:v>Этап 4 — Типы хвата и специфическая сила пальцев</x:v>
      </x:c>
      <x:c r="D941" s="138" t="str">
        <x:v>2026-12-06</x:v>
      </x:c>
      <x:c r="E941" s="13" t="str">
        <x:v>Воскресенье</x:v>
      </x:c>
      <x:c r="F941" s="13" t="str">
        <x:v>Восстановление B — дома</x:v>
      </x:c>
      <x:c r="G941" s="44" t="n">
        <x:v>0.015277777777777777</x:v>
      </x:c>
      <x:c r="H941" s="44" t="n">
        <x:v>0.017361111111111112</x:v>
      </x:c>
      <x:c r="I941" s="32" t="n">
        <x:f>ROUND((H941-G941)*1440,0)</x:f>
        <x:v>3</x:v>
      </x:c>
      <x:c r="J941" s="13" t="str">
        <x:v>Итог недели B</x:v>
      </x:c>
      <x:c r="K941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941" s="13" t="str">
        <x:v>☐ Не начато</x:v>
      </x:c>
      <x:c r="M941" s="13" t="str">
        <x:v>Опционально</x:v>
      </x:c>
      <x:c r="N941" s="13" t="str">
        <x:v>Без нагрузки</x:v>
      </x:c>
      <x:c r="O941" s="13" t="str"/>
      <x:c r="P941" s="13" t="str">
        <x:v>milestone_04_grip_literacy_strength/week_13_2026-11-30/07_SUNDAY.md</x:v>
      </x:c>
      <x:c r="Q941" s="138" t="str">
        <x:v>Markdown</x:v>
      </x:c>
      <x:c r="R941" s="20" t="str"/>
    </x:row>
    <x:row r="942" ht="36" customHeight="1">
      <x:c r="A942" s="19" t="str">
        <x:v>W14-20261207-0941</x:v>
      </x:c>
      <x:c r="B942" s="13" t="n">
        <x:v>14</x:v>
      </x:c>
      <x:c r="C942" s="13" t="str">
        <x:v>Этап 4 — Типы хвата и специфическая сила пальцев</x:v>
      </x:c>
      <x:c r="D942" s="138" t="str">
        <x:v>2026-12-07</x:v>
      </x:c>
      <x:c r="E942" s="13" t="str">
        <x:v>Понедельник</x:v>
      </x:c>
      <x:c r="F942" s="13" t="str">
        <x:v>Дом / теория</x:v>
      </x:c>
      <x:c r="G942" s="44" t="n">
        <x:v>0</x:v>
      </x:c>
      <x:c r="H942" s="44" t="n">
        <x:v>0.0020833333333333333</x:v>
      </x:c>
      <x:c r="I942" s="32" t="n">
        <x:f>ROUND((H942-G942)*1440,0)</x:f>
        <x:v>3</x:v>
      </x:c>
      <x:c r="J942" s="13" t="str">
        <x:v>Самопроверка</x:v>
      </x:c>
      <x:c r="K942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942" s="13" t="str">
        <x:v>☐ Не начато</x:v>
      </x:c>
      <x:c r="M942" s="13" t="str">
        <x:v>Обязательно</x:v>
      </x:c>
      <x:c r="N942" s="13" t="str">
        <x:v>Очень легко</x:v>
      </x:c>
      <x:c r="O942" s="13" t="str">
        <x:v>Не диагностируй травму самостоятельно; используй правила из документа безопасности.</x:v>
      </x:c>
      <x:c r="P942" s="13" t="str">
        <x:v>milestone_04_grip_literacy_strength/week_14_2026-12-07/01_MONDAY.md</x:v>
      </x:c>
      <x:c r="Q942" s="138" t="str">
        <x:v>Markdown</x:v>
      </x:c>
      <x:c r="R942" s="20" t="str"/>
    </x:row>
    <x:row r="943" ht="36" customHeight="1">
      <x:c r="A943" s="19" t="str">
        <x:v>W14-20261207-0942</x:v>
      </x:c>
      <x:c r="B943" s="13" t="n">
        <x:v>14</x:v>
      </x:c>
      <x:c r="C943" s="13" t="str">
        <x:v>Этап 4 — Типы хвата и специфическая сила пальцев</x:v>
      </x:c>
      <x:c r="D943" s="138" t="str">
        <x:v>2026-12-07</x:v>
      </x:c>
      <x:c r="E943" s="13" t="str">
        <x:v>Понедельник</x:v>
      </x:c>
      <x:c r="F943" s="13" t="str">
        <x:v>Дом / теория</x:v>
      </x:c>
      <x:c r="G943" s="44" t="n">
        <x:v>0.0020833333333333333</x:v>
      </x:c>
      <x:c r="H943" s="44" t="n">
        <x:v>0.005555555555555556</x:v>
      </x:c>
      <x:c r="I943" s="32" t="n">
        <x:f>ROUND((H943-G943)*1440,0)</x:f>
        <x:v>5</x:v>
      </x:c>
      <x:c r="J943" s="13" t="str">
        <x:v>Планирование</x:v>
      </x:c>
      <x:c r="K943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«Подведи центр массы под направление, в котором sloper держит; увеличь контакт ладони, а не панику хвата.»</x:v>
      </x:c>
      <x:c r="L943" s="13" t="str">
        <x:v>☐ Не начато</x:v>
      </x:c>
      <x:c r="M943" s="13" t="str">
        <x:v>Обязательно</x:v>
      </x:c>
      <x:c r="N943" s="13" t="str">
        <x:v>Без нагрузки</x:v>
      </x:c>
      <x:c r="O943" s="13" t="str"/>
      <x:c r="P943" s="13" t="str">
        <x:v>milestone_04_grip_literacy_strength/week_14_2026-12-07/01_MONDAY.md</x:v>
      </x:c>
      <x:c r="Q943" s="138" t="str">
        <x:v>Markdown</x:v>
      </x:c>
      <x:c r="R943" s="20" t="str"/>
    </x:row>
    <x:row r="944" ht="36" customHeight="1">
      <x:c r="A944" s="19" t="str">
        <x:v>W14-20261207-0943</x:v>
      </x:c>
      <x:c r="B944" s="13" t="n">
        <x:v>14</x:v>
      </x:c>
      <x:c r="C944" s="13" t="str">
        <x:v>Этап 4 — Типы хвата и специфическая сила пальцев</x:v>
      </x:c>
      <x:c r="D944" s="138" t="str">
        <x:v>2026-12-07</x:v>
      </x:c>
      <x:c r="E944" s="13" t="str">
        <x:v>Понедельник</x:v>
      </x:c>
      <x:c r="F944" s="13" t="str">
        <x:v>Дом / теория</x:v>
      </x:c>
      <x:c r="G944" s="44" t="n">
        <x:v>0.005555555555555556</x:v>
      </x:c>
      <x:c r="H944" s="44" t="n">
        <x:v>0.0125</x:v>
      </x:c>
      <x:c r="I944" s="32" t="n">
        <x:f>ROUND((H944-G944)*1440,0)</x:f>
        <x:v>10</x:v>
      </x:c>
      <x:c r="J944" s="13" t="str">
        <x:v>Теория</x:v>
      </x:c>
      <x:c r="K944" s="13" t="str">
        <x:v>Посмотри/прочитай [R15: BMC — Hand positions when climbing](https://www.thebmc.co.uk/en/hand-positions-when-climbing-video). Задача: Открытый хват, half crimp и другие позиции; full crimp не тренируется на фингерборде.</x:v>
      </x:c>
      <x:c r="L944" s="13" t="str">
        <x:v>☐ Не начато</x:v>
      </x:c>
      <x:c r="M944" s="13" t="str">
        <x:v>Обязательно</x:v>
      </x:c>
      <x:c r="N944" s="13" t="str">
        <x:v>Без нагрузки</x:v>
      </x:c>
      <x:c r="O944" s="13" t="str"/>
      <x:c r="P944" s="13" t="str">
        <x:v>milestone_04_grip_literacy_strength/week_14_2026-12-07/01_MONDAY.md</x:v>
      </x:c>
      <x:c r="Q944" s="138" t="str">
        <x:v>Markdown</x:v>
      </x:c>
      <x:c r="R944" s="20" t="str"/>
    </x:row>
    <x:row r="945" ht="36" customHeight="1">
      <x:c r="A945" s="19" t="str">
        <x:v>W14-20261207-0944</x:v>
      </x:c>
      <x:c r="B945" s="13" t="n">
        <x:v>14</x:v>
      </x:c>
      <x:c r="C945" s="13" t="str">
        <x:v>Этап 4 — Типы хвата и специфическая сила пальцев</x:v>
      </x:c>
      <x:c r="D945" s="138" t="str">
        <x:v>2026-12-07</x:v>
      </x:c>
      <x:c r="E945" s="13" t="str">
        <x:v>Понедельник</x:v>
      </x:c>
      <x:c r="F945" s="13" t="str">
        <x:v>Дом / теория</x:v>
      </x:c>
      <x:c r="G945" s="44" t="n">
        <x:v>0.0125</x:v>
      </x:c>
      <x:c r="H945" s="44" t="n">
        <x:v>0.01597222222222222</x:v>
      </x:c>
      <x:c r="I945" s="32" t="n">
        <x:f>ROUND((H945-G945)*1440,0)</x:f>
        <x:v>5</x:v>
      </x:c>
      <x:c r="J945" s="13" t="str">
        <x:v>Конспект</x:v>
      </x:c>
      <x:c r="K945" s="13" t="str">
        <x:v>Запиши ровно 3 пункта: (1) что делать ногами/тазом; (2) что не делать руками; (3) какой признак успеха проверишь на стене для темы «Sloper».</x:v>
      </x:c>
      <x:c r="L945" s="13" t="str">
        <x:v>☐ Не начато</x:v>
      </x:c>
      <x:c r="M945" s="13" t="str">
        <x:v>Обязательно</x:v>
      </x:c>
      <x:c r="N945" s="13" t="str">
        <x:v>Без нагрузки</x:v>
      </x:c>
      <x:c r="O945" s="13" t="str"/>
      <x:c r="P945" s="13" t="str">
        <x:v>milestone_04_grip_literacy_strength/week_14_2026-12-07/01_MONDAY.md</x:v>
      </x:c>
      <x:c r="Q945" s="138" t="str">
        <x:v>Markdown</x:v>
      </x:c>
      <x:c r="R945" s="20" t="str"/>
    </x:row>
    <x:row r="946" ht="36" customHeight="1">
      <x:c r="A946" s="19" t="str">
        <x:v>W14-20261207-0945</x:v>
      </x:c>
      <x:c r="B946" s="13" t="n">
        <x:v>14</x:v>
      </x:c>
      <x:c r="C946" s="13" t="str">
        <x:v>Этап 4 — Типы хвата и специфическая сила пальцев</x:v>
      </x:c>
      <x:c r="D946" s="138" t="str">
        <x:v>2026-12-07</x:v>
      </x:c>
      <x:c r="E946" s="13" t="str">
        <x:v>Понедельник</x:v>
      </x:c>
      <x:c r="F946" s="13" t="str">
        <x:v>Дом / теория</x:v>
      </x:c>
      <x:c r="G946" s="44" t="n">
        <x:v>0.01597222222222222</x:v>
      </x:c>
      <x:c r="H946" s="44" t="n">
        <x:v>0.024305555555555556</x:v>
      </x:c>
      <x:c r="I946" s="32" t="n">
        <x:f>ROUND((H946-G946)*1440,0)</x:f>
        <x:v>12</x:v>
      </x:c>
      <x:c r="J946" s="13" t="str">
        <x:v>Домашняя мобильность</x:v>
      </x:c>
      <x:c r="K946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946" s="13" t="str">
        <x:v>☐ Не начато</x:v>
      </x:c>
      <x:c r="M946" s="13" t="str">
        <x:v>Обязательно</x:v>
      </x:c>
      <x:c r="N946" s="13" t="str">
        <x:v>RPE 2–3</x:v>
      </x:c>
      <x:c r="O946" s="13" t="str">
        <x:v>Никаких скручиваний через боль. Плечом не отталкивайся от стены; касание только для равновесия.</x:v>
      </x:c>
      <x:c r="P946" s="13" t="str">
        <x:v>milestone_04_grip_literacy_strength/week_14_2026-12-07/01_MONDAY.md</x:v>
      </x:c>
      <x:c r="Q946" s="138" t="str">
        <x:v>Markdown</x:v>
      </x:c>
      <x:c r="R946" s="20" t="str"/>
    </x:row>
    <x:row r="947" ht="36" customHeight="1">
      <x:c r="A947" s="19" t="str">
        <x:v>W14-20261207-0946</x:v>
      </x:c>
      <x:c r="B947" s="13" t="n">
        <x:v>14</x:v>
      </x:c>
      <x:c r="C947" s="13" t="str">
        <x:v>Этап 4 — Типы хвата и специфическая сила пальцев</x:v>
      </x:c>
      <x:c r="D947" s="138" t="str">
        <x:v>2026-12-07</x:v>
      </x:c>
      <x:c r="E947" s="13" t="str">
        <x:v>Понедельник</x:v>
      </x:c>
      <x:c r="F947" s="13" t="str">
        <x:v>Дом / теория</x:v>
      </x:c>
      <x:c r="G947" s="44" t="n">
        <x:v>0.024305555555555556</x:v>
      </x:c>
      <x:c r="H947" s="44" t="n">
        <x:v>0.03819444444444445</x:v>
      </x:c>
      <x:c r="I947" s="32" t="n">
        <x:f>ROUND((H947-G947)*1440,0)</x:f>
        <x:v>20</x:v>
      </x:c>
      <x:c r="J947" s="13" t="str">
        <x:v>Физиотерапия</x:v>
      </x:c>
      <x:c r="K947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947" s="13" t="str">
        <x:v>☐ Не начато</x:v>
      </x:c>
      <x:c r="M947" s="13" t="str">
        <x:v>По назначению</x:v>
      </x:c>
      <x:c r="N947" s="13" t="str">
        <x:v>По назначению физиотерапевта</x:v>
      </x:c>
      <x:c r="O947" s="13" t="str">
        <x:v>Любые указания физиотерапевта имеют приоритет над этим планом.</x:v>
      </x:c>
      <x:c r="P947" s="13" t="str">
        <x:v>milestone_04_grip_literacy_strength/week_14_2026-12-07/01_MONDAY.md</x:v>
      </x:c>
      <x:c r="Q947" s="138" t="str">
        <x:v>Markdown</x:v>
      </x:c>
      <x:c r="R947" s="20" t="str"/>
    </x:row>
    <x:row r="948" ht="36" customHeight="1">
      <x:c r="A948" s="19" t="str">
        <x:v>W14-20261207-0947</x:v>
      </x:c>
      <x:c r="B948" s="13" t="n">
        <x:v>14</x:v>
      </x:c>
      <x:c r="C948" s="13" t="str">
        <x:v>Этап 4 — Типы хвата и специфическая сила пальцев</x:v>
      </x:c>
      <x:c r="D948" s="138" t="str">
        <x:v>2026-12-07</x:v>
      </x:c>
      <x:c r="E948" s="13" t="str">
        <x:v>Понедельник</x:v>
      </x:c>
      <x:c r="F948" s="13" t="str">
        <x:v>Дом / теория</x:v>
      </x:c>
      <x:c r="G948" s="44" t="n">
        <x:v>0.03819444444444445</x:v>
      </x:c>
      <x:c r="H948" s="44" t="n">
        <x:v>0.041666666666666664</x:v>
      </x:c>
      <x:c r="I948" s="32" t="n">
        <x:f>ROUND((H948-G948)*1440,0)</x:f>
        <x:v>5</x:v>
      </x:c>
      <x:c r="J948" s="13" t="str">
        <x:v>Покупка / организация</x:v>
      </x:c>
      <x:c r="K948" s="13" t="str">
        <x:v>Щётка должна быть мягкой/обычной для зала; не использовать металлическую.</x:v>
      </x:c>
      <x:c r="L948" s="13" t="str">
        <x:v>☐ Не начато</x:v>
      </x:c>
      <x:c r="M948" s="13" t="str">
        <x:v>Опционально</x:v>
      </x:c>
      <x:c r="N948" s="13" t="str">
        <x:v>Без нагрузки</x:v>
      </x:c>
      <x:c r="O948" s="13" t="str"/>
      <x:c r="P948" s="13" t="str">
        <x:v>milestone_04_grip_literacy_strength/week_14_2026-12-07/01_MONDAY.md</x:v>
      </x:c>
      <x:c r="Q948" s="138" t="str">
        <x:v>Markdown</x:v>
      </x:c>
      <x:c r="R948" s="20" t="str"/>
    </x:row>
    <x:row r="949" ht="36" customHeight="1">
      <x:c r="A949" s="19" t="str">
        <x:v>W14-20261207-0948</x:v>
      </x:c>
      <x:c r="B949" s="13" t="n">
        <x:v>14</x:v>
      </x:c>
      <x:c r="C949" s="13" t="str">
        <x:v>Этап 4 — Типы хвата и специфическая сила пальцев</x:v>
      </x:c>
      <x:c r="D949" s="138" t="str">
        <x:v>2026-12-07</x:v>
      </x:c>
      <x:c r="E949" s="13" t="str">
        <x:v>Понедельник</x:v>
      </x:c>
      <x:c r="F949" s="13" t="str">
        <x:v>Дом / теория</x:v>
      </x:c>
      <x:c r="G949" s="44" t="n">
        <x:v>0.041666666666666664</x:v>
      </x:c>
      <x:c r="H949" s="44" t="n">
        <x:v>0.04375</x:v>
      </x:c>
      <x:c r="I949" s="32" t="n">
        <x:f>ROUND((H949-G949)*1440,0)</x:f>
        <x:v>3</x:v>
      </x:c>
      <x:c r="J949" s="13" t="str">
        <x:v>Подготовка</x:v>
      </x:c>
      <x:c r="K949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949" s="13" t="str">
        <x:v>☐ Не начато</x:v>
      </x:c>
      <x:c r="M949" s="13" t="str">
        <x:v>Обязательно</x:v>
      </x:c>
      <x:c r="N949" s="13" t="str">
        <x:v>Без нагрузки</x:v>
      </x:c>
      <x:c r="O949" s="13" t="str">
        <x:v>Кольца и турник — только в рамках программы физиотерапевта.</x:v>
      </x:c>
      <x:c r="P949" s="13" t="str">
        <x:v>milestone_04_grip_literacy_strength/week_14_2026-12-07/01_MONDAY.md</x:v>
      </x:c>
      <x:c r="Q949" s="138" t="str">
        <x:v>Markdown</x:v>
      </x:c>
      <x:c r="R949" s="20" t="str"/>
    </x:row>
    <x:row r="950" ht="36" customHeight="1">
      <x:c r="A950" s="19" t="str">
        <x:v>W14-20261208-0949</x:v>
      </x:c>
      <x:c r="B950" s="13" t="n">
        <x:v>14</x:v>
      </x:c>
      <x:c r="C950" s="13" t="str">
        <x:v>Этап 4 — Типы хвата и специфическая сила пальцев</x:v>
      </x:c>
      <x:c r="D950" s="138" t="str">
        <x:v>2026-12-08</x:v>
      </x:c>
      <x:c r="E950" s="13" t="str">
        <x:v>Вторник</x:v>
      </x:c>
      <x:c r="F950" s="13" t="str">
        <x:v>Тренировка A — техника/объём</x:v>
      </x:c>
      <x:c r="G950" s="44" t="n">
        <x:v>0</x:v>
      </x:c>
      <x:c r="H950" s="44" t="n">
        <x:v>0.0020833333333333333</x:v>
      </x:c>
      <x:c r="I950" s="32" t="n">
        <x:f>ROUND((H950-G950)*1440,0)</x:f>
        <x:v>3</x:v>
      </x:c>
      <x:c r="J950" s="13" t="str">
        <x:v>Самопроверка</x:v>
      </x:c>
      <x:c r="K950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950" s="13" t="str">
        <x:v>☐ Не начато</x:v>
      </x:c>
      <x:c r="M950" s="13" t="str">
        <x:v>Обязательно</x:v>
      </x:c>
      <x:c r="N950" s="13" t="str">
        <x:v>Без нагрузки</x:v>
      </x:c>
      <x:c r="O950" s="13" t="str">
        <x:v>Красный флаг = не начинать пальцевую нагрузку.</x:v>
      </x:c>
      <x:c r="P950" s="13" t="str">
        <x:v>milestone_04_grip_literacy_strength/week_14_2026-12-07/02_TUESDAY.md</x:v>
      </x:c>
      <x:c r="Q950" s="138" t="str">
        <x:v>Markdown</x:v>
      </x:c>
      <x:c r="R950" s="20" t="str"/>
    </x:row>
    <x:row r="951" ht="36" customHeight="1">
      <x:c r="A951" s="19" t="str">
        <x:v>W14-20261208-0950</x:v>
      </x:c>
      <x:c r="B951" s="13" t="n">
        <x:v>14</x:v>
      </x:c>
      <x:c r="C951" s="13" t="str">
        <x:v>Этап 4 — Типы хвата и специфическая сила пальцев</x:v>
      </x:c>
      <x:c r="D951" s="138" t="str">
        <x:v>2026-12-08</x:v>
      </x:c>
      <x:c r="E951" s="13" t="str">
        <x:v>Вторник</x:v>
      </x:c>
      <x:c r="F951" s="13" t="str">
        <x:v>Тренировка A — техника/объём</x:v>
      </x:c>
      <x:c r="G951" s="44" t="n">
        <x:v>0.0020833333333333333</x:v>
      </x:c>
      <x:c r="H951" s="44" t="n">
        <x:v>0.005555555555555556</x:v>
      </x:c>
      <x:c r="I951" s="32" t="n">
        <x:f>ROUND((H951-G951)*1440,0)</x:f>
        <x:v>5</x:v>
      </x:c>
      <x:c r="J951" s="13" t="str">
        <x:v>Разминка</x:v>
      </x:c>
      <x:c r="K951" s="13" t="str">
        <x:v>Подними температуру: быстрая ходьба, лестница или лёгкий велотренажёр 5 минут.</x:v>
      </x:c>
      <x:c r="L951" s="13" t="str">
        <x:v>☐ Не начато</x:v>
      </x:c>
      <x:c r="M951" s="13" t="str">
        <x:v>Обязательно</x:v>
      </x:c>
      <x:c r="N951" s="13" t="str">
        <x:v>RPE 2–3</x:v>
      </x:c>
      <x:c r="O951" s="13" t="str"/>
      <x:c r="P951" s="13" t="str">
        <x:v>milestone_04_grip_literacy_strength/week_14_2026-12-07/02_TUESDAY.md</x:v>
      </x:c>
      <x:c r="Q951" s="138" t="str">
        <x:v>Markdown</x:v>
      </x:c>
      <x:c r="R951" s="20" t="str"/>
    </x:row>
    <x:row r="952" ht="36" customHeight="1">
      <x:c r="A952" s="19" t="str">
        <x:v>W14-20261208-0951</x:v>
      </x:c>
      <x:c r="B952" s="13" t="n">
        <x:v>14</x:v>
      </x:c>
      <x:c r="C952" s="13" t="str">
        <x:v>Этап 4 — Типы хвата и специфическая сила пальцев</x:v>
      </x:c>
      <x:c r="D952" s="138" t="str">
        <x:v>2026-12-08</x:v>
      </x:c>
      <x:c r="E952" s="13" t="str">
        <x:v>Вторник</x:v>
      </x:c>
      <x:c r="F952" s="13" t="str">
        <x:v>Тренировка A — техника/объём</x:v>
      </x:c>
      <x:c r="G952" s="44" t="n">
        <x:v>0.005555555555555556</x:v>
      </x:c>
      <x:c r="H952" s="44" t="n">
        <x:v>0.009027777777777777</x:v>
      </x:c>
      <x:c r="I952" s="32" t="n">
        <x:f>ROUND((H952-G952)*1440,0)</x:f>
        <x:v>5</x:v>
      </x:c>
      <x:c r="J952" s="13" t="str">
        <x:v>Разминка</x:v>
      </x:c>
      <x:c r="K952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952" s="13" t="str">
        <x:v>☐ Не начато</x:v>
      </x:c>
      <x:c r="M952" s="13" t="str">
        <x:v>Обязательно</x:v>
      </x:c>
      <x:c r="N952" s="13" t="str">
        <x:v>Очень легко</x:v>
      </x:c>
      <x:c r="O952" s="13" t="str">
        <x:v>Не делай press/отжимания и движения, которые раздражают плечо.</x:v>
      </x:c>
      <x:c r="P952" s="13" t="str">
        <x:v>milestone_04_grip_literacy_strength/week_14_2026-12-07/02_TUESDAY.md</x:v>
      </x:c>
      <x:c r="Q952" s="138" t="str">
        <x:v>Markdown</x:v>
      </x:c>
      <x:c r="R952" s="20" t="str"/>
    </x:row>
    <x:row r="953" ht="36" customHeight="1">
      <x:c r="A953" s="19" t="str">
        <x:v>W14-20261208-0952</x:v>
      </x:c>
      <x:c r="B953" s="13" t="n">
        <x:v>14</x:v>
      </x:c>
      <x:c r="C953" s="13" t="str">
        <x:v>Этап 4 — Типы хвата и специфическая сила пальцев</x:v>
      </x:c>
      <x:c r="D953" s="138" t="str">
        <x:v>2026-12-08</x:v>
      </x:c>
      <x:c r="E953" s="13" t="str">
        <x:v>Вторник</x:v>
      </x:c>
      <x:c r="F953" s="13" t="str">
        <x:v>Тренировка A — техника/объём</x:v>
      </x:c>
      <x:c r="G953" s="44" t="n">
        <x:v>0.009027777777777777</x:v>
      </x:c>
      <x:c r="H953" s="44" t="n">
        <x:v>0.011805555555555555</x:v>
      </x:c>
      <x:c r="I953" s="32" t="n">
        <x:f>ROUND((H953-G953)*1440,0)</x:f>
        <x:v>4</x:v>
      </x:c>
      <x:c r="J953" s="13" t="str">
        <x:v>Разминка пальцев</x:v>
      </x:c>
      <x:c r="K953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953" s="13" t="str">
        <x:v>☐ Не начато</x:v>
      </x:c>
      <x:c r="M953" s="13" t="str">
        <x:v>Обязательно</x:v>
      </x:c>
      <x:c r="N953" s="13" t="str">
        <x:v>Очень легко</x:v>
      </x:c>
      <x:c r="O953" s="13" t="str"/>
      <x:c r="P953" s="13" t="str">
        <x:v>milestone_04_grip_literacy_strength/week_14_2026-12-07/02_TUESDAY.md</x:v>
      </x:c>
      <x:c r="Q953" s="138" t="str">
        <x:v>Markdown</x:v>
      </x:c>
      <x:c r="R953" s="20" t="str"/>
    </x:row>
    <x:row r="954" ht="36" customHeight="1">
      <x:c r="A954" s="19" t="str">
        <x:v>W14-20261208-0953</x:v>
      </x:c>
      <x:c r="B954" s="13" t="n">
        <x:v>14</x:v>
      </x:c>
      <x:c r="C954" s="13" t="str">
        <x:v>Этап 4 — Типы хвата и специфическая сила пальцев</x:v>
      </x:c>
      <x:c r="D954" s="138" t="str">
        <x:v>2026-12-08</x:v>
      </x:c>
      <x:c r="E954" s="13" t="str">
        <x:v>Вторник</x:v>
      </x:c>
      <x:c r="F954" s="13" t="str">
        <x:v>Тренировка A — техника/объём</x:v>
      </x:c>
      <x:c r="G954" s="44" t="n">
        <x:v>0.011805555555555555</x:v>
      </x:c>
      <x:c r="H954" s="44" t="n">
        <x:v>0.014583333333333334</x:v>
      </x:c>
      <x:c r="I954" s="32" t="n">
        <x:f>ROUND((H954-G954)*1440,0)</x:f>
        <x:v>4</x:v>
      </x:c>
      <x:c r="J954" s="13" t="str">
        <x:v>Разминочное лазание</x:v>
      </x:c>
      <x:c r="K954" s="13" t="str">
        <x:v>Пройди 2 очень лёгкие трассы уровня 1–2; двигайся медленно, спускайся по зацепам.</x:v>
      </x:c>
      <x:c r="L954" s="13" t="str">
        <x:v>☐ Не начато</x:v>
      </x:c>
      <x:c r="M954" s="13" t="str">
        <x:v>Обязательно</x:v>
      </x:c>
      <x:c r="N954" s="13" t="str">
        <x:v>RPE 2–3</x:v>
      </x:c>
      <x:c r="O954" s="13" t="str">
        <x:v>Финиш с обязательным болезненным mantle/press пропусти.</x:v>
      </x:c>
      <x:c r="P954" s="13" t="str">
        <x:v>milestone_04_grip_literacy_strength/week_14_2026-12-07/02_TUESDAY.md</x:v>
      </x:c>
      <x:c r="Q954" s="138" t="str">
        <x:v>Markdown</x:v>
      </x:c>
      <x:c r="R954" s="20" t="str"/>
    </x:row>
    <x:row r="955" ht="36" customHeight="1">
      <x:c r="A955" s="19" t="str">
        <x:v>W14-20261208-0954</x:v>
      </x:c>
      <x:c r="B955" s="13" t="n">
        <x:v>14</x:v>
      </x:c>
      <x:c r="C955" s="13" t="str">
        <x:v>Этап 4 — Типы хвата и специфическая сила пальцев</x:v>
      </x:c>
      <x:c r="D955" s="138" t="str">
        <x:v>2026-12-08</x:v>
      </x:c>
      <x:c r="E955" s="13" t="str">
        <x:v>Вторник</x:v>
      </x:c>
      <x:c r="F955" s="13" t="str">
        <x:v>Тренировка A — техника/объём</x:v>
      </x:c>
      <x:c r="G955" s="44" t="n">
        <x:v>0.014583333333333334</x:v>
      </x:c>
      <x:c r="H955" s="44" t="n">
        <x:v>0.017361111111111112</x:v>
      </x:c>
      <x:c r="I955" s="32" t="n">
        <x:f>ROUND((H955-G955)*1440,0)</x:f>
        <x:v>4</x:v>
      </x:c>
      <x:c r="J955" s="13" t="str">
        <x:v>Разминочное лазание</x:v>
      </x:c>
      <x:c r="K955" s="13" t="str">
        <x:v>Пройди 2 трассы уровня 2–3, затем сделай 2–3 движения на комфортной четвёрке. Между ними 45–60 секунд.</x:v>
      </x:c>
      <x:c r="L955" s="13" t="str">
        <x:v>☐ Не начато</x:v>
      </x:c>
      <x:c r="M955" s="13" t="str">
        <x:v>Обязательно</x:v>
      </x:c>
      <x:c r="N955" s="13" t="str">
        <x:v>RPE 3–4</x:v>
      </x:c>
      <x:c r="O955" s="13" t="str">
        <x:v>Разминка не должна утомить пальцы.</x:v>
      </x:c>
      <x:c r="P955" s="13" t="str">
        <x:v>milestone_04_grip_literacy_strength/week_14_2026-12-07/02_TUESDAY.md</x:v>
      </x:c>
      <x:c r="Q955" s="138" t="str">
        <x:v>Markdown</x:v>
      </x:c>
      <x:c r="R955" s="20" t="str"/>
    </x:row>
    <x:row r="956" ht="36" customHeight="1">
      <x:c r="A956" s="19" t="str">
        <x:v>W14-20261208-0955</x:v>
      </x:c>
      <x:c r="B956" s="13" t="n">
        <x:v>14</x:v>
      </x:c>
      <x:c r="C956" s="13" t="str">
        <x:v>Этап 4 — Типы хвата и специфическая сила пальцев</x:v>
      </x:c>
      <x:c r="D956" s="138" t="str">
        <x:v>2026-12-08</x:v>
      </x:c>
      <x:c r="E956" s="13" t="str">
        <x:v>Вторник</x:v>
      </x:c>
      <x:c r="F956" s="13" t="str">
        <x:v>Тренировка A — техника/объём</x:v>
      </x:c>
      <x:c r="G956" s="44" t="n">
        <x:v>0.017361111111111112</x:v>
      </x:c>
      <x:c r="H956" s="44" t="n">
        <x:v>0.02013888888888889</x:v>
      </x:c>
      <x:c r="I956" s="32" t="n">
        <x:f>ROUND((H956-G956)*1440,0)</x:f>
        <x:v>4</x:v>
      </x:c>
      <x:c r="J956" s="13" t="str">
        <x:v>Выбор трасс</x:v>
      </x:c>
      <x:c r="K956" s="13" t="str">
        <x:v>Найди трассы для упражнения: 3 лёгкие трассы 2–3 со sloper/округлыми зацепами; пробовать разные положения таза, не менять силу сжатия.</x:v>
      </x:c>
      <x:c r="L956" s="13" t="str">
        <x:v>☐ Не начато</x:v>
      </x:c>
      <x:c r="M956" s="13" t="str">
        <x:v>Обязательно</x:v>
      </x:c>
      <x:c r="N956" s="13" t="str">
        <x:v>Без нагрузки</x:v>
      </x:c>
      <x:c r="O956" s="13" t="str">
        <x:v>Если sloper требует болезненной компрессии плечом, заменить трассу. Не тереть кожу до повреждения.</x:v>
      </x:c>
      <x:c r="P956" s="13" t="str">
        <x:v>milestone_04_grip_literacy_strength/week_14_2026-12-07/02_TUESDAY.md</x:v>
      </x:c>
      <x:c r="Q956" s="138" t="str">
        <x:v>Markdown</x:v>
      </x:c>
      <x:c r="R956" s="20" t="str"/>
    </x:row>
    <x:row r="957" ht="36" customHeight="1">
      <x:c r="A957" s="19" t="str">
        <x:v>W14-20261208-0956</x:v>
      </x:c>
      <x:c r="B957" s="13" t="n">
        <x:v>14</x:v>
      </x:c>
      <x:c r="C957" s="13" t="str">
        <x:v>Этап 4 — Типы хвата и специфическая сила пальцев</x:v>
      </x:c>
      <x:c r="D957" s="138" t="str">
        <x:v>2026-12-08</x:v>
      </x:c>
      <x:c r="E957" s="13" t="str">
        <x:v>Вторник</x:v>
      </x:c>
      <x:c r="F957" s="13" t="str">
        <x:v>Тренировка A — техника/объём</x:v>
      </x:c>
      <x:c r="G957" s="44" t="n">
        <x:v>0.02013888888888889</x:v>
      </x:c>
      <x:c r="H957" s="44" t="n">
        <x:v>0.03194444444444444</x:v>
      </x:c>
      <x:c r="I957" s="32" t="n">
        <x:f>ROUND((H957-G957)*1440,0)</x:f>
        <x:v>17</x:v>
      </x:c>
      <x:c r="J957" s="13" t="str">
        <x:v>Технический блок</x:v>
      </x:c>
      <x:c r="K957" s="13" t="str">
        <x:v>Отработай «Sloper». Шаги: Положи на зацеп максимум поверхности пальцев/ладони. Сохрани кисть открытой и найди направление, в котором зацеп держит. Меняй положение таза на несколько сантиметров, не усиливая сжатие.</x:v>
      </x:c>
      <x:c r="L957" s="13" t="str">
        <x:v>☐ Не начато</x:v>
      </x:c>
      <x:c r="M957" s="13" t="str">
        <x:v>Обязательно</x:v>
      </x:c>
      <x:c r="N957" s="13" t="str">
        <x:v>RPE 3–5</x:v>
      </x:c>
      <x:c r="O957" s="13" t="str">
        <x:v>Болезненная компрессия плечом = другая трасса. Не повреждать кожу повторными срывами.</x:v>
      </x:c>
      <x:c r="P957" s="13" t="str">
        <x:v>milestone_04_grip_literacy_strength/week_14_2026-12-07/02_TUESDAY.md</x:v>
      </x:c>
      <x:c r="Q957" s="138" t="str">
        <x:v>Markdown</x:v>
      </x:c>
      <x:c r="R957" s="20" t="str"/>
    </x:row>
    <x:row r="958" ht="36" customHeight="1">
      <x:c r="A958" s="19" t="str">
        <x:v>W14-20261208-0957</x:v>
      </x:c>
      <x:c r="B958" s="13" t="n">
        <x:v>14</x:v>
      </x:c>
      <x:c r="C958" s="13" t="str">
        <x:v>Этап 4 — Типы хвата и специфическая сила пальцев</x:v>
      </x:c>
      <x:c r="D958" s="138" t="str">
        <x:v>2026-12-08</x:v>
      </x:c>
      <x:c r="E958" s="13" t="str">
        <x:v>Вторник</x:v>
      </x:c>
      <x:c r="F958" s="13" t="str">
        <x:v>Тренировка A — техника/объём</x:v>
      </x:c>
      <x:c r="G958" s="44" t="n">
        <x:v>0.03194444444444444</x:v>
      </x:c>
      <x:c r="H958" s="44" t="n">
        <x:v>0.035416666666666666</x:v>
      </x:c>
      <x:c r="I958" s="32" t="n">
        <x:f>ROUND((H958-G958)*1440,0)</x:f>
        <x:v>5</x:v>
      </x:c>
      <x:c r="J958" s="13" t="str">
        <x:v>Обратная связь</x:v>
      </x:c>
      <x:c r="K958" s="13" t="str">
        <x:v>Повтори лучшую лёгкую трассу и проверь критерий успеха: Минимум две позиции становятся заметно устойчивее только за счёт корпуса.</x:v>
      </x:c>
      <x:c r="L958" s="13" t="str">
        <x:v>☐ Не начато</x:v>
      </x:c>
      <x:c r="M958" s="13" t="str">
        <x:v>Обязательно</x:v>
      </x:c>
      <x:c r="N958" s="13" t="str">
        <x:v>RPE 4–5</x:v>
      </x:c>
      <x:c r="O958" s="13" t="str"/>
      <x:c r="P958" s="13" t="str">
        <x:v>milestone_04_grip_literacy_strength/week_14_2026-12-07/02_TUESDAY.md</x:v>
      </x:c>
      <x:c r="Q958" s="138" t="str">
        <x:v>Markdown</x:v>
      </x:c>
      <x:c r="R958" s="20" t="str"/>
    </x:row>
    <x:row r="959" ht="36" customHeight="1">
      <x:c r="A959" s="19" t="str">
        <x:v>W14-20261208-0958</x:v>
      </x:c>
      <x:c r="B959" s="13" t="n">
        <x:v>14</x:v>
      </x:c>
      <x:c r="C959" s="13" t="str">
        <x:v>Этап 4 — Типы хвата и специфическая сила пальцев</x:v>
      </x:c>
      <x:c r="D959" s="138" t="str">
        <x:v>2026-12-08</x:v>
      </x:c>
      <x:c r="E959" s="13" t="str">
        <x:v>Вторник</x:v>
      </x:c>
      <x:c r="F959" s="13" t="str">
        <x:v>Тренировка A — техника/объём</x:v>
      </x:c>
      <x:c r="G959" s="44" t="n">
        <x:v>0.035416666666666666</x:v>
      </x:c>
      <x:c r="H959" s="44" t="n">
        <x:v>0.04583333333333333</x:v>
      </x:c>
      <x:c r="I959" s="32" t="n">
        <x:f>ROUND((H959-G959)*1440,0)</x:f>
        <x:v>15</x:v>
      </x:c>
      <x:c r="J959" s="13" t="str">
        <x:v>Качественный объём</x:v>
      </x:c>
      <x:c r="K959" s="13" t="str">
        <x:v>Попробуй 2–3 четвёрки, максимум 2 попытки на каждую, отдых 2:00. На неудаче назови техническую причину.</x:v>
      </x:c>
      <x:c r="L959" s="13" t="str">
        <x:v>☐ Не начато</x:v>
      </x:c>
      <x:c r="M959" s="13" t="str">
        <x:v>Обязательно</x:v>
      </x:c>
      <x:c r="N959" s="13" t="str">
        <x:v>RPE 6–7</x:v>
      </x:c>
      <x:c r="O959" s="13" t="str">
        <x:v>Не выбирать подряд три трассы на одинаково маленьких кромках.</x:v>
      </x:c>
      <x:c r="P959" s="13" t="str">
        <x:v>milestone_04_grip_literacy_strength/week_14_2026-12-07/02_TUESDAY.md</x:v>
      </x:c>
      <x:c r="Q959" s="138" t="str">
        <x:v>Markdown</x:v>
      </x:c>
      <x:c r="R959" s="20" t="str"/>
    </x:row>
    <x:row r="960" ht="36" customHeight="1">
      <x:c r="A960" s="19" t="str">
        <x:v>W14-20261208-0959</x:v>
      </x:c>
      <x:c r="B960" s="13" t="n">
        <x:v>14</x:v>
      </x:c>
      <x:c r="C960" s="13" t="str">
        <x:v>Этап 4 — Типы хвата и специфическая сила пальцев</x:v>
      </x:c>
      <x:c r="D960" s="138" t="str">
        <x:v>2026-12-08</x:v>
      </x:c>
      <x:c r="E960" s="13" t="str">
        <x:v>Вторник</x:v>
      </x:c>
      <x:c r="F960" s="13" t="str">
        <x:v>Тренировка A — техника/объём</x:v>
      </x:c>
      <x:c r="G960" s="44" t="n">
        <x:v>0.04583333333333333</x:v>
      </x:c>
      <x:c r="H960" s="44" t="n">
        <x:v>0.052083333333333336</x:v>
      </x:c>
      <x:c r="I960" s="32" t="n">
        <x:f>ROUND((H960-G960)*1440,0)</x:f>
        <x:v>9</x:v>
      </x:c>
      <x:c r="J960" s="13" t="str">
        <x:v>Рабочая пятёрка</x:v>
      </x:c>
      <x:c r="K960" s="13" t="str">
        <x:v>Одна пятёрка, максимум 2 попытки, отдых 3:00. Цель — применить тему недели, а не обязательно закрыть.</x:v>
      </x:c>
      <x:c r="L960" s="13" t="str">
        <x:v>☐ Не начато</x:v>
      </x:c>
      <x:c r="M960" s="13" t="str">
        <x:v>Обязательно</x:v>
      </x:c>
      <x:c r="N960" s="13" t="str">
        <x:v>RPE 7–8</x:v>
      </x:c>
      <x:c r="O960" s="13" t="str">
        <x:v>Если sloper требует болезненной компрессии плечом, заменить трассу. Не тереть кожу до повреждения.</x:v>
      </x:c>
      <x:c r="P960" s="13" t="str">
        <x:v>milestone_04_grip_literacy_strength/week_14_2026-12-07/02_TUESDAY.md</x:v>
      </x:c>
      <x:c r="Q960" s="138" t="str">
        <x:v>Markdown</x:v>
      </x:c>
      <x:c r="R960" s="20" t="str"/>
    </x:row>
    <x:row r="961" ht="36" customHeight="1">
      <x:c r="A961" s="19" t="str">
        <x:v>W14-20261208-0960</x:v>
      </x:c>
      <x:c r="B961" s="13" t="n">
        <x:v>14</x:v>
      </x:c>
      <x:c r="C961" s="13" t="str">
        <x:v>Этап 4 — Типы хвата и специфическая сила пальцев</x:v>
      </x:c>
      <x:c r="D961" s="138" t="str">
        <x:v>2026-12-08</x:v>
      </x:c>
      <x:c r="E961" s="13" t="str">
        <x:v>Вторник</x:v>
      </x:c>
      <x:c r="F961" s="13" t="str">
        <x:v>Тренировка A — техника/объём</x:v>
      </x:c>
      <x:c r="G961" s="44" t="n">
        <x:v>0.052083333333333336</x:v>
      </x:c>
      <x:c r="H961" s="44" t="n">
        <x:v>0.058333333333333334</x:v>
      </x:c>
      <x:c r="I961" s="32" t="n">
        <x:f>ROUND((H961-G961)*1440,0)</x:f>
        <x:v>9</x:v>
      </x:c>
      <x:c r="J961" s="13" t="str">
        <x:v>Лёгкая выносливость</x:v>
      </x:c>
      <x:c r="K961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961" s="13" t="str">
        <x:v>☐ Не начато</x:v>
      </x:c>
      <x:c r="M961" s="13" t="str">
        <x:v>Обязательно</x:v>
      </x:c>
      <x:c r="N961" s="13" t="str">
        <x:v>Памп максимум 4/10</x:v>
      </x:c>
      <x:c r="O961" s="13" t="str">
        <x:v>Остановиться при неточной постановке ног или разжимании пальцев.</x:v>
      </x:c>
      <x:c r="P961" s="13" t="str">
        <x:v>milestone_04_grip_literacy_strength/week_14_2026-12-07/02_TUESDAY.md</x:v>
      </x:c>
      <x:c r="Q961" s="138" t="str">
        <x:v>Markdown</x:v>
      </x:c>
      <x:c r="R961" s="20" t="str"/>
    </x:row>
    <x:row r="962" ht="36" customHeight="1">
      <x:c r="A962" s="19" t="str">
        <x:v>W14-20261208-0961</x:v>
      </x:c>
      <x:c r="B962" s="13" t="n">
        <x:v>14</x:v>
      </x:c>
      <x:c r="C962" s="13" t="str">
        <x:v>Этап 4 — Типы хвата и специфическая сила пальцев</x:v>
      </x:c>
      <x:c r="D962" s="138" t="str">
        <x:v>2026-12-08</x:v>
      </x:c>
      <x:c r="E962" s="13" t="str">
        <x:v>Вторник</x:v>
      </x:c>
      <x:c r="F962" s="13" t="str">
        <x:v>Тренировка A — техника/объём</x:v>
      </x:c>
      <x:c r="G962" s="44" t="n">
        <x:v>0.058333333333333334</x:v>
      </x:c>
      <x:c r="H962" s="44" t="n">
        <x:v>0.06041666666666667</x:v>
      </x:c>
      <x:c r="I962" s="32" t="n">
        <x:f>ROUND((H962-G962)*1440,0)</x:f>
        <x:v>3</x:v>
      </x:c>
      <x:c r="J962" s="13" t="str">
        <x:v>Завершение</x:v>
      </x:c>
      <x:c r="K962" s="13" t="str">
        <x:v>Очень лёгкий спуск/ходьба и спокойное встряхивание кистей.</x:v>
      </x:c>
      <x:c r="L962" s="13" t="str">
        <x:v>☐ Не начато</x:v>
      </x:c>
      <x:c r="M962" s="13" t="str">
        <x:v>Обязательно</x:v>
      </x:c>
      <x:c r="N962" s="13" t="str">
        <x:v>RPE 1–2</x:v>
      </x:c>
      <x:c r="O962" s="13" t="str"/>
      <x:c r="P962" s="13" t="str">
        <x:v>milestone_04_grip_literacy_strength/week_14_2026-12-07/02_TUESDAY.md</x:v>
      </x:c>
      <x:c r="Q962" s="138" t="str">
        <x:v>Markdown</x:v>
      </x:c>
      <x:c r="R962" s="20" t="str"/>
    </x:row>
    <x:row r="963" ht="36" customHeight="1">
      <x:c r="A963" s="19" t="str">
        <x:v>W14-20261208-0962</x:v>
      </x:c>
      <x:c r="B963" s="13" t="n">
        <x:v>14</x:v>
      </x:c>
      <x:c r="C963" s="13" t="str">
        <x:v>Этап 4 — Типы хвата и специфическая сила пальцев</x:v>
      </x:c>
      <x:c r="D963" s="138" t="str">
        <x:v>2026-12-08</x:v>
      </x:c>
      <x:c r="E963" s="13" t="str">
        <x:v>Вторник</x:v>
      </x:c>
      <x:c r="F963" s="13" t="str">
        <x:v>Тренировка A — техника/объём</x:v>
      </x:c>
      <x:c r="G963" s="44" t="n">
        <x:v>0.06041666666666667</x:v>
      </x:c>
      <x:c r="H963" s="44" t="n">
        <x:v>0.0625</x:v>
      </x:c>
      <x:c r="I963" s="32" t="n">
        <x:f>ROUND((H963-G963)*1440,0)</x:f>
        <x:v>3</x:v>
      </x:c>
      <x:c r="J963" s="13" t="str">
        <x:v>Журнал</x:v>
      </x:c>
      <x:c r="K963" s="13" t="str">
        <x:v>Запиши: Найти минимум 2 позиции, где sloper становится лучше только из-за изменения тела. Также отметь минуту первой просадки хвата.</x:v>
      </x:c>
      <x:c r="L963" s="13" t="str">
        <x:v>☐ Не начато</x:v>
      </x:c>
      <x:c r="M963" s="13" t="str">
        <x:v>Обязательно</x:v>
      </x:c>
      <x:c r="N963" s="13" t="str">
        <x:v>Без нагрузки</x:v>
      </x:c>
      <x:c r="O963" s="13" t="str"/>
      <x:c r="P963" s="13" t="str">
        <x:v>milestone_04_grip_literacy_strength/week_14_2026-12-07/02_TUESDAY.md</x:v>
      </x:c>
      <x:c r="Q963" s="138" t="str">
        <x:v>Markdown</x:v>
      </x:c>
      <x:c r="R963" s="20" t="str"/>
    </x:row>
    <x:row r="964" ht="36" customHeight="1">
      <x:c r="A964" s="19" t="str">
        <x:v>W14-20261209-0963</x:v>
      </x:c>
      <x:c r="B964" s="13" t="n">
        <x:v>14</x:v>
      </x:c>
      <x:c r="C964" s="13" t="str">
        <x:v>Этап 4 — Типы хвата и специфическая сила пальцев</x:v>
      </x:c>
      <x:c r="D964" s="138" t="str">
        <x:v>2026-12-09</x:v>
      </x:c>
      <x:c r="E964" s="13" t="str">
        <x:v>Среда</x:v>
      </x:c>
      <x:c r="F964" s="13" t="str">
        <x:v>Восстановление / видео</x:v>
      </x:c>
      <x:c r="G964" s="44" t="n">
        <x:v>0</x:v>
      </x:c>
      <x:c r="H964" s="44" t="n">
        <x:v>0.006944444444444444</x:v>
      </x:c>
      <x:c r="I964" s="32" t="n">
        <x:f>ROUND((H964-G964)*1440,0)</x:f>
        <x:v>10</x:v>
      </x:c>
      <x:c r="J964" s="13" t="str">
        <x:v>Восстановление</x:v>
      </x:c>
      <x:c r="K964" s="13" t="str">
        <x:v>10 минут спокойной ходьбы. Руки расслаблены; это не тренировка выносливости.</x:v>
      </x:c>
      <x:c r="L964" s="13" t="str">
        <x:v>☐ Не начато</x:v>
      </x:c>
      <x:c r="M964" s="13" t="str">
        <x:v>Обязательно</x:v>
      </x:c>
      <x:c r="N964" s="13" t="str">
        <x:v>RPE 1–2</x:v>
      </x:c>
      <x:c r="O964" s="13" t="str"/>
      <x:c r="P964" s="13" t="str">
        <x:v>milestone_04_grip_literacy_strength/week_14_2026-12-07/03_WEDNESDAY.md</x:v>
      </x:c>
      <x:c r="Q964" s="138" t="str">
        <x:v>Markdown</x:v>
      </x:c>
      <x:c r="R964" s="20" t="str"/>
    </x:row>
    <x:row r="965" ht="36" customHeight="1">
      <x:c r="A965" s="19" t="str">
        <x:v>W14-20261209-0964</x:v>
      </x:c>
      <x:c r="B965" s="13" t="n">
        <x:v>14</x:v>
      </x:c>
      <x:c r="C965" s="13" t="str">
        <x:v>Этап 4 — Типы хвата и специфическая сила пальцев</x:v>
      </x:c>
      <x:c r="D965" s="138" t="str">
        <x:v>2026-12-09</x:v>
      </x:c>
      <x:c r="E965" s="13" t="str">
        <x:v>Среда</x:v>
      </x:c>
      <x:c r="F965" s="13" t="str">
        <x:v>Восстановление / видео</x:v>
      </x:c>
      <x:c r="G965" s="44" t="n">
        <x:v>0.006944444444444444</x:v>
      </x:c>
      <x:c r="H965" s="44" t="n">
        <x:v>0.009027777777777777</x:v>
      </x:c>
      <x:c r="I965" s="32" t="n">
        <x:f>ROUND((H965-G965)*1440,0)</x:f>
        <x:v>3</x:v>
      </x:c>
      <x:c r="J965" s="13" t="str">
        <x:v>Самопроверка</x:v>
      </x:c>
      <x:c r="K965" s="13" t="str">
        <x:v>Оцени реакцию после вторника: плечо, пальцы, правое колено 0–10. Запиши, что изменилось относительно вчерашнего утра.</x:v>
      </x:c>
      <x:c r="L965" s="13" t="str">
        <x:v>☐ Не начато</x:v>
      </x:c>
      <x:c r="M965" s="13" t="str">
        <x:v>Обязательно</x:v>
      </x:c>
      <x:c r="N965" s="13" t="str">
        <x:v>Без нагрузки</x:v>
      </x:c>
      <x:c r="O965" s="13" t="str">
        <x:v>Острая локальная боль пальца или ухудшение плеча = не делать четверговую пальцевую нагрузку.</x:v>
      </x:c>
      <x:c r="P965" s="13" t="str">
        <x:v>milestone_04_grip_literacy_strength/week_14_2026-12-07/03_WEDNESDAY.md</x:v>
      </x:c>
      <x:c r="Q965" s="138" t="str">
        <x:v>Markdown</x:v>
      </x:c>
      <x:c r="R965" s="20" t="str"/>
    </x:row>
    <x:row r="966" ht="36" customHeight="1">
      <x:c r="A966" s="19" t="str">
        <x:v>W14-20261209-0965</x:v>
      </x:c>
      <x:c r="B966" s="13" t="n">
        <x:v>14</x:v>
      </x:c>
      <x:c r="C966" s="13" t="str">
        <x:v>Этап 4 — Типы хвата и специфическая сила пальцев</x:v>
      </x:c>
      <x:c r="D966" s="138" t="str">
        <x:v>2026-12-09</x:v>
      </x:c>
      <x:c r="E966" s="13" t="str">
        <x:v>Среда</x:v>
      </x:c>
      <x:c r="F966" s="13" t="str">
        <x:v>Восстановление / видео</x:v>
      </x:c>
      <x:c r="G966" s="44" t="n">
        <x:v>0.009027777777777777</x:v>
      </x:c>
      <x:c r="H966" s="44" t="n">
        <x:v>0.01597222222222222</x:v>
      </x:c>
      <x:c r="I966" s="32" t="n">
        <x:f>ROUND((H966-G966)*1440,0)</x:f>
        <x:v>10</x:v>
      </x:c>
      <x:c r="J966" s="13" t="str">
        <x:v>Видеоразбор</x:v>
      </x:c>
      <x:c r="K966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966" s="13" t="str">
        <x:v>☐ Не начато</x:v>
      </x:c>
      <x:c r="M966" s="13" t="str">
        <x:v>Обязательно</x:v>
      </x:c>
      <x:c r="N966" s="13" t="str">
        <x:v>Без нагрузки</x:v>
      </x:c>
      <x:c r="O966" s="13" t="str"/>
      <x:c r="P966" s="13" t="str">
        <x:v>milestone_04_grip_literacy_strength/week_14_2026-12-07/03_WEDNESDAY.md</x:v>
      </x:c>
      <x:c r="Q966" s="138" t="str">
        <x:v>Markdown</x:v>
      </x:c>
      <x:c r="R966" s="20" t="str"/>
    </x:row>
    <x:row r="967" ht="36" customHeight="1">
      <x:c r="A967" s="19" t="str">
        <x:v>W14-20261209-0966</x:v>
      </x:c>
      <x:c r="B967" s="13" t="n">
        <x:v>14</x:v>
      </x:c>
      <x:c r="C967" s="13" t="str">
        <x:v>Этап 4 — Типы хвата и специфическая сила пальцев</x:v>
      </x:c>
      <x:c r="D967" s="138" t="str">
        <x:v>2026-12-09</x:v>
      </x:c>
      <x:c r="E967" s="13" t="str">
        <x:v>Среда</x:v>
      </x:c>
      <x:c r="F967" s="13" t="str">
        <x:v>Восстановление / видео</x:v>
      </x:c>
      <x:c r="G967" s="44" t="n">
        <x:v>0.01597222222222222</x:v>
      </x:c>
      <x:c r="H967" s="44" t="n">
        <x:v>0.01875</x:v>
      </x:c>
      <x:c r="I967" s="32" t="n">
        <x:f>ROUND((H967-G967)*1440,0)</x:f>
        <x:v>4</x:v>
      </x:c>
      <x:c r="J967" s="13" t="str">
        <x:v>Конспект</x:v>
      </x:c>
      <x:c r="K967" s="13" t="str">
        <x:v>Запиши одну правку на четверг в формате «В следующей попытке я…». Используй cue: «Подведи центр массы под направление, в котором sloper держит; увеличь контакт ладони, а не панику хвата.».</x:v>
      </x:c>
      <x:c r="L967" s="13" t="str">
        <x:v>☐ Не начато</x:v>
      </x:c>
      <x:c r="M967" s="13" t="str">
        <x:v>Обязательно</x:v>
      </x:c>
      <x:c r="N967" s="13" t="str">
        <x:v>Без нагрузки</x:v>
      </x:c>
      <x:c r="O967" s="13" t="str"/>
      <x:c r="P967" s="13" t="str">
        <x:v>milestone_04_grip_literacy_strength/week_14_2026-12-07/03_WEDNESDAY.md</x:v>
      </x:c>
      <x:c r="Q967" s="138" t="str">
        <x:v>Markdown</x:v>
      </x:c>
      <x:c r="R967" s="20" t="str"/>
    </x:row>
    <x:row r="968" ht="36" customHeight="1">
      <x:c r="A968" s="19" t="str">
        <x:v>W14-20261209-0967</x:v>
      </x:c>
      <x:c r="B968" s="13" t="n">
        <x:v>14</x:v>
      </x:c>
      <x:c r="C968" s="13" t="str">
        <x:v>Этап 4 — Типы хвата и специфическая сила пальцев</x:v>
      </x:c>
      <x:c r="D968" s="138" t="str">
        <x:v>2026-12-09</x:v>
      </x:c>
      <x:c r="E968" s="13" t="str">
        <x:v>Среда</x:v>
      </x:c>
      <x:c r="F968" s="13" t="str">
        <x:v>Восстановление / видео</x:v>
      </x:c>
      <x:c r="G968" s="44" t="n">
        <x:v>0.01875</x:v>
      </x:c>
      <x:c r="H968" s="44" t="n">
        <x:v>0.027083333333333334</x:v>
      </x:c>
      <x:c r="I968" s="32" t="n">
        <x:f>ROUND((H968-G968)*1440,0)</x:f>
        <x:v>12</x:v>
      </x:c>
      <x:c r="J968" s="13" t="str">
        <x:v>Домашняя мобильность</x:v>
      </x:c>
      <x:c r="K968" s="13" t="str">
        <x:v>Выполни комплекс H1 «База: таз, корпус и стопы», 12 минут. Ни турника, ни колец для дополнительного хвата.</x:v>
      </x:c>
      <x:c r="L968" s="13" t="str">
        <x:v>☐ Не начато</x:v>
      </x:c>
      <x:c r="M968" s="13" t="str">
        <x:v>Обязательно</x:v>
      </x:c>
      <x:c r="N968" s="13" t="str">
        <x:v>RPE 2–3</x:v>
      </x:c>
      <x:c r="O968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968" s="13" t="str">
        <x:v>milestone_04_grip_literacy_strength/week_14_2026-12-07/03_WEDNESDAY.md</x:v>
      </x:c>
      <x:c r="Q968" s="138" t="str">
        <x:v>Markdown</x:v>
      </x:c>
      <x:c r="R968" s="20" t="str"/>
    </x:row>
    <x:row r="969" ht="36" customHeight="1">
      <x:c r="A969" s="19" t="str">
        <x:v>W14-20261209-0968</x:v>
      </x:c>
      <x:c r="B969" s="13" t="n">
        <x:v>14</x:v>
      </x:c>
      <x:c r="C969" s="13" t="str">
        <x:v>Этап 4 — Типы хвата и специфическая сила пальцев</x:v>
      </x:c>
      <x:c r="D969" s="138" t="str">
        <x:v>2026-12-09</x:v>
      </x:c>
      <x:c r="E969" s="13" t="str">
        <x:v>Среда</x:v>
      </x:c>
      <x:c r="F969" s="13" t="str">
        <x:v>Восстановление / видео</x:v>
      </x:c>
      <x:c r="G969" s="44" t="n">
        <x:v>0.027083333333333334</x:v>
      </x:c>
      <x:c r="H969" s="44" t="n">
        <x:v>0.04097222222222222</x:v>
      </x:c>
      <x:c r="I969" s="32" t="n">
        <x:f>ROUND((H969-G969)*1440,0)</x:f>
        <x:v>20</x:v>
      </x:c>
      <x:c r="J969" s="13" t="str">
        <x:v>Физиотерапия</x:v>
      </x:c>
      <x:c r="K969" s="13" t="str">
        <x:v>Выполни свой назначенный физиотерапевтом комплекс, если среда входит в его расписание.</x:v>
      </x:c>
      <x:c r="L969" s="13" t="str">
        <x:v>☐ Не начато</x:v>
      </x:c>
      <x:c r="M969" s="13" t="str">
        <x:v>По назначению</x:v>
      </x:c>
      <x:c r="N969" s="13" t="str">
        <x:v>По назначению</x:v>
      </x:c>
      <x:c r="O969" s="13" t="str">
        <x:v>Назначения физиотерапевта имеют приоритет.</x:v>
      </x:c>
      <x:c r="P969" s="13" t="str">
        <x:v>milestone_04_grip_literacy_strength/week_14_2026-12-07/03_WEDNESDAY.md</x:v>
      </x:c>
      <x:c r="Q969" s="138" t="str">
        <x:v>Markdown</x:v>
      </x:c>
      <x:c r="R969" s="20" t="str"/>
    </x:row>
    <x:row r="970" ht="36" customHeight="1">
      <x:c r="A970" s="19" t="str">
        <x:v>W14-20261209-0969</x:v>
      </x:c>
      <x:c r="B970" s="13" t="n">
        <x:v>14</x:v>
      </x:c>
      <x:c r="C970" s="13" t="str">
        <x:v>Этап 4 — Типы хвата и специфическая сила пальцев</x:v>
      </x:c>
      <x:c r="D970" s="138" t="str">
        <x:v>2026-12-09</x:v>
      </x:c>
      <x:c r="E970" s="13" t="str">
        <x:v>Среда</x:v>
      </x:c>
      <x:c r="F970" s="13" t="str">
        <x:v>Восстановление / видео</x:v>
      </x:c>
      <x:c r="G970" s="44" t="n">
        <x:v>0.04097222222222222</x:v>
      </x:c>
      <x:c r="H970" s="44" t="n">
        <x:v>0.043055555555555555</x:v>
      </x:c>
      <x:c r="I970" s="32" t="n">
        <x:f>ROUND((H970-G970)*1440,0)</x:f>
        <x:v>3</x:v>
      </x:c>
      <x:c r="J970" s="13" t="str">
        <x:v>Запрет лишней нагрузки</x:v>
      </x:c>
      <x:c r="K970" s="13" t="str">
        <x:v>Поставь отметку: сегодня не было висов, подтягиваний «на проверку», эспандера-сжимателя или тяжёлого ношения.</x:v>
      </x:c>
      <x:c r="L970" s="13" t="str">
        <x:v>☐ Не начато</x:v>
      </x:c>
      <x:c r="M970" s="13" t="str">
        <x:v>Обязательно</x:v>
      </x:c>
      <x:c r="N970" s="13" t="str">
        <x:v>Восстановление</x:v>
      </x:c>
      <x:c r="O970" s="13" t="str"/>
      <x:c r="P970" s="13" t="str">
        <x:v>milestone_04_grip_literacy_strength/week_14_2026-12-07/03_WEDNESDAY.md</x:v>
      </x:c>
      <x:c r="Q970" s="138" t="str">
        <x:v>Markdown</x:v>
      </x:c>
      <x:c r="R970" s="20" t="str"/>
    </x:row>
    <x:row r="971" ht="36" customHeight="1">
      <x:c r="A971" s="19" t="str">
        <x:v>W14-20261210-0970</x:v>
      </x:c>
      <x:c r="B971" s="13" t="n">
        <x:v>14</x:v>
      </x:c>
      <x:c r="C971" s="13" t="str">
        <x:v>Этап 4 — Типы хвата и специфическая сила пальцев</x:v>
      </x:c>
      <x:c r="D971" s="138" t="str">
        <x:v>2026-12-10</x:v>
      </x:c>
      <x:c r="E971" s="13" t="str">
        <x:v>Четверг</x:v>
      </x:c>
      <x:c r="F971" s="13" t="str">
        <x:v>Тренировка B — пальцы/проект</x:v>
      </x:c>
      <x:c r="G971" s="44" t="n">
        <x:v>0</x:v>
      </x:c>
      <x:c r="H971" s="44" t="n">
        <x:v>0.0020833333333333333</x:v>
      </x:c>
      <x:c r="I971" s="32" t="n">
        <x:f>ROUND((H971-G971)*1440,0)</x:f>
        <x:v>3</x:v>
      </x:c>
      <x:c r="J971" s="13" t="str">
        <x:v>Самопроверка</x:v>
      </x:c>
      <x:c r="K971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971" s="13" t="str">
        <x:v>☐ Не начато</x:v>
      </x:c>
      <x:c r="M971" s="13" t="str">
        <x:v>Обязательно</x:v>
      </x:c>
      <x:c r="N971" s="13" t="str">
        <x:v>Без нагрузки</x:v>
      </x:c>
      <x:c r="O971" s="13" t="str">
        <x:v>Красный флаг = не начинать пальцевую нагрузку.</x:v>
      </x:c>
      <x:c r="P971" s="13" t="str">
        <x:v>milestone_04_grip_literacy_strength/week_14_2026-12-07/04_THURSDAY.md</x:v>
      </x:c>
      <x:c r="Q971" s="138" t="str">
        <x:v>Markdown</x:v>
      </x:c>
      <x:c r="R971" s="20" t="str"/>
    </x:row>
    <x:row r="972" ht="36" customHeight="1">
      <x:c r="A972" s="19" t="str">
        <x:v>W14-20261210-0971</x:v>
      </x:c>
      <x:c r="B972" s="13" t="n">
        <x:v>14</x:v>
      </x:c>
      <x:c r="C972" s="13" t="str">
        <x:v>Этап 4 — Типы хвата и специфическая сила пальцев</x:v>
      </x:c>
      <x:c r="D972" s="138" t="str">
        <x:v>2026-12-10</x:v>
      </x:c>
      <x:c r="E972" s="13" t="str">
        <x:v>Четверг</x:v>
      </x:c>
      <x:c r="F972" s="13" t="str">
        <x:v>Тренировка B — пальцы/проект</x:v>
      </x:c>
      <x:c r="G972" s="44" t="n">
        <x:v>0.0020833333333333333</x:v>
      </x:c>
      <x:c r="H972" s="44" t="n">
        <x:v>0.005555555555555556</x:v>
      </x:c>
      <x:c r="I972" s="32" t="n">
        <x:f>ROUND((H972-G972)*1440,0)</x:f>
        <x:v>5</x:v>
      </x:c>
      <x:c r="J972" s="13" t="str">
        <x:v>Разминка</x:v>
      </x:c>
      <x:c r="K972" s="13" t="str">
        <x:v>Подними температуру: быстрая ходьба, лестница или лёгкий велотренажёр 5 минут.</x:v>
      </x:c>
      <x:c r="L972" s="13" t="str">
        <x:v>☐ Не начато</x:v>
      </x:c>
      <x:c r="M972" s="13" t="str">
        <x:v>Обязательно</x:v>
      </x:c>
      <x:c r="N972" s="13" t="str">
        <x:v>RPE 2–3</x:v>
      </x:c>
      <x:c r="O972" s="13" t="str"/>
      <x:c r="P972" s="13" t="str">
        <x:v>milestone_04_grip_literacy_strength/week_14_2026-12-07/04_THURSDAY.md</x:v>
      </x:c>
      <x:c r="Q972" s="138" t="str">
        <x:v>Markdown</x:v>
      </x:c>
      <x:c r="R972" s="20" t="str"/>
    </x:row>
    <x:row r="973" ht="36" customHeight="1">
      <x:c r="A973" s="19" t="str">
        <x:v>W14-20261210-0972</x:v>
      </x:c>
      <x:c r="B973" s="13" t="n">
        <x:v>14</x:v>
      </x:c>
      <x:c r="C973" s="13" t="str">
        <x:v>Этап 4 — Типы хвата и специфическая сила пальцев</x:v>
      </x:c>
      <x:c r="D973" s="138" t="str">
        <x:v>2026-12-10</x:v>
      </x:c>
      <x:c r="E973" s="13" t="str">
        <x:v>Четверг</x:v>
      </x:c>
      <x:c r="F973" s="13" t="str">
        <x:v>Тренировка B — пальцы/проект</x:v>
      </x:c>
      <x:c r="G973" s="44" t="n">
        <x:v>0.005555555555555556</x:v>
      </x:c>
      <x:c r="H973" s="44" t="n">
        <x:v>0.009027777777777777</x:v>
      </x:c>
      <x:c r="I973" s="32" t="n">
        <x:f>ROUND((H973-G973)*1440,0)</x:f>
        <x:v>5</x:v>
      </x:c>
      <x:c r="J973" s="13" t="str">
        <x:v>Разминка</x:v>
      </x:c>
      <x:c r="K973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973" s="13" t="str">
        <x:v>☐ Не начато</x:v>
      </x:c>
      <x:c r="M973" s="13" t="str">
        <x:v>Обязательно</x:v>
      </x:c>
      <x:c r="N973" s="13" t="str">
        <x:v>Очень легко</x:v>
      </x:c>
      <x:c r="O973" s="13" t="str">
        <x:v>Не делай press/отжимания и движения, которые раздражают плечо.</x:v>
      </x:c>
      <x:c r="P973" s="13" t="str">
        <x:v>milestone_04_grip_literacy_strength/week_14_2026-12-07/04_THURSDAY.md</x:v>
      </x:c>
      <x:c r="Q973" s="138" t="str">
        <x:v>Markdown</x:v>
      </x:c>
      <x:c r="R973" s="20" t="str"/>
    </x:row>
    <x:row r="974" ht="36" customHeight="1">
      <x:c r="A974" s="19" t="str">
        <x:v>W14-20261210-0973</x:v>
      </x:c>
      <x:c r="B974" s="13" t="n">
        <x:v>14</x:v>
      </x:c>
      <x:c r="C974" s="13" t="str">
        <x:v>Этап 4 — Типы хвата и специфическая сила пальцев</x:v>
      </x:c>
      <x:c r="D974" s="138" t="str">
        <x:v>2026-12-10</x:v>
      </x:c>
      <x:c r="E974" s="13" t="str">
        <x:v>Четверг</x:v>
      </x:c>
      <x:c r="F974" s="13" t="str">
        <x:v>Тренировка B — пальцы/проект</x:v>
      </x:c>
      <x:c r="G974" s="44" t="n">
        <x:v>0.009027777777777777</x:v>
      </x:c>
      <x:c r="H974" s="44" t="n">
        <x:v>0.011805555555555555</x:v>
      </x:c>
      <x:c r="I974" s="32" t="n">
        <x:f>ROUND((H974-G974)*1440,0)</x:f>
        <x:v>4</x:v>
      </x:c>
      <x:c r="J974" s="13" t="str">
        <x:v>Разминка пальцев</x:v>
      </x:c>
      <x:c r="K974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974" s="13" t="str">
        <x:v>☐ Не начато</x:v>
      </x:c>
      <x:c r="M974" s="13" t="str">
        <x:v>Обязательно</x:v>
      </x:c>
      <x:c r="N974" s="13" t="str">
        <x:v>Очень легко</x:v>
      </x:c>
      <x:c r="O974" s="13" t="str"/>
      <x:c r="P974" s="13" t="str">
        <x:v>milestone_04_grip_literacy_strength/week_14_2026-12-07/04_THURSDAY.md</x:v>
      </x:c>
      <x:c r="Q974" s="138" t="str">
        <x:v>Markdown</x:v>
      </x:c>
      <x:c r="R974" s="20" t="str"/>
    </x:row>
    <x:row r="975" ht="36" customHeight="1">
      <x:c r="A975" s="19" t="str">
        <x:v>W14-20261210-0974</x:v>
      </x:c>
      <x:c r="B975" s="13" t="n">
        <x:v>14</x:v>
      </x:c>
      <x:c r="C975" s="13" t="str">
        <x:v>Этап 4 — Типы хвата и специфическая сила пальцев</x:v>
      </x:c>
      <x:c r="D975" s="138" t="str">
        <x:v>2026-12-10</x:v>
      </x:c>
      <x:c r="E975" s="13" t="str">
        <x:v>Четверг</x:v>
      </x:c>
      <x:c r="F975" s="13" t="str">
        <x:v>Тренировка B — пальцы/проект</x:v>
      </x:c>
      <x:c r="G975" s="44" t="n">
        <x:v>0.011805555555555555</x:v>
      </x:c>
      <x:c r="H975" s="44" t="n">
        <x:v>0.014583333333333334</x:v>
      </x:c>
      <x:c r="I975" s="32" t="n">
        <x:f>ROUND((H975-G975)*1440,0)</x:f>
        <x:v>4</x:v>
      </x:c>
      <x:c r="J975" s="13" t="str">
        <x:v>Разминочное лазание</x:v>
      </x:c>
      <x:c r="K975" s="13" t="str">
        <x:v>Пройди 2 очень лёгкие трассы уровня 1–2; двигайся медленно, спускайся по зацепам.</x:v>
      </x:c>
      <x:c r="L975" s="13" t="str">
        <x:v>☐ Не начато</x:v>
      </x:c>
      <x:c r="M975" s="13" t="str">
        <x:v>Обязательно</x:v>
      </x:c>
      <x:c r="N975" s="13" t="str">
        <x:v>RPE 2–3</x:v>
      </x:c>
      <x:c r="O975" s="13" t="str">
        <x:v>Финиш с обязательным болезненным mantle/press пропусти.</x:v>
      </x:c>
      <x:c r="P975" s="13" t="str">
        <x:v>milestone_04_grip_literacy_strength/week_14_2026-12-07/04_THURSDAY.md</x:v>
      </x:c>
      <x:c r="Q975" s="138" t="str">
        <x:v>Markdown</x:v>
      </x:c>
      <x:c r="R975" s="20" t="str"/>
    </x:row>
    <x:row r="976" ht="36" customHeight="1">
      <x:c r="A976" s="19" t="str">
        <x:v>W14-20261210-0975</x:v>
      </x:c>
      <x:c r="B976" s="13" t="n">
        <x:v>14</x:v>
      </x:c>
      <x:c r="C976" s="13" t="str">
        <x:v>Этап 4 — Типы хвата и специфическая сила пальцев</x:v>
      </x:c>
      <x:c r="D976" s="138" t="str">
        <x:v>2026-12-10</x:v>
      </x:c>
      <x:c r="E976" s="13" t="str">
        <x:v>Четверг</x:v>
      </x:c>
      <x:c r="F976" s="13" t="str">
        <x:v>Тренировка B — пальцы/проект</x:v>
      </x:c>
      <x:c r="G976" s="44" t="n">
        <x:v>0.014583333333333334</x:v>
      </x:c>
      <x:c r="H976" s="44" t="n">
        <x:v>0.017361111111111112</x:v>
      </x:c>
      <x:c r="I976" s="32" t="n">
        <x:f>ROUND((H976-G976)*1440,0)</x:f>
        <x:v>4</x:v>
      </x:c>
      <x:c r="J976" s="13" t="str">
        <x:v>Разминочное лазание</x:v>
      </x:c>
      <x:c r="K976" s="13" t="str">
        <x:v>Пройди 2 трассы уровня 2–3, затем сделай 2–3 движения на комфортной четвёрке. Между ними 45–60 секунд.</x:v>
      </x:c>
      <x:c r="L976" s="13" t="str">
        <x:v>☐ Не начато</x:v>
      </x:c>
      <x:c r="M976" s="13" t="str">
        <x:v>Обязательно</x:v>
      </x:c>
      <x:c r="N976" s="13" t="str">
        <x:v>RPE 3–4</x:v>
      </x:c>
      <x:c r="O976" s="13" t="str">
        <x:v>Разминка не должна утомить пальцы.</x:v>
      </x:c>
      <x:c r="P976" s="13" t="str">
        <x:v>milestone_04_grip_literacy_strength/week_14_2026-12-07/04_THURSDAY.md</x:v>
      </x:c>
      <x:c r="Q976" s="138" t="str">
        <x:v>Markdown</x:v>
      </x:c>
      <x:c r="R976" s="20" t="str"/>
    </x:row>
    <x:row r="977" ht="36" customHeight="1">
      <x:c r="A977" s="19" t="str">
        <x:v>W14-20261210-0976</x:v>
      </x:c>
      <x:c r="B977" s="13" t="n">
        <x:v>14</x:v>
      </x:c>
      <x:c r="C977" s="13" t="str">
        <x:v>Этап 4 — Типы хвата и специфическая сила пальцев</x:v>
      </x:c>
      <x:c r="D977" s="138" t="str">
        <x:v>2026-12-10</x:v>
      </x:c>
      <x:c r="E977" s="13" t="str">
        <x:v>Четверг</x:v>
      </x:c>
      <x:c r="F977" s="13" t="str">
        <x:v>Тренировка B — пальцы/проект</x:v>
      </x:c>
      <x:c r="G977" s="44" t="n">
        <x:v>0.017361111111111112</x:v>
      </x:c>
      <x:c r="H977" s="44" t="n">
        <x:v>0.019444444444444445</x:v>
      </x:c>
      <x:c r="I977" s="32" t="n">
        <x:f>ROUND((H977-G977)*1440,0)</x:f>
        <x:v>3</x:v>
      </x:c>
      <x:c r="J977" s="13" t="str">
        <x:v>Фингерборд — готовность</x:v>
      </x:c>
      <x:c r="K977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977" s="13" t="str">
        <x:v>☐ Не начато</x:v>
      </x:c>
      <x:c r="M977" s="13" t="str">
        <x:v>Обязательно</x:v>
      </x:c>
      <x:c r="N977" s="13" t="str">
        <x:v>Подготовка</x:v>
      </x:c>
      <x:c r="O977" s="13" t="str">
        <x:v>Плечо полностью спокойно; full crimp, карманы, одна рука и допвес запрещены.</x:v>
      </x:c>
      <x:c r="P977" s="13" t="str">
        <x:v>milestone_04_grip_literacy_strength/week_14_2026-12-07/04_THURSDAY.md</x:v>
      </x:c>
      <x:c r="Q977" s="138" t="str">
        <x:v>Markdown</x:v>
      </x:c>
      <x:c r="R977" s="20" t="str"/>
    </x:row>
    <x:row r="978" ht="36" customHeight="1">
      <x:c r="A978" s="19" t="str">
        <x:v>W14-20261210-0977</x:v>
      </x:c>
      <x:c r="B978" s="13" t="n">
        <x:v>14</x:v>
      </x:c>
      <x:c r="C978" s="13" t="str">
        <x:v>Этап 4 — Типы хвата и специфическая сила пальцев</x:v>
      </x:c>
      <x:c r="D978" s="138" t="str">
        <x:v>2026-12-10</x:v>
      </x:c>
      <x:c r="E978" s="13" t="str">
        <x:v>Четверг</x:v>
      </x:c>
      <x:c r="F978" s="13" t="str">
        <x:v>Тренировка B — пальцы/проект</x:v>
      </x:c>
      <x:c r="G978" s="44" t="n">
        <x:v>0.019444444444444445</x:v>
      </x:c>
      <x:c r="H978" s="44" t="n">
        <x:v>0.029861111111111113</x:v>
      </x:c>
      <x:c r="I978" s="32" t="n">
        <x:f>ROUND((H978-G978)*1440,0)</x:f>
        <x:v>15</x:v>
      </x:c>
      <x:c r="J978" s="13" t="str">
        <x:v>Фингерборд</x:v>
      </x:c>
      <x:c r="K978" s="13" t="str">
        <x:v>Выполни протокол: 5 × 10 сек, ноги помогают, RPE 7, отдых 2:30. Запусти таймер. Каждый вис прекращай с указанным запасом; форма кисти не меняется.</x:v>
      </x:c>
      <x:c r="L978" s="13" t="str">
        <x:v>☐ Не начато</x:v>
      </x:c>
      <x:c r="M978" s="13" t="str">
        <x:v>Обязательно</x:v>
      </x:c>
      <x:c r="N978" s="13" t="str">
        <x:v>5 × 10 сек, ноги помогают, RPE 7, отдых 2:30</x:v>
      </x:c>
      <x:c r="O978" s="13" t="str">
        <x:v>Острая боль, дрожь формы, падение RPE-контроля или боль плеча = закончить блок.</x:v>
      </x:c>
      <x:c r="P978" s="13" t="str">
        <x:v>milestone_04_grip_literacy_strength/week_14_2026-12-07/04_THURSDAY.md</x:v>
      </x:c>
      <x:c r="Q978" s="138" t="str">
        <x:v>Markdown</x:v>
      </x:c>
      <x:c r="R978" s="20" t="str"/>
    </x:row>
    <x:row r="979" ht="36" customHeight="1">
      <x:c r="A979" s="19" t="str">
        <x:v>W14-20261210-0978</x:v>
      </x:c>
      <x:c r="B979" s="13" t="n">
        <x:v>14</x:v>
      </x:c>
      <x:c r="C979" s="13" t="str">
        <x:v>Этап 4 — Типы хвата и специфическая сила пальцев</x:v>
      </x:c>
      <x:c r="D979" s="138" t="str">
        <x:v>2026-12-10</x:v>
      </x:c>
      <x:c r="E979" s="13" t="str">
        <x:v>Четверг</x:v>
      </x:c>
      <x:c r="F979" s="13" t="str">
        <x:v>Тренировка B — пальцы/проект</x:v>
      </x:c>
      <x:c r="G979" s="44" t="n">
        <x:v>0.029861111111111113</x:v>
      </x:c>
      <x:c r="H979" s="44" t="n">
        <x:v>0.03194444444444444</x:v>
      </x:c>
      <x:c r="I979" s="32" t="n">
        <x:f>ROUND((H979-G979)*1440,0)</x:f>
        <x:v>3</x:v>
      </x:c>
      <x:c r="J979" s="13" t="str">
        <x:v>Фингерборд — запись</x:v>
      </x:c>
      <x:c r="K979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979" s="13" t="str">
        <x:v>☐ Не начато</x:v>
      </x:c>
      <x:c r="M979" s="13" t="str">
        <x:v>Обязательно</x:v>
      </x:c>
      <x:c r="N979" s="13" t="str">
        <x:v>Без нагрузки</x:v>
      </x:c>
      <x:c r="O979" s="13" t="str"/>
      <x:c r="P979" s="13" t="str">
        <x:v>milestone_04_grip_literacy_strength/week_14_2026-12-07/04_THURSDAY.md</x:v>
      </x:c>
      <x:c r="Q979" s="138" t="str">
        <x:v>Markdown</x:v>
      </x:c>
      <x:c r="R979" s="20" t="str"/>
    </x:row>
    <x:row r="980" ht="36" customHeight="1">
      <x:c r="A980" s="19" t="str">
        <x:v>W14-20261210-0979</x:v>
      </x:c>
      <x:c r="B980" s="13" t="n">
        <x:v>14</x:v>
      </x:c>
      <x:c r="C980" s="13" t="str">
        <x:v>Этап 4 — Типы хвата и специфическая сила пальцев</x:v>
      </x:c>
      <x:c r="D980" s="138" t="str">
        <x:v>2026-12-10</x:v>
      </x:c>
      <x:c r="E980" s="13" t="str">
        <x:v>Четверг</x:v>
      </x:c>
      <x:c r="F980" s="13" t="str">
        <x:v>Тренировка B — пальцы/проект</x:v>
      </x:c>
      <x:c r="G980" s="44" t="n">
        <x:v>0.03194444444444444</x:v>
      </x:c>
      <x:c r="H980" s="44" t="n">
        <x:v>0.035416666666666666</x:v>
      </x:c>
      <x:c r="I980" s="32" t="n">
        <x:f>ROUND((H980-G980)*1440,0)</x:f>
        <x:v>5</x:v>
      </x:c>
      <x:c r="J980" s="13" t="str">
        <x:v>Отдых</x:v>
      </x:c>
      <x:c r="K980" s="13" t="str">
        <x:v>5 минут полного отдыха: ходьба, вода, без лазания и без тестового виса.</x:v>
      </x:c>
      <x:c r="L980" s="13" t="str">
        <x:v>☐ Не начато</x:v>
      </x:c>
      <x:c r="M980" s="13" t="str">
        <x:v>Обязательно</x:v>
      </x:c>
      <x:c r="N980" s="13" t="str">
        <x:v>Восстановление</x:v>
      </x:c>
      <x:c r="O980" s="13" t="str"/>
      <x:c r="P980" s="13" t="str">
        <x:v>milestone_04_grip_literacy_strength/week_14_2026-12-07/04_THURSDAY.md</x:v>
      </x:c>
      <x:c r="Q980" s="138" t="str">
        <x:v>Markdown</x:v>
      </x:c>
      <x:c r="R980" s="20" t="str"/>
    </x:row>
    <x:row r="981" ht="36" customHeight="1">
      <x:c r="A981" s="19" t="str">
        <x:v>W14-20261210-0980</x:v>
      </x:c>
      <x:c r="B981" s="13" t="n">
        <x:v>14</x:v>
      </x:c>
      <x:c r="C981" s="13" t="str">
        <x:v>Этап 4 — Типы хвата и специфическая сила пальцев</x:v>
      </x:c>
      <x:c r="D981" s="138" t="str">
        <x:v>2026-12-10</x:v>
      </x:c>
      <x:c r="E981" s="13" t="str">
        <x:v>Четверг</x:v>
      </x:c>
      <x:c r="F981" s="13" t="str">
        <x:v>Тренировка B — пальцы/проект</x:v>
      </x:c>
      <x:c r="G981" s="44" t="n">
        <x:v>0.035416666666666666</x:v>
      </x:c>
      <x:c r="H981" s="44" t="n">
        <x:v>0.03819444444444445</x:v>
      </x:c>
      <x:c r="I981" s="32" t="n">
        <x:f>ROUND((H981-G981)*1440,0)</x:f>
        <x:v>4</x:v>
      </x:c>
      <x:c r="J981" s="13" t="str">
        <x:v>Выбор проекта</x:v>
      </x:c>
      <x:c r="K981" s="13" t="str">
        <x:v>Выбери трассу по критериям недели: Пятёрка со sloper + шестёрка другого стиля, чтобы не перегружать один тип тканей.</x:v>
      </x:c>
      <x:c r="L981" s="13" t="str">
        <x:v>☐ Не начато</x:v>
      </x:c>
      <x:c r="M981" s="13" t="str">
        <x:v>Обязательно</x:v>
      </x:c>
      <x:c r="N981" s="13" t="str">
        <x:v>Без нагрузки</x:v>
      </x:c>
      <x:c r="O981" s="13" t="str">
        <x:v>Если sloper требует болезненной компрессии плечом, заменить трассу. Не тереть кожу до повреждения.</x:v>
      </x:c>
      <x:c r="P981" s="13" t="str">
        <x:v>milestone_04_grip_literacy_strength/week_14_2026-12-07/04_THURSDAY.md</x:v>
      </x:c>
      <x:c r="Q981" s="138" t="str">
        <x:v>Markdown</x:v>
      </x:c>
      <x:c r="R981" s="20" t="str"/>
    </x:row>
    <x:row r="982" ht="36" customHeight="1">
      <x:c r="A982" s="19" t="str">
        <x:v>W14-20261210-0981</x:v>
      </x:c>
      <x:c r="B982" s="13" t="n">
        <x:v>14</x:v>
      </x:c>
      <x:c r="C982" s="13" t="str">
        <x:v>Этап 4 — Типы хвата и специфическая сила пальцев</x:v>
      </x:c>
      <x:c r="D982" s="138" t="str">
        <x:v>2026-12-10</x:v>
      </x:c>
      <x:c r="E982" s="13" t="str">
        <x:v>Четверг</x:v>
      </x:c>
      <x:c r="F982" s="13" t="str">
        <x:v>Тренировка B — пальцы/проект</x:v>
      </x:c>
      <x:c r="G982" s="44" t="n">
        <x:v>0.03819444444444445</x:v>
      </x:c>
      <x:c r="H982" s="44" t="n">
        <x:v>0.041666666666666664</x:v>
      </x:c>
      <x:c r="I982" s="32" t="n">
        <x:f>ROUND((H982-G982)*1440,0)</x:f>
        <x:v>5</x:v>
      </x:c>
      <x:c r="J982" s="13" t="str">
        <x:v>Проект — попытка 1</x:v>
      </x:c>
      <x:c r="K982" s="13" t="str">
        <x:v>Сделай первую полную диагностическую попытку. После падения не повторяй сразу: назови точную причину.</x:v>
      </x:c>
      <x:c r="L982" s="13" t="str">
        <x:v>☐ Не начато</x:v>
      </x:c>
      <x:c r="M982" s="13" t="str">
        <x:v>Обязательно</x:v>
      </x:c>
      <x:c r="N982" s="13" t="str">
        <x:v>RPE 7–8</x:v>
      </x:c>
      <x:c r="O982" s="13" t="str">
        <x:v>Прекратить движение при боли, а не после падения.</x:v>
      </x:c>
      <x:c r="P982" s="13" t="str">
        <x:v>milestone_04_grip_literacy_strength/week_14_2026-12-07/04_THURSDAY.md</x:v>
      </x:c>
      <x:c r="Q982" s="138" t="str">
        <x:v>Markdown</x:v>
      </x:c>
      <x:c r="R982" s="20" t="str"/>
    </x:row>
    <x:row r="983" ht="36" customHeight="1">
      <x:c r="A983" s="19" t="str">
        <x:v>W14-20261210-0982</x:v>
      </x:c>
      <x:c r="B983" s="13" t="n">
        <x:v>14</x:v>
      </x:c>
      <x:c r="C983" s="13" t="str">
        <x:v>Этап 4 — Типы хвата и специфическая сила пальцев</x:v>
      </x:c>
      <x:c r="D983" s="138" t="str">
        <x:v>2026-12-10</x:v>
      </x:c>
      <x:c r="E983" s="13" t="str">
        <x:v>Четверг</x:v>
      </x:c>
      <x:c r="F983" s="13" t="str">
        <x:v>Тренировка B — пальцы/проект</x:v>
      </x:c>
      <x:c r="G983" s="44" t="n">
        <x:v>0.041666666666666664</x:v>
      </x:c>
      <x:c r="H983" s="44" t="n">
        <x:v>0.04513888888888889</x:v>
      </x:c>
      <x:c r="I983" s="32" t="n">
        <x:f>ROUND((H983-G983)*1440,0)</x:f>
        <x:v>5</x:v>
      </x:c>
      <x:c r="J983" s="13" t="str">
        <x:v>Отдых / гипотеза</x:v>
      </x:c>
      <x:c r="K983" s="13" t="str">
        <x:v>Отдых 4–5 минут. Запиши одну гипотезу: стопа, положение таза, хват или темп.</x:v>
      </x:c>
      <x:c r="L983" s="13" t="str">
        <x:v>☐ Не начато</x:v>
      </x:c>
      <x:c r="M983" s="13" t="str">
        <x:v>Обязательно</x:v>
      </x:c>
      <x:c r="N983" s="13" t="str">
        <x:v>Восстановление</x:v>
      </x:c>
      <x:c r="O983" s="13" t="str"/>
      <x:c r="P983" s="13" t="str">
        <x:v>milestone_04_grip_literacy_strength/week_14_2026-12-07/04_THURSDAY.md</x:v>
      </x:c>
      <x:c r="Q983" s="138" t="str">
        <x:v>Markdown</x:v>
      </x:c>
      <x:c r="R983" s="20" t="str"/>
    </x:row>
    <x:row r="984" ht="36" customHeight="1">
      <x:c r="A984" s="19" t="str">
        <x:v>W14-20261210-0983</x:v>
      </x:c>
      <x:c r="B984" s="13" t="n">
        <x:v>14</x:v>
      </x:c>
      <x:c r="C984" s="13" t="str">
        <x:v>Этап 4 — Типы хвата и специфическая сила пальцев</x:v>
      </x:c>
      <x:c r="D984" s="138" t="str">
        <x:v>2026-12-10</x:v>
      </x:c>
      <x:c r="E984" s="13" t="str">
        <x:v>Четверг</x:v>
      </x:c>
      <x:c r="F984" s="13" t="str">
        <x:v>Тренировка B — пальцы/проект</x:v>
      </x:c>
      <x:c r="G984" s="44" t="n">
        <x:v>0.04513888888888889</x:v>
      </x:c>
      <x:c r="H984" s="44" t="n">
        <x:v>0.049305555555555554</x:v>
      </x:c>
      <x:c r="I984" s="32" t="n">
        <x:f>ROUND((H984-G984)*1440,0)</x:f>
        <x:v>6</x:v>
      </x:c>
      <x:c r="J984" s="13" t="str">
        <x:v>Проект — попытки 2–3</x:v>
      </x:c>
      <x:c r="K984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984" s="13" t="str">
        <x:v>☐ Не начато</x:v>
      </x:c>
      <x:c r="M984" s="13" t="str">
        <x:v>Обязательно</x:v>
      </x:c>
      <x:c r="N984" s="13" t="str">
        <x:v>RPE 7–8, без отказа</x:v>
      </x:c>
      <x:c r="O984" s="13" t="str">
        <x:v>Не смотреть beta заранее: сначала собственная гипотеза.</x:v>
      </x:c>
      <x:c r="P984" s="13" t="str">
        <x:v>milestone_04_grip_literacy_strength/week_14_2026-12-07/04_THURSDAY.md</x:v>
      </x:c>
      <x:c r="Q984" s="138" t="str">
        <x:v>Markdown</x:v>
      </x:c>
      <x:c r="R984" s="20" t="str"/>
    </x:row>
    <x:row r="985" ht="36" customHeight="1">
      <x:c r="A985" s="19" t="str">
        <x:v>W14-20261210-0984</x:v>
      </x:c>
      <x:c r="B985" s="13" t="n">
        <x:v>14</x:v>
      </x:c>
      <x:c r="C985" s="13" t="str">
        <x:v>Этап 4 — Типы хвата и специфическая сила пальцев</x:v>
      </x:c>
      <x:c r="D985" s="138" t="str">
        <x:v>2026-12-10</x:v>
      </x:c>
      <x:c r="E985" s="13" t="str">
        <x:v>Четверг</x:v>
      </x:c>
      <x:c r="F985" s="13" t="str">
        <x:v>Тренировка B — пальцы/проект</x:v>
      </x:c>
      <x:c r="G985" s="44" t="n">
        <x:v>0.049305555555555554</x:v>
      </x:c>
      <x:c r="H985" s="44" t="n">
        <x:v>0.05277777777777778</x:v>
      </x:c>
      <x:c r="I985" s="32" t="n">
        <x:f>ROUND((H985-G985)*1440,0)</x:f>
        <x:v>5</x:v>
      </x:c>
      <x:c r="J985" s="13" t="str">
        <x:v>Проект — заключительная попытка</x:v>
      </x:c>
      <x:c r="K985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985" s="13" t="str">
        <x:v>☐ Не начато</x:v>
      </x:c>
      <x:c r="M985" s="13" t="str">
        <x:v>Обязательно</x:v>
      </x:c>
      <x:c r="N985" s="13" t="str">
        <x:v>RPE 8, с запасом</x:v>
      </x:c>
      <x:c r="O985" s="13" t="str">
        <x:v>Если sloper требует болезненной компрессии плечом, заменить трассу. Не тереть кожу до повреждения.</x:v>
      </x:c>
      <x:c r="P985" s="13" t="str">
        <x:v>milestone_04_grip_literacy_strength/week_14_2026-12-07/04_THURSDAY.md</x:v>
      </x:c>
      <x:c r="Q985" s="138" t="str">
        <x:v>Markdown</x:v>
      </x:c>
      <x:c r="R985" s="20" t="str"/>
    </x:row>
    <x:row r="986" ht="36" customHeight="1">
      <x:c r="A986" s="19" t="str">
        <x:v>W14-20261210-0985</x:v>
      </x:c>
      <x:c r="B986" s="13" t="n">
        <x:v>14</x:v>
      </x:c>
      <x:c r="C986" s="13" t="str">
        <x:v>Этап 4 — Типы хвата и специфическая сила пальцев</x:v>
      </x:c>
      <x:c r="D986" s="138" t="str">
        <x:v>2026-12-10</x:v>
      </x:c>
      <x:c r="E986" s="13" t="str">
        <x:v>Четверг</x:v>
      </x:c>
      <x:c r="F986" s="13" t="str">
        <x:v>Тренировка B — пальцы/проект</x:v>
      </x:c>
      <x:c r="G986" s="44" t="n">
        <x:v>0.05277777777777778</x:v>
      </x:c>
      <x:c r="H986" s="44" t="n">
        <x:v>0.05763888888888889</x:v>
      </x:c>
      <x:c r="I986" s="32" t="n">
        <x:f>ROUND((H986-G986)*1440,0)</x:f>
        <x:v>7</x:v>
      </x:c>
      <x:c r="J986" s="13" t="str">
        <x:v>Вторичная трасса</x:v>
      </x:c>
      <x:c r="K986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986" s="13" t="str">
        <x:v>☐ Не начато</x:v>
      </x:c>
      <x:c r="M986" s="13" t="str">
        <x:v>Обязательно</x:v>
      </x:c>
      <x:c r="N986" s="13" t="str">
        <x:v>RPE 5–7</x:v>
      </x:c>
      <x:c r="O986" s="13" t="str">
        <x:v>Пропустить, если хват уже просел.</x:v>
      </x:c>
      <x:c r="P986" s="13" t="str">
        <x:v>milestone_04_grip_literacy_strength/week_14_2026-12-07/04_THURSDAY.md</x:v>
      </x:c>
      <x:c r="Q986" s="138" t="str">
        <x:v>Markdown</x:v>
      </x:c>
      <x:c r="R986" s="20" t="str"/>
    </x:row>
    <x:row r="987" ht="36" customHeight="1">
      <x:c r="A987" s="19" t="str">
        <x:v>W14-20261210-0986</x:v>
      </x:c>
      <x:c r="B987" s="13" t="n">
        <x:v>14</x:v>
      </x:c>
      <x:c r="C987" s="13" t="str">
        <x:v>Этап 4 — Типы хвата и специфическая сила пальцев</x:v>
      </x:c>
      <x:c r="D987" s="138" t="str">
        <x:v>2026-12-10</x:v>
      </x:c>
      <x:c r="E987" s="13" t="str">
        <x:v>Четверг</x:v>
      </x:c>
      <x:c r="F987" s="13" t="str">
        <x:v>Тренировка B — пальцы/проект</x:v>
      </x:c>
      <x:c r="G987" s="44" t="n">
        <x:v>0.05763888888888889</x:v>
      </x:c>
      <x:c r="H987" s="44" t="n">
        <x:v>0.06041666666666667</x:v>
      </x:c>
      <x:c r="I987" s="32" t="n">
        <x:f>ROUND((H987-G987)*1440,0)</x:f>
        <x:v>4</x:v>
      </x:c>
      <x:c r="J987" s="13" t="str">
        <x:v>Завершение</x:v>
      </x:c>
      <x:c r="K987" s="13" t="str">
        <x:v>Очень лёгкий спуск/ходьба, вода, никаких финишных висов.</x:v>
      </x:c>
      <x:c r="L987" s="13" t="str">
        <x:v>☐ Не начато</x:v>
      </x:c>
      <x:c r="M987" s="13" t="str">
        <x:v>Обязательно</x:v>
      </x:c>
      <x:c r="N987" s="13" t="str">
        <x:v>RPE 1–2</x:v>
      </x:c>
      <x:c r="O987" s="13" t="str"/>
      <x:c r="P987" s="13" t="str">
        <x:v>milestone_04_grip_literacy_strength/week_14_2026-12-07/04_THURSDAY.md</x:v>
      </x:c>
      <x:c r="Q987" s="138" t="str">
        <x:v>Markdown</x:v>
      </x:c>
      <x:c r="R987" s="20" t="str"/>
    </x:row>
    <x:row r="988" ht="36" customHeight="1">
      <x:c r="A988" s="19" t="str">
        <x:v>W14-20261210-0987</x:v>
      </x:c>
      <x:c r="B988" s="13" t="n">
        <x:v>14</x:v>
      </x:c>
      <x:c r="C988" s="13" t="str">
        <x:v>Этап 4 — Типы хвата и специфическая сила пальцев</x:v>
      </x:c>
      <x:c r="D988" s="138" t="str">
        <x:v>2026-12-10</x:v>
      </x:c>
      <x:c r="E988" s="13" t="str">
        <x:v>Четверг</x:v>
      </x:c>
      <x:c r="F988" s="13" t="str">
        <x:v>Тренировка B — пальцы/проект</x:v>
      </x:c>
      <x:c r="G988" s="44" t="n">
        <x:v>0.06041666666666667</x:v>
      </x:c>
      <x:c r="H988" s="44" t="n">
        <x:v>0.0625</x:v>
      </x:c>
      <x:c r="I988" s="32" t="n">
        <x:f>ROUND((H988-G988)*1440,0)</x:f>
        <x:v>3</x:v>
      </x:c>
      <x:c r="J988" s="13" t="str">
        <x:v>Журнал</x:v>
      </x:c>
      <x:c r="K988" s="13" t="str">
        <x:v>Запиши попытки, лучшую связку, одну правку и benchmark: Найти минимум 2 позиции, где sloper становится лучше только из-за изменения тела.</x:v>
      </x:c>
      <x:c r="L988" s="13" t="str">
        <x:v>☐ Не начато</x:v>
      </x:c>
      <x:c r="M988" s="13" t="str">
        <x:v>Обязательно</x:v>
      </x:c>
      <x:c r="N988" s="13" t="str">
        <x:v>Без нагрузки</x:v>
      </x:c>
      <x:c r="O988" s="13" t="str"/>
      <x:c r="P988" s="13" t="str">
        <x:v>milestone_04_grip_literacy_strength/week_14_2026-12-07/04_THURSDAY.md</x:v>
      </x:c>
      <x:c r="Q988" s="138" t="str">
        <x:v>Markdown</x:v>
      </x:c>
      <x:c r="R988" s="20" t="str"/>
    </x:row>
    <x:row r="989" ht="36" customHeight="1">
      <x:c r="A989" s="19" t="str">
        <x:v>W14-20261211-0988</x:v>
      </x:c>
      <x:c r="B989" s="13" t="n">
        <x:v>14</x:v>
      </x:c>
      <x:c r="C989" s="13" t="str">
        <x:v>Этап 4 — Типы хвата и специфическая сила пальцев</x:v>
      </x:c>
      <x:c r="D989" s="138" t="str">
        <x:v>2026-12-11</x:v>
      </x:c>
      <x:c r="E989" s="13" t="str">
        <x:v>Пятница</x:v>
      </x:c>
      <x:c r="F989" s="13" t="str">
        <x:v>Дом / теория</x:v>
      </x:c>
      <x:c r="G989" s="44" t="n">
        <x:v>0</x:v>
      </x:c>
      <x:c r="H989" s="44" t="n">
        <x:v>0.0020833333333333333</x:v>
      </x:c>
      <x:c r="I989" s="32" t="n">
        <x:f>ROUND((H989-G989)*1440,0)</x:f>
        <x:v>3</x:v>
      </x:c>
      <x:c r="J989" s="13" t="str">
        <x:v>Самопроверка</x:v>
      </x:c>
      <x:c r="K989" s="13" t="str">
        <x:v>Оцени утреннюю реакцию после четверга: пальцы/плечо/колено 0–10. Запиши, восстановилась ли обычная сила кисти.</x:v>
      </x:c>
      <x:c r="L989" s="13" t="str">
        <x:v>☐ Не начато</x:v>
      </x:c>
      <x:c r="M989" s="13" t="str">
        <x:v>Обязательно</x:v>
      </x:c>
      <x:c r="N989" s="13" t="str">
        <x:v>Без нагрузки</x:v>
      </x:c>
      <x:c r="O989" s="13" t="str">
        <x:v>Острая локальная боль пальца или усилившаяся боль плеча = воскресенье только восстановительное.</x:v>
      </x:c>
      <x:c r="P989" s="13" t="str">
        <x:v>milestone_04_grip_literacy_strength/week_14_2026-12-07/05_FRIDAY.md</x:v>
      </x:c>
      <x:c r="Q989" s="138" t="str">
        <x:v>Markdown</x:v>
      </x:c>
      <x:c r="R989" s="20" t="str"/>
    </x:row>
    <x:row r="990" ht="36" customHeight="1">
      <x:c r="A990" s="19" t="str">
        <x:v>W14-20261211-0989</x:v>
      </x:c>
      <x:c r="B990" s="13" t="n">
        <x:v>14</x:v>
      </x:c>
      <x:c r="C990" s="13" t="str">
        <x:v>Этап 4 — Типы хвата и специфическая сила пальцев</x:v>
      </x:c>
      <x:c r="D990" s="138" t="str">
        <x:v>2026-12-11</x:v>
      </x:c>
      <x:c r="E990" s="13" t="str">
        <x:v>Пятница</x:v>
      </x:c>
      <x:c r="F990" s="13" t="str">
        <x:v>Дом / теория</x:v>
      </x:c>
      <x:c r="G990" s="44" t="n">
        <x:v>0.0020833333333333333</x:v>
      </x:c>
      <x:c r="H990" s="44" t="n">
        <x:v>0.009027777777777777</x:v>
      </x:c>
      <x:c r="I990" s="32" t="n">
        <x:f>ROUND((H990-G990)*1440,0)</x:f>
        <x:v>10</x:v>
      </x:c>
      <x:c r="J990" s="13" t="str">
        <x:v>Теория</x:v>
      </x:c>
      <x:c r="K990" s="13" t="str">
        <x:v>Пересмотри ключевой фрагмент ресурса недели: [R15: BMC — Hand positions when climbing](https://www.thebmc.co.uk/en/hand-positions-when-climbing-video). Задача: Открытый хват, half crimp и другие позиции; full crimp не тренируется на фингерборде.</x:v>
      </x:c>
      <x:c r="L990" s="13" t="str">
        <x:v>☐ Не начато</x:v>
      </x:c>
      <x:c r="M990" s="13" t="str">
        <x:v>Обязательно</x:v>
      </x:c>
      <x:c r="N990" s="13" t="str">
        <x:v>Без нагрузки</x:v>
      </x:c>
      <x:c r="O990" s="13" t="str"/>
      <x:c r="P990" s="13" t="str">
        <x:v>milestone_04_grip_literacy_strength/week_14_2026-12-07/05_FRIDAY.md</x:v>
      </x:c>
      <x:c r="Q990" s="138" t="str">
        <x:v>Markdown</x:v>
      </x:c>
      <x:c r="R990" s="20" t="str"/>
    </x:row>
    <x:row r="991" ht="36" customHeight="1">
      <x:c r="A991" s="19" t="str">
        <x:v>W14-20261211-0990</x:v>
      </x:c>
      <x:c r="B991" s="13" t="n">
        <x:v>14</x:v>
      </x:c>
      <x:c r="C991" s="13" t="str">
        <x:v>Этап 4 — Типы хвата и специфическая сила пальцев</x:v>
      </x:c>
      <x:c r="D991" s="138" t="str">
        <x:v>2026-12-11</x:v>
      </x:c>
      <x:c r="E991" s="13" t="str">
        <x:v>Пятница</x:v>
      </x:c>
      <x:c r="F991" s="13" t="str">
        <x:v>Дом / теория</x:v>
      </x:c>
      <x:c r="G991" s="44" t="n">
        <x:v>0.009027777777777777</x:v>
      </x:c>
      <x:c r="H991" s="44" t="n">
        <x:v>0.013194444444444444</x:v>
      </x:c>
      <x:c r="I991" s="32" t="n">
        <x:f>ROUND((H991-G991)*1440,0)</x:f>
        <x:v>6</x:v>
      </x:c>
      <x:c r="J991" s="13" t="str">
        <x:v>Ментальная репетиция</x:v>
      </x:c>
      <x:c r="K991" s="13" t="str">
        <x:v>Закрой глаза и 3 раза мысленно пройди одну рабочую трассу: руки → ноги → положение таза → дыхание. Визуализируй cue «Подведи центр массы под направление, в котором sloper держит; увеличь контакт ладони, а не панику хвата.».</x:v>
      </x:c>
      <x:c r="L991" s="13" t="str">
        <x:v>☐ Не начато</x:v>
      </x:c>
      <x:c r="M991" s="13" t="str">
        <x:v>Обязательно</x:v>
      </x:c>
      <x:c r="N991" s="13" t="str">
        <x:v>Без нагрузки</x:v>
      </x:c>
      <x:c r="O991" s="13" t="str"/>
      <x:c r="P991" s="13" t="str">
        <x:v>milestone_04_grip_literacy_strength/week_14_2026-12-07/05_FRIDAY.md</x:v>
      </x:c>
      <x:c r="Q991" s="138" t="str">
        <x:v>Markdown</x:v>
      </x:c>
      <x:c r="R991" s="20" t="str"/>
    </x:row>
    <x:row r="992" ht="36" customHeight="1">
      <x:c r="A992" s="19" t="str">
        <x:v>W14-20261211-0991</x:v>
      </x:c>
      <x:c r="B992" s="13" t="n">
        <x:v>14</x:v>
      </x:c>
      <x:c r="C992" s="13" t="str">
        <x:v>Этап 4 — Типы хвата и специфическая сила пальцев</x:v>
      </x:c>
      <x:c r="D992" s="138" t="str">
        <x:v>2026-12-11</x:v>
      </x:c>
      <x:c r="E992" s="13" t="str">
        <x:v>Пятница</x:v>
      </x:c>
      <x:c r="F992" s="13" t="str">
        <x:v>Дом / теория</x:v>
      </x:c>
      <x:c r="G992" s="44" t="n">
        <x:v>0.013194444444444444</x:v>
      </x:c>
      <x:c r="H992" s="44" t="n">
        <x:v>0.021527777777777778</x:v>
      </x:c>
      <x:c r="I992" s="32" t="n">
        <x:f>ROUND((H992-G992)*1440,0)</x:f>
        <x:v>12</x:v>
      </x:c>
      <x:c r="J992" s="13" t="str">
        <x:v>Домашняя мобильность</x:v>
      </x:c>
      <x:c r="K992" s="13" t="str">
        <x:v>Выполни H3 «Мобильность таза и контроль корпуса» — 12 минут.</x:v>
      </x:c>
      <x:c r="L992" s="13" t="str">
        <x:v>☐ Не начато</x:v>
      </x:c>
      <x:c r="M992" s="13" t="str">
        <x:v>Обязательно</x:v>
      </x:c>
      <x:c r="N992" s="13" t="str">
        <x:v>RPE 2–3</x:v>
      </x:c>
      <x:c r="O992" s="13" t="str">
        <x:v>Никаких скручиваний через боль. Плечом не отталкивайся от стены; касание только для равновесия.</x:v>
      </x:c>
      <x:c r="P992" s="13" t="str">
        <x:v>milestone_04_grip_literacy_strength/week_14_2026-12-07/05_FRIDAY.md</x:v>
      </x:c>
      <x:c r="Q992" s="138" t="str">
        <x:v>Markdown</x:v>
      </x:c>
      <x:c r="R992" s="20" t="str"/>
    </x:row>
    <x:row r="993" ht="36" customHeight="1">
      <x:c r="A993" s="19" t="str">
        <x:v>W14-20261211-0992</x:v>
      </x:c>
      <x:c r="B993" s="13" t="n">
        <x:v>14</x:v>
      </x:c>
      <x:c r="C993" s="13" t="str">
        <x:v>Этап 4 — Типы хвата и специфическая сила пальцев</x:v>
      </x:c>
      <x:c r="D993" s="138" t="str">
        <x:v>2026-12-11</x:v>
      </x:c>
      <x:c r="E993" s="13" t="str">
        <x:v>Пятница</x:v>
      </x:c>
      <x:c r="F993" s="13" t="str">
        <x:v>Дом / теория</x:v>
      </x:c>
      <x:c r="G993" s="44" t="n">
        <x:v>0.021527777777777778</x:v>
      </x:c>
      <x:c r="H993" s="44" t="n">
        <x:v>0.035416666666666666</x:v>
      </x:c>
      <x:c r="I993" s="32" t="n">
        <x:f>ROUND((H993-G993)*1440,0)</x:f>
        <x:v>20</x:v>
      </x:c>
      <x:c r="J993" s="13" t="str">
        <x:v>Физиотерапия</x:v>
      </x:c>
      <x:c r="K993" s="13" t="str">
        <x:v>Выполни свой назначенный комплекс, если пятница входит в расписание физиотерапевта.</x:v>
      </x:c>
      <x:c r="L993" s="13" t="str">
        <x:v>☐ Не начато</x:v>
      </x:c>
      <x:c r="M993" s="13" t="str">
        <x:v>По назначению</x:v>
      </x:c>
      <x:c r="N993" s="13" t="str">
        <x:v>По назначению</x:v>
      </x:c>
      <x:c r="O993" s="13" t="str">
        <x:v>Не добавляй упражнения из интернета поверх назначений.</x:v>
      </x:c>
      <x:c r="P993" s="13" t="str">
        <x:v>milestone_04_grip_literacy_strength/week_14_2026-12-07/05_FRIDAY.md</x:v>
      </x:c>
      <x:c r="Q993" s="138" t="str">
        <x:v>Markdown</x:v>
      </x:c>
      <x:c r="R993" s="20" t="str"/>
    </x:row>
    <x:row r="994" ht="36" customHeight="1">
      <x:c r="A994" s="19" t="str">
        <x:v>W14-20261211-0993</x:v>
      </x:c>
      <x:c r="B994" s="13" t="n">
        <x:v>14</x:v>
      </x:c>
      <x:c r="C994" s="13" t="str">
        <x:v>Этап 4 — Типы хвата и специфическая сила пальцев</x:v>
      </x:c>
      <x:c r="D994" s="138" t="str">
        <x:v>2026-12-11</x:v>
      </x:c>
      <x:c r="E994" s="13" t="str">
        <x:v>Пятница</x:v>
      </x:c>
      <x:c r="F994" s="13" t="str">
        <x:v>Дом / теория</x:v>
      </x:c>
      <x:c r="G994" s="44" t="n">
        <x:v>0.035416666666666666</x:v>
      </x:c>
      <x:c r="H994" s="44" t="n">
        <x:v>0.03819444444444445</x:v>
      </x:c>
      <x:c r="I994" s="32" t="n">
        <x:f>ROUND((H994-G994)*1440,0)</x:f>
        <x:v>4</x:v>
      </x:c>
      <x:c r="J994" s="13" t="str">
        <x:v>Журнал</x:v>
      </x:c>
      <x:c r="K994" s="13" t="str">
        <x:v>Запиши одну вещь, которая сработала на этой неделе, и одну, которую повторишь в воскресенье на лёгкой трассе.</x:v>
      </x:c>
      <x:c r="L994" s="13" t="str">
        <x:v>☐ Не начато</x:v>
      </x:c>
      <x:c r="M994" s="13" t="str">
        <x:v>Обязательно</x:v>
      </x:c>
      <x:c r="N994" s="13" t="str">
        <x:v>Без нагрузки</x:v>
      </x:c>
      <x:c r="O994" s="13" t="str"/>
      <x:c r="P994" s="13" t="str">
        <x:v>milestone_04_grip_literacy_strength/week_14_2026-12-07/05_FRIDAY.md</x:v>
      </x:c>
      <x:c r="Q994" s="138" t="str">
        <x:v>Markdown</x:v>
      </x:c>
      <x:c r="R994" s="20" t="str"/>
    </x:row>
    <x:row r="995" ht="36" customHeight="1">
      <x:c r="A995" s="19" t="str">
        <x:v>W14-20261211-0994</x:v>
      </x:c>
      <x:c r="B995" s="13" t="n">
        <x:v>14</x:v>
      </x:c>
      <x:c r="C995" s="13" t="str">
        <x:v>Этап 4 — Типы хвата и специфическая сила пальцев</x:v>
      </x:c>
      <x:c r="D995" s="138" t="str">
        <x:v>2026-12-11</x:v>
      </x:c>
      <x:c r="E995" s="13" t="str">
        <x:v>Пятница</x:v>
      </x:c>
      <x:c r="F995" s="13" t="str">
        <x:v>Дом / теория</x:v>
      </x:c>
      <x:c r="G995" s="44" t="n">
        <x:v>0.03819444444444445</x:v>
      </x:c>
      <x:c r="H995" s="44" t="n">
        <x:v>0.04027777777777778</x:v>
      </x:c>
      <x:c r="I995" s="32" t="n">
        <x:f>ROUND((H995-G995)*1440,0)</x:f>
        <x:v>3</x:v>
      </x:c>
      <x:c r="J995" s="13" t="str">
        <x:v>Запрет лишней нагрузки</x:v>
      </x:c>
      <x:c r="K995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995" s="13" t="str">
        <x:v>☐ Не начато</x:v>
      </x:c>
      <x:c r="M995" s="13" t="str">
        <x:v>Обязательно</x:v>
      </x:c>
      <x:c r="N995" s="13" t="str">
        <x:v>Восстановление</x:v>
      </x:c>
      <x:c r="O995" s="13" t="str">
        <x:v>Общая пальцевая нагрузка уже получена в четверг.</x:v>
      </x:c>
      <x:c r="P995" s="13" t="str">
        <x:v>milestone_04_grip_literacy_strength/week_14_2026-12-07/05_FRIDAY.md</x:v>
      </x:c>
      <x:c r="Q995" s="138" t="str">
        <x:v>Markdown</x:v>
      </x:c>
      <x:c r="R995" s="20" t="str"/>
    </x:row>
    <x:row r="996" ht="36" customHeight="1">
      <x:c r="A996" s="19" t="str">
        <x:v>W14-20261212-0995</x:v>
      </x:c>
      <x:c r="B996" s="13" t="n">
        <x:v>14</x:v>
      </x:c>
      <x:c r="C996" s="13" t="str">
        <x:v>Этап 4 — Типы хвата и специфическая сила пальцев</x:v>
      </x:c>
      <x:c r="D996" s="138" t="str">
        <x:v>2026-12-12</x:v>
      </x:c>
      <x:c r="E996" s="13" t="str">
        <x:v>Суббота</x:v>
      </x:c>
      <x:c r="F996" s="13" t="str">
        <x:v>Отдых / подготовка</x:v>
      </x:c>
      <x:c r="G996" s="44" t="n">
        <x:v>0</x:v>
      </x:c>
      <x:c r="H996" s="44" t="n">
        <x:v>0.003472222222222222</x:v>
      </x:c>
      <x:c r="I996" s="32" t="n">
        <x:f>ROUND((H996-G996)*1440,0)</x:f>
        <x:v>5</x:v>
      </x:c>
      <x:c r="J996" s="13" t="str">
        <x:v>Самопроверка</x:v>
      </x:c>
      <x:c r="K996" s="13" t="str">
        <x:v>Проверь кожу пальцев, ногти, плечо и колено. Никаких тестовых висов.</x:v>
      </x:c>
      <x:c r="L996" s="13" t="str">
        <x:v>☐ Не начато</x:v>
      </x:c>
      <x:c r="M996" s="13" t="str">
        <x:v>Обязательно</x:v>
      </x:c>
      <x:c r="N996" s="13" t="str">
        <x:v>Восстановление</x:v>
      </x:c>
      <x:c r="O996" s="13" t="str"/>
      <x:c r="P996" s="13" t="str">
        <x:v>milestone_04_grip_literacy_strength/week_14_2026-12-07/06_SATURDAY.md</x:v>
      </x:c>
      <x:c r="Q996" s="138" t="str">
        <x:v>Markdown</x:v>
      </x:c>
      <x:c r="R996" s="20" t="str"/>
    </x:row>
    <x:row r="997" ht="36" customHeight="1">
      <x:c r="A997" s="19" t="str">
        <x:v>W14-20261212-0996</x:v>
      </x:c>
      <x:c r="B997" s="13" t="n">
        <x:v>14</x:v>
      </x:c>
      <x:c r="C997" s="13" t="str">
        <x:v>Этап 4 — Типы хвата и специфическая сила пальцев</x:v>
      </x:c>
      <x:c r="D997" s="138" t="str">
        <x:v>2026-12-12</x:v>
      </x:c>
      <x:c r="E997" s="13" t="str">
        <x:v>Суббота</x:v>
      </x:c>
      <x:c r="F997" s="13" t="str">
        <x:v>Отдых / подготовка</x:v>
      </x:c>
      <x:c r="G997" s="44" t="n">
        <x:v>0.003472222222222222</x:v>
      </x:c>
      <x:c r="H997" s="44" t="n">
        <x:v>0.010416666666666666</x:v>
      </x:c>
      <x:c r="I997" s="32" t="n">
        <x:f>ROUND((H997-G997)*1440,0)</x:f>
        <x:v>10</x:v>
      </x:c>
      <x:c r="J997" s="13" t="str">
        <x:v>Активное восстановление</x:v>
      </x:c>
      <x:c r="K997" s="13" t="str">
        <x:v>10 минут лёгкой прогулки или бытовой активности. Цель — восстановление, не тренировка.</x:v>
      </x:c>
      <x:c r="L997" s="13" t="str">
        <x:v>☐ Не начато</x:v>
      </x:c>
      <x:c r="M997" s="13" t="str">
        <x:v>Обязательно</x:v>
      </x:c>
      <x:c r="N997" s="13" t="str">
        <x:v>RPE 1–2</x:v>
      </x:c>
      <x:c r="O997" s="13" t="str"/>
      <x:c r="P997" s="13" t="str">
        <x:v>milestone_04_grip_literacy_strength/week_14_2026-12-07/06_SATURDAY.md</x:v>
      </x:c>
      <x:c r="Q997" s="138" t="str">
        <x:v>Markdown</x:v>
      </x:c>
      <x:c r="R997" s="20" t="str"/>
    </x:row>
    <x:row r="998" ht="36" customHeight="1">
      <x:c r="A998" s="19" t="str">
        <x:v>W14-20261212-0997</x:v>
      </x:c>
      <x:c r="B998" s="13" t="n">
        <x:v>14</x:v>
      </x:c>
      <x:c r="C998" s="13" t="str">
        <x:v>Этап 4 — Типы хвата и специфическая сила пальцев</x:v>
      </x:c>
      <x:c r="D998" s="138" t="str">
        <x:v>2026-12-12</x:v>
      </x:c>
      <x:c r="E998" s="13" t="str">
        <x:v>Суббота</x:v>
      </x:c>
      <x:c r="F998" s="13" t="str">
        <x:v>Отдых / подготовка</x:v>
      </x:c>
      <x:c r="G998" s="44" t="n">
        <x:v>0.010416666666666666</x:v>
      </x:c>
      <x:c r="H998" s="44" t="n">
        <x:v>0.013888888888888888</x:v>
      </x:c>
      <x:c r="I998" s="32" t="n">
        <x:f>ROUND((H998-G998)*1440,0)</x:f>
        <x:v>5</x:v>
      </x:c>
      <x:c r="J998" s="13" t="str">
        <x:v>Уход за кожей</x:v>
      </x:c>
      <x:c r="K998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998" s="13" t="str">
        <x:v>☐ Не начато</x:v>
      </x:c>
      <x:c r="M998" s="13" t="str">
        <x:v>Опционально</x:v>
      </x:c>
      <x:c r="N998" s="13" t="str">
        <x:v>Без нагрузки</x:v>
      </x:c>
      <x:c r="O998" s="13" t="str">
        <x:v>Повреждённую/болезненную кожу не шлифовать.</x:v>
      </x:c>
      <x:c r="P998" s="13" t="str">
        <x:v>milestone_04_grip_literacy_strength/week_14_2026-12-07/06_SATURDAY.md</x:v>
      </x:c>
      <x:c r="Q998" s="138" t="str">
        <x:v>Markdown</x:v>
      </x:c>
      <x:c r="R998" s="20" t="str"/>
    </x:row>
    <x:row r="999" ht="36" customHeight="1">
      <x:c r="A999" s="19" t="str">
        <x:v>W14-20261212-0998</x:v>
      </x:c>
      <x:c r="B999" s="13" t="n">
        <x:v>14</x:v>
      </x:c>
      <x:c r="C999" s="13" t="str">
        <x:v>Этап 4 — Типы хвата и специфическая сила пальцев</x:v>
      </x:c>
      <x:c r="D999" s="138" t="str">
        <x:v>2026-12-12</x:v>
      </x:c>
      <x:c r="E999" s="13" t="str">
        <x:v>Суббота</x:v>
      </x:c>
      <x:c r="F999" s="13" t="str">
        <x:v>Отдых / подготовка</x:v>
      </x:c>
      <x:c r="G999" s="44" t="n">
        <x:v>0.013888888888888888</x:v>
      </x:c>
      <x:c r="H999" s="44" t="n">
        <x:v>0.016666666666666666</x:v>
      </x:c>
      <x:c r="I999" s="32" t="n">
        <x:f>ROUND((H999-G999)*1440,0)</x:f>
        <x:v>4</x:v>
      </x:c>
      <x:c r="J999" s="13" t="str">
        <x:v>Подготовка</x:v>
      </x:c>
      <x:c r="K999" s="13" t="str">
        <x:v>Заряди телефон, освободи память для одного видео, положи щётку и магнезию.</x:v>
      </x:c>
      <x:c r="L999" s="13" t="str">
        <x:v>☐ Не начато</x:v>
      </x:c>
      <x:c r="M999" s="13" t="str">
        <x:v>Обязательно</x:v>
      </x:c>
      <x:c r="N999" s="13" t="str">
        <x:v>Без нагрузки</x:v>
      </x:c>
      <x:c r="O999" s="13" t="str"/>
      <x:c r="P999" s="13" t="str">
        <x:v>milestone_04_grip_literacy_strength/week_14_2026-12-07/06_SATURDAY.md</x:v>
      </x:c>
      <x:c r="Q999" s="138" t="str">
        <x:v>Markdown</x:v>
      </x:c>
      <x:c r="R999" s="20" t="str"/>
    </x:row>
    <x:row r="1000" ht="36" customHeight="1">
      <x:c r="A1000" s="19" t="str">
        <x:v>W14-20261212-0999</x:v>
      </x:c>
      <x:c r="B1000" s="13" t="n">
        <x:v>14</x:v>
      </x:c>
      <x:c r="C1000" s="13" t="str">
        <x:v>Этап 4 — Типы хвата и специфическая сила пальцев</x:v>
      </x:c>
      <x:c r="D1000" s="138" t="str">
        <x:v>2026-12-12</x:v>
      </x:c>
      <x:c r="E1000" s="13" t="str">
        <x:v>Суббота</x:v>
      </x:c>
      <x:c r="F1000" s="13" t="str">
        <x:v>Отдых / подготовка</x:v>
      </x:c>
      <x:c r="G1000" s="44" t="n">
        <x:v>0.016666666666666666</x:v>
      </x:c>
      <x:c r="H1000" s="44" t="n">
        <x:v>0.01875</x:v>
      </x:c>
      <x:c r="I1000" s="32" t="n">
        <x:f>ROUND((H1000-G1000)*1440,0)</x:f>
        <x:v>3</x:v>
      </x:c>
      <x:c r="J1000" s="13" t="str">
        <x:v>План воскресенья</x:v>
      </x:c>
      <x:c r="K1000" s="13" t="str">
        <x:v>Выбери заранее одну лёгкую трассу под тему «Sloper». Воскресенье остаётся развлечением, не третьим тяжёлым днём.</x:v>
      </x:c>
      <x:c r="L1000" s="13" t="str">
        <x:v>☐ Не начато</x:v>
      </x:c>
      <x:c r="M1000" s="13" t="str">
        <x:v>Обязательно</x:v>
      </x:c>
      <x:c r="N1000" s="13" t="str">
        <x:v>Без нагрузки</x:v>
      </x:c>
      <x:c r="O1000" s="13" t="str"/>
      <x:c r="P1000" s="13" t="str">
        <x:v>milestone_04_grip_literacy_strength/week_14_2026-12-07/06_SATURDAY.md</x:v>
      </x:c>
      <x:c r="Q1000" s="138" t="str">
        <x:v>Markdown</x:v>
      </x:c>
      <x:c r="R1000" s="20" t="str"/>
    </x:row>
    <x:row r="1001" ht="36" customHeight="1">
      <x:c r="A1001" s="19" t="str">
        <x:v>W14-20261212-1000</x:v>
      </x:c>
      <x:c r="B1001" s="13" t="n">
        <x:v>14</x:v>
      </x:c>
      <x:c r="C1001" s="13" t="str">
        <x:v>Этап 4 — Типы хвата и специфическая сила пальцев</x:v>
      </x:c>
      <x:c r="D1001" s="138" t="str">
        <x:v>2026-12-12</x:v>
      </x:c>
      <x:c r="E1001" s="13" t="str">
        <x:v>Суббота</x:v>
      </x:c>
      <x:c r="F1001" s="13" t="str">
        <x:v>Отдых / подготовка</x:v>
      </x:c>
      <x:c r="G1001" s="44" t="n">
        <x:v>0.01875</x:v>
      </x:c>
      <x:c r="H1001" s="44" t="n">
        <x:v>0.020833333333333332</x:v>
      </x:c>
      <x:c r="I1001" s="32" t="n">
        <x:f>ROUND((H1001-G1001)*1440,0)</x:f>
        <x:v>3</x:v>
      </x:c>
      <x:c r="J1001" s="13" t="str">
        <x:v>Сон / восстановление</x:v>
      </x:c>
      <x:c r="K1001" s="13" t="str">
        <x:v>Запланируй обычный сон и нормальный приём пищи; не пытайся «разбудить хват» вечером.</x:v>
      </x:c>
      <x:c r="L1001" s="13" t="str">
        <x:v>☐ Не начато</x:v>
      </x:c>
      <x:c r="M1001" s="13" t="str">
        <x:v>Обязательно</x:v>
      </x:c>
      <x:c r="N1001" s="13" t="str">
        <x:v>Восстановление</x:v>
      </x:c>
      <x:c r="O1001" s="13" t="str"/>
      <x:c r="P1001" s="13" t="str">
        <x:v>milestone_04_grip_literacy_strength/week_14_2026-12-07/06_SATURDAY.md</x:v>
      </x:c>
      <x:c r="Q1001" s="138" t="str">
        <x:v>Markdown</x:v>
      </x:c>
      <x:c r="R1001" s="20" t="str"/>
    </x:row>
    <x:row r="1002" ht="36" customHeight="1">
      <x:c r="A1002" s="19" t="str">
        <x:v>W14-20261213-1001</x:v>
      </x:c>
      <x:c r="B1002" s="13" t="n">
        <x:v>14</x:v>
      </x:c>
      <x:c r="C1002" s="13" t="str">
        <x:v>Этап 4 — Типы хвата и специфическая сила пальцев</x:v>
      </x:c>
      <x:c r="D1002" s="138" t="str">
        <x:v>2026-12-13</x:v>
      </x:c>
      <x:c r="E1002" s="13" t="str">
        <x:v>Воскресенье</x:v>
      </x:c>
      <x:c r="F1002" s="13" t="str">
        <x:v>Тренировка C — fun / опционально</x:v>
      </x:c>
      <x:c r="G1002" s="44" t="n">
        <x:v>0</x:v>
      </x:c>
      <x:c r="H1002" s="44" t="n">
        <x:v>0.0020833333333333333</x:v>
      </x:c>
      <x:c r="I1002" s="32" t="n">
        <x:f>ROUND((H1002-G1002)*1440,0)</x:f>
        <x:v>3</x:v>
      </x:c>
      <x:c r="J1002" s="13" t="str">
        <x:v>Выбор сценария</x:v>
      </x:c>
      <x:c r="K1002" s="13" t="str">
        <x:v>Выбери один сценарий: (A) fun-сессия 75 минут в зале или (B) восстановительный день дома 25 минут. Не выполнять оба.</x:v>
      </x:c>
      <x:c r="L1002" s="13" t="str">
        <x:v>☐ Не начато</x:v>
      </x:c>
      <x:c r="M1002" s="13" t="str">
        <x:v>Выбрать один сценарий</x:v>
      </x:c>
      <x:c r="N1002" s="13" t="str">
        <x:v>По состоянию</x:v>
      </x:c>
      <x:c r="O1002" s="13" t="str"/>
      <x:c r="P1002" s="13" t="str">
        <x:v>milestone_04_grip_literacy_strength/week_14_2026-12-07/07_SUNDAY.md</x:v>
      </x:c>
      <x:c r="Q1002" s="138" t="str">
        <x:v>Markdown</x:v>
      </x:c>
      <x:c r="R1002" s="20" t="str"/>
    </x:row>
    <x:row r="1003" ht="36" customHeight="1">
      <x:c r="A1003" s="19" t="str">
        <x:v>W14-20261213-1002</x:v>
      </x:c>
      <x:c r="B1003" s="13" t="n">
        <x:v>14</x:v>
      </x:c>
      <x:c r="C1003" s="13" t="str">
        <x:v>Этап 4 — Типы хвата и специфическая сила пальцев</x:v>
      </x:c>
      <x:c r="D1003" s="138" t="str">
        <x:v>2026-12-13</x:v>
      </x:c>
      <x:c r="E1003" s="13" t="str">
        <x:v>Воскресенье</x:v>
      </x:c>
      <x:c r="F1003" s="13" t="str">
        <x:v>Тренировка C — fun / опционально</x:v>
      </x:c>
      <x:c r="G1003" s="44" t="n">
        <x:v>0.0020833333333333333</x:v>
      </x:c>
      <x:c r="H1003" s="44" t="n">
        <x:v>0.005555555555555556</x:v>
      </x:c>
      <x:c r="I1003" s="32" t="n">
        <x:f>ROUND((H1003-G1003)*1440,0)</x:f>
        <x:v>5</x:v>
      </x:c>
      <x:c r="J1003" s="13" t="str">
        <x:v>Разминка A</x:v>
      </x:c>
      <x:c r="K1003" s="13" t="str">
        <x:v>Если идёшь в зал: 5 минут поднятия температуры.</x:v>
      </x:c>
      <x:c r="L1003" s="13" t="str">
        <x:v>☐ Не начато</x:v>
      </x:c>
      <x:c r="M1003" s="13" t="str">
        <x:v>Опционально</x:v>
      </x:c>
      <x:c r="N1003" s="13" t="str">
        <x:v>RPE 2–3</x:v>
      </x:c>
      <x:c r="O1003" s="13" t="str"/>
      <x:c r="P1003" s="13" t="str">
        <x:v>milestone_04_grip_literacy_strength/week_14_2026-12-07/07_SUNDAY.md</x:v>
      </x:c>
      <x:c r="Q1003" s="138" t="str">
        <x:v>Markdown</x:v>
      </x:c>
      <x:c r="R1003" s="20" t="str"/>
    </x:row>
    <x:row r="1004" ht="36" customHeight="1">
      <x:c r="A1004" s="19" t="str">
        <x:v>W14-20261213-1003</x:v>
      </x:c>
      <x:c r="B1004" s="13" t="n">
        <x:v>14</x:v>
      </x:c>
      <x:c r="C1004" s="13" t="str">
        <x:v>Этап 4 — Типы хвата и специфическая сила пальцев</x:v>
      </x:c>
      <x:c r="D1004" s="138" t="str">
        <x:v>2026-12-13</x:v>
      </x:c>
      <x:c r="E1004" s="13" t="str">
        <x:v>Воскресенье</x:v>
      </x:c>
      <x:c r="F1004" s="13" t="str">
        <x:v>Тренировка C — fun / опционально</x:v>
      </x:c>
      <x:c r="G1004" s="44" t="n">
        <x:v>0.005555555555555556</x:v>
      </x:c>
      <x:c r="H1004" s="44" t="n">
        <x:v>0.009027777777777777</x:v>
      </x:c>
      <x:c r="I1004" s="32" t="n">
        <x:f>ROUND((H1004-G1004)*1440,0)</x:f>
        <x:v>5</x:v>
      </x:c>
      <x:c r="J1004" s="13" t="str">
        <x:v>Разминка A</x:v>
      </x:c>
      <x:c r="K1004" s="13" t="str">
        <x:v>Динамическая суставная разминка в безболезненном диапазоне; без отжиманий/press.</x:v>
      </x:c>
      <x:c r="L1004" s="13" t="str">
        <x:v>☐ Не начато</x:v>
      </x:c>
      <x:c r="M1004" s="13" t="str">
        <x:v>Опционально</x:v>
      </x:c>
      <x:c r="N1004" s="13" t="str">
        <x:v>Очень легко</x:v>
      </x:c>
      <x:c r="O1004" s="13" t="str">
        <x:v>Если sloper требует болезненной компрессии плечом, заменить трассу. Не тереть кожу до повреждения.</x:v>
      </x:c>
      <x:c r="P1004" s="13" t="str">
        <x:v>milestone_04_grip_literacy_strength/week_14_2026-12-07/07_SUNDAY.md</x:v>
      </x:c>
      <x:c r="Q1004" s="138" t="str">
        <x:v>Markdown</x:v>
      </x:c>
      <x:c r="R1004" s="20" t="str"/>
    </x:row>
    <x:row r="1005" ht="36" customHeight="1">
      <x:c r="A1005" s="19" t="str">
        <x:v>W14-20261213-1004</x:v>
      </x:c>
      <x:c r="B1005" s="13" t="n">
        <x:v>14</x:v>
      </x:c>
      <x:c r="C1005" s="13" t="str">
        <x:v>Этап 4 — Типы хвата и специфическая сила пальцев</x:v>
      </x:c>
      <x:c r="D1005" s="138" t="str">
        <x:v>2026-12-13</x:v>
      </x:c>
      <x:c r="E1005" s="13" t="str">
        <x:v>Воскресенье</x:v>
      </x:c>
      <x:c r="F1005" s="13" t="str">
        <x:v>Тренировка C — fun / опционально</x:v>
      </x:c>
      <x:c r="G1005" s="44" t="n">
        <x:v>0.009027777777777777</x:v>
      </x:c>
      <x:c r="H1005" s="44" t="n">
        <x:v>0.013888888888888888</x:v>
      </x:c>
      <x:c r="I1005" s="32" t="n">
        <x:f>ROUND((H1005-G1005)*1440,0)</x:f>
        <x:v>7</x:v>
      </x:c>
      <x:c r="J1005" s="13" t="str">
        <x:v>Лёгкое лазание A</x:v>
      </x:c>
      <x:c r="K1005" s="13" t="str">
        <x:v>3 очень лёгкие трассы 1–3 с постепенным увеличением сложности.</x:v>
      </x:c>
      <x:c r="L1005" s="13" t="str">
        <x:v>☐ Не начато</x:v>
      </x:c>
      <x:c r="M1005" s="13" t="str">
        <x:v>Опционально</x:v>
      </x:c>
      <x:c r="N1005" s="13" t="str">
        <x:v>RPE 2–4</x:v>
      </x:c>
      <x:c r="O1005" s="13" t="str"/>
      <x:c r="P1005" s="13" t="str">
        <x:v>milestone_04_grip_literacy_strength/week_14_2026-12-07/07_SUNDAY.md</x:v>
      </x:c>
      <x:c r="Q1005" s="138" t="str">
        <x:v>Markdown</x:v>
      </x:c>
      <x:c r="R1005" s="20" t="str"/>
    </x:row>
    <x:row r="1006" ht="36" customHeight="1">
      <x:c r="A1006" s="19" t="str">
        <x:v>W14-20261213-1005</x:v>
      </x:c>
      <x:c r="B1006" s="13" t="n">
        <x:v>14</x:v>
      </x:c>
      <x:c r="C1006" s="13" t="str">
        <x:v>Этап 4 — Типы хвата и специфическая сила пальцев</x:v>
      </x:c>
      <x:c r="D1006" s="138" t="str">
        <x:v>2026-12-13</x:v>
      </x:c>
      <x:c r="E1006" s="13" t="str">
        <x:v>Воскресенье</x:v>
      </x:c>
      <x:c r="F1006" s="13" t="str">
        <x:v>Тренировка C — fun / опционально</x:v>
      </x:c>
      <x:c r="G1006" s="44" t="n">
        <x:v>0.013888888888888888</x:v>
      </x:c>
      <x:c r="H1006" s="44" t="n">
        <x:v>0.020833333333333332</x:v>
      </x:c>
      <x:c r="I1006" s="32" t="n">
        <x:f>ROUND((H1006-G1006)*1440,0)</x:f>
        <x:v>10</x:v>
      </x:c>
      <x:c r="J1006" s="13" t="str">
        <x:v>Технический праймер A</x:v>
      </x:c>
      <x:c r="K1006" s="13" t="str">
        <x:v>На одной лёгкой трассе дважды повтори «Sloper». Критерий: Минимум две позиции становятся заметно устойчивее только за счёт корпуса.</x:v>
      </x:c>
      <x:c r="L1006" s="13" t="str">
        <x:v>☐ Не начато</x:v>
      </x:c>
      <x:c r="M1006" s="13" t="str">
        <x:v>Опционально</x:v>
      </x:c>
      <x:c r="N1006" s="13" t="str">
        <x:v>RPE 3–4</x:v>
      </x:c>
      <x:c r="O1006" s="13" t="str">
        <x:v>Болезненная компрессия плечом = другая трасса. Не повреждать кожу повторными срывами.</x:v>
      </x:c>
      <x:c r="P1006" s="13" t="str">
        <x:v>milestone_04_grip_literacy_strength/week_14_2026-12-07/07_SUNDAY.md</x:v>
      </x:c>
      <x:c r="Q1006" s="138" t="str">
        <x:v>Markdown</x:v>
      </x:c>
      <x:c r="R1006" s="20" t="str"/>
    </x:row>
    <x:row r="1007" ht="36" customHeight="1">
      <x:c r="A1007" s="19" t="str">
        <x:v>W14-20261213-1006</x:v>
      </x:c>
      <x:c r="B1007" s="13" t="n">
        <x:v>14</x:v>
      </x:c>
      <x:c r="C1007" s="13" t="str">
        <x:v>Этап 4 — Типы хвата и специфическая сила пальцев</x:v>
      </x:c>
      <x:c r="D1007" s="138" t="str">
        <x:v>2026-12-13</x:v>
      </x:c>
      <x:c r="E1007" s="13" t="str">
        <x:v>Воскресенье</x:v>
      </x:c>
      <x:c r="F1007" s="13" t="str">
        <x:v>Тренировка C — fun / опционально</x:v>
      </x:c>
      <x:c r="G1007" s="44" t="n">
        <x:v>0.020833333333333332</x:v>
      </x:c>
      <x:c r="H1007" s="44" t="n">
        <x:v>0.03819444444444445</x:v>
      </x:c>
      <x:c r="I1007" s="32" t="n">
        <x:f>ROUND((H1007-G1007)*1440,0)</x:f>
        <x:v>25</x:v>
      </x:c>
      <x:c r="J1007" s="13" t="str">
        <x:v>Свободное лазание A</x:v>
      </x:c>
      <x:c r="K1007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007" s="13" t="str">
        <x:v>☐ Не начато</x:v>
      </x:c>
      <x:c r="M1007" s="13" t="str">
        <x:v>Опционально</x:v>
      </x:c>
      <x:c r="N1007" s="13" t="str">
        <x:v>RPE 4–7</x:v>
      </x:c>
      <x:c r="O1007" s="13" t="str">
        <x:v>Не превращать блок в круг на выносливость.</x:v>
      </x:c>
      <x:c r="P1007" s="13" t="str">
        <x:v>milestone_04_grip_literacy_strength/week_14_2026-12-07/07_SUNDAY.md</x:v>
      </x:c>
      <x:c r="Q1007" s="138" t="str">
        <x:v>Markdown</x:v>
      </x:c>
      <x:c r="R1007" s="20" t="str"/>
    </x:row>
    <x:row r="1008" ht="36" customHeight="1">
      <x:c r="A1008" s="19" t="str">
        <x:v>W14-20261213-1007</x:v>
      </x:c>
      <x:c r="B1008" s="13" t="n">
        <x:v>14</x:v>
      </x:c>
      <x:c r="C1008" s="13" t="str">
        <x:v>Этап 4 — Типы хвата и специфическая сила пальцев</x:v>
      </x:c>
      <x:c r="D1008" s="138" t="str">
        <x:v>2026-12-13</x:v>
      </x:c>
      <x:c r="E1008" s="13" t="str">
        <x:v>Воскресенье</x:v>
      </x:c>
      <x:c r="F1008" s="13" t="str">
        <x:v>Тренировка C — fun / опционально</x:v>
      </x:c>
      <x:c r="G1008" s="44" t="n">
        <x:v>0.03819444444444445</x:v>
      </x:c>
      <x:c r="H1008" s="44" t="n">
        <x:v>0.04583333333333333</x:v>
      </x:c>
      <x:c r="I1008" s="32" t="n">
        <x:f>ROUND((H1008-G1008)*1440,0)</x:f>
        <x:v>11</x:v>
      </x:c>
      <x:c r="J1008" s="13" t="str">
        <x:v>Свежая сложная попытка A</x:v>
      </x:c>
      <x:c r="K1008" s="13" t="str">
        <x:v>Только если всё зелёное: попробуй одну рабочую пятёрку или дружелюбную шестёрку по критериям недели — Пятёрка со sloper + шестёрка другого стиля, чтобы не перегружать один тип тканей. Максимум 2 попытки, отдых 4 минуты.</x:v>
      </x:c>
      <x:c r="L1008" s="13" t="str">
        <x:v>☐ Не начато</x:v>
      </x:c>
      <x:c r="M1008" s="13" t="str">
        <x:v>Опционально</x:v>
      </x:c>
      <x:c r="N1008" s="13" t="str">
        <x:v>RPE 7–8, без отказа</x:v>
      </x:c>
      <x:c r="O1008" s="13" t="str">
        <x:v>Если sloper требует болезненной компрессии плечом, заменить трассу. Не тереть кожу до повреждения.</x:v>
      </x:c>
      <x:c r="P1008" s="13" t="str">
        <x:v>milestone_04_grip_literacy_strength/week_14_2026-12-07/07_SUNDAY.md</x:v>
      </x:c>
      <x:c r="Q1008" s="138" t="str">
        <x:v>Markdown</x:v>
      </x:c>
      <x:c r="R1008" s="20" t="str"/>
    </x:row>
    <x:row r="1009" ht="36" customHeight="1">
      <x:c r="A1009" s="19" t="str">
        <x:v>W14-20261213-1008</x:v>
      </x:c>
      <x:c r="B1009" s="13" t="n">
        <x:v>14</x:v>
      </x:c>
      <x:c r="C1009" s="13" t="str">
        <x:v>Этап 4 — Типы хвата и специфическая сила пальцев</x:v>
      </x:c>
      <x:c r="D1009" s="138" t="str">
        <x:v>2026-12-13</x:v>
      </x:c>
      <x:c r="E1009" s="13" t="str">
        <x:v>Воскресенье</x:v>
      </x:c>
      <x:c r="F1009" s="13" t="str">
        <x:v>Тренировка C — fun / опционально</x:v>
      </x:c>
      <x:c r="G1009" s="44" t="n">
        <x:v>0.04583333333333333</x:v>
      </x:c>
      <x:c r="H1009" s="44" t="n">
        <x:v>0.05</x:v>
      </x:c>
      <x:c r="I1009" s="32" t="n">
        <x:f>ROUND((H1009-G1009)*1440,0)</x:f>
        <x:v>6</x:v>
      </x:c>
      <x:c r="J1009" s="13" t="str">
        <x:v>Лёгкий финал A</x:v>
      </x:c>
      <x:c r="K1009" s="13" t="str">
        <x:v>Одна любимая лёгкая трасса или спокойный спуск. Фингерборда и capacity-круга нет.</x:v>
      </x:c>
      <x:c r="L1009" s="13" t="str">
        <x:v>☐ Не начато</x:v>
      </x:c>
      <x:c r="M1009" s="13" t="str">
        <x:v>Опционально</x:v>
      </x:c>
      <x:c r="N1009" s="13" t="str">
        <x:v>RPE 2–3</x:v>
      </x:c>
      <x:c r="O1009" s="13" t="str"/>
      <x:c r="P1009" s="13" t="str">
        <x:v>milestone_04_grip_literacy_strength/week_14_2026-12-07/07_SUNDAY.md</x:v>
      </x:c>
      <x:c r="Q1009" s="138" t="str">
        <x:v>Markdown</x:v>
      </x:c>
      <x:c r="R1009" s="20" t="str"/>
    </x:row>
    <x:row r="1010" ht="36" customHeight="1">
      <x:c r="A1010" s="19" t="str">
        <x:v>W14-20261213-1009</x:v>
      </x:c>
      <x:c r="B1010" s="13" t="n">
        <x:v>14</x:v>
      </x:c>
      <x:c r="C1010" s="13" t="str">
        <x:v>Этап 4 — Типы хвата и специфическая сила пальцев</x:v>
      </x:c>
      <x:c r="D1010" s="138" t="str">
        <x:v>2026-12-13</x:v>
      </x:c>
      <x:c r="E1010" s="13" t="str">
        <x:v>Воскресенье</x:v>
      </x:c>
      <x:c r="F1010" s="13" t="str">
        <x:v>Тренировка C — fun / опционально</x:v>
      </x:c>
      <x:c r="G1010" s="44" t="n">
        <x:v>0.05</x:v>
      </x:c>
      <x:c r="H1010" s="44" t="n">
        <x:v>0.052083333333333336</x:v>
      </x:c>
      <x:c r="I1010" s="32" t="n">
        <x:f>ROUND((H1010-G1010)*1440,0)</x:f>
        <x:v>3</x:v>
      </x:c>
      <x:c r="J1010" s="13" t="str">
        <x:v>Журнал A</x:v>
      </x:c>
      <x:c r="K1010" s="13" t="str">
        <x:v>Запиши только 3 вещи: что было весело, один удачный технический момент, состояние пальцев после сессии.</x:v>
      </x:c>
      <x:c r="L1010" s="13" t="str">
        <x:v>☐ Не начато</x:v>
      </x:c>
      <x:c r="M1010" s="13" t="str">
        <x:v>Опционально</x:v>
      </x:c>
      <x:c r="N1010" s="13" t="str">
        <x:v>Без нагрузки</x:v>
      </x:c>
      <x:c r="O1010" s="13" t="str"/>
      <x:c r="P1010" s="13" t="str">
        <x:v>milestone_04_grip_literacy_strength/week_14_2026-12-07/07_SUNDAY.md</x:v>
      </x:c>
      <x:c r="Q1010" s="138" t="str">
        <x:v>Markdown</x:v>
      </x:c>
      <x:c r="R1010" s="20" t="str"/>
    </x:row>
    <x:row r="1011" ht="36" customHeight="1">
      <x:c r="A1011" s="19" t="str">
        <x:v>W14-20261213-1010</x:v>
      </x:c>
      <x:c r="B1011" s="13" t="n">
        <x:v>14</x:v>
      </x:c>
      <x:c r="C1011" s="13" t="str">
        <x:v>Этап 4 — Типы хвата и специфическая сила пальцев</x:v>
      </x:c>
      <x:c r="D1011" s="138" t="str">
        <x:v>2026-12-13</x:v>
      </x:c>
      <x:c r="E1011" s="13" t="str">
        <x:v>Воскресенье</x:v>
      </x:c>
      <x:c r="F1011" s="13" t="str">
        <x:v>Восстановление B — дома</x:v>
      </x:c>
      <x:c r="G1011" s="44" t="n">
        <x:v>0</x:v>
      </x:c>
      <x:c r="H1011" s="44" t="n">
        <x:v>0.010416666666666666</x:v>
      </x:c>
      <x:c r="I1011" s="32" t="n">
        <x:f>ROUND((H1011-G1011)*1440,0)</x:f>
        <x:v>15</x:v>
      </x:c>
      <x:c r="J1011" s="13" t="str">
        <x:v>Прогулка B</x:v>
      </x:c>
      <x:c r="K1011" s="13" t="str">
        <x:v>Если не идёшь в зал: 15 минут спокойной прогулки.</x:v>
      </x:c>
      <x:c r="L1011" s="13" t="str">
        <x:v>☐ Не начато</x:v>
      </x:c>
      <x:c r="M1011" s="13" t="str">
        <x:v>Опционально</x:v>
      </x:c>
      <x:c r="N1011" s="13" t="str">
        <x:v>RPE 1–2</x:v>
      </x:c>
      <x:c r="O1011" s="13" t="str"/>
      <x:c r="P1011" s="13" t="str">
        <x:v>milestone_04_grip_literacy_strength/week_14_2026-12-07/07_SUNDAY.md</x:v>
      </x:c>
      <x:c r="Q1011" s="138" t="str">
        <x:v>Markdown</x:v>
      </x:c>
      <x:c r="R1011" s="20" t="str"/>
    </x:row>
    <x:row r="1012" ht="36" customHeight="1">
      <x:c r="A1012" s="19" t="str">
        <x:v>W14-20261213-1011</x:v>
      </x:c>
      <x:c r="B1012" s="13" t="n">
        <x:v>14</x:v>
      </x:c>
      <x:c r="C1012" s="13" t="str">
        <x:v>Этап 4 — Типы хвата и специфическая сила пальцев</x:v>
      </x:c>
      <x:c r="D1012" s="138" t="str">
        <x:v>2026-12-13</x:v>
      </x:c>
      <x:c r="E1012" s="13" t="str">
        <x:v>Воскресенье</x:v>
      </x:c>
      <x:c r="F1012" s="13" t="str">
        <x:v>Восстановление B — дома</x:v>
      </x:c>
      <x:c r="G1012" s="44" t="n">
        <x:v>0.010416666666666666</x:v>
      </x:c>
      <x:c r="H1012" s="44" t="n">
        <x:v>0.015277777777777777</x:v>
      </x:c>
      <x:c r="I1012" s="32" t="n">
        <x:f>ROUND((H1012-G1012)*1440,0)</x:f>
        <x:v>7</x:v>
      </x:c>
      <x:c r="J1012" s="13" t="str">
        <x:v>Визуализация B</x:v>
      </x:c>
      <x:c r="K1012" s="13" t="str">
        <x:v>7 минут: мысленно повтори тему недели «Sloper» и одну трассу четверга.</x:v>
      </x:c>
      <x:c r="L1012" s="13" t="str">
        <x:v>☐ Не начато</x:v>
      </x:c>
      <x:c r="M1012" s="13" t="str">
        <x:v>Опционально</x:v>
      </x:c>
      <x:c r="N1012" s="13" t="str">
        <x:v>Без нагрузки</x:v>
      </x:c>
      <x:c r="O1012" s="13" t="str"/>
      <x:c r="P1012" s="13" t="str">
        <x:v>milestone_04_grip_literacy_strength/week_14_2026-12-07/07_SUNDAY.md</x:v>
      </x:c>
      <x:c r="Q1012" s="138" t="str">
        <x:v>Markdown</x:v>
      </x:c>
      <x:c r="R1012" s="20" t="str"/>
    </x:row>
    <x:row r="1013" ht="36" customHeight="1">
      <x:c r="A1013" s="19" t="str">
        <x:v>W14-20261213-1012</x:v>
      </x:c>
      <x:c r="B1013" s="13" t="n">
        <x:v>14</x:v>
      </x:c>
      <x:c r="C1013" s="13" t="str">
        <x:v>Этап 4 — Типы хвата и специфическая сила пальцев</x:v>
      </x:c>
      <x:c r="D1013" s="138" t="str">
        <x:v>2026-12-13</x:v>
      </x:c>
      <x:c r="E1013" s="13" t="str">
        <x:v>Воскресенье</x:v>
      </x:c>
      <x:c r="F1013" s="13" t="str">
        <x:v>Восстановление B — дома</x:v>
      </x:c>
      <x:c r="G1013" s="44" t="n">
        <x:v>0.015277777777777777</x:v>
      </x:c>
      <x:c r="H1013" s="44" t="n">
        <x:v>0.017361111111111112</x:v>
      </x:c>
      <x:c r="I1013" s="32" t="n">
        <x:f>ROUND((H1013-G1013)*1440,0)</x:f>
        <x:v>3</x:v>
      </x:c>
      <x:c r="J1013" s="13" t="str">
        <x:v>Итог недели B</x:v>
      </x:c>
      <x:c r="K1013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013" s="13" t="str">
        <x:v>☐ Не начато</x:v>
      </x:c>
      <x:c r="M1013" s="13" t="str">
        <x:v>Опционально</x:v>
      </x:c>
      <x:c r="N1013" s="13" t="str">
        <x:v>Без нагрузки</x:v>
      </x:c>
      <x:c r="O1013" s="13" t="str"/>
      <x:c r="P1013" s="13" t="str">
        <x:v>milestone_04_grip_literacy_strength/week_14_2026-12-07/07_SUNDAY.md</x:v>
      </x:c>
      <x:c r="Q1013" s="138" t="str">
        <x:v>Markdown</x:v>
      </x:c>
      <x:c r="R1013" s="20" t="str"/>
    </x:row>
    <x:row r="1014" ht="36" customHeight="1">
      <x:c r="A1014" s="19" t="str">
        <x:v>W15-20261214-1013</x:v>
      </x:c>
      <x:c r="B1014" s="13" t="n">
        <x:v>15</x:v>
      </x:c>
      <x:c r="C1014" s="13" t="str">
        <x:v>Этап 4 — Типы хвата и специфическая сила пальцев</x:v>
      </x:c>
      <x:c r="D1014" s="138" t="str">
        <x:v>2026-12-14</x:v>
      </x:c>
      <x:c r="E1014" s="13" t="str">
        <x:v>Понедельник</x:v>
      </x:c>
      <x:c r="F1014" s="13" t="str">
        <x:v>Дом / теория</x:v>
      </x:c>
      <x:c r="G1014" s="44" t="n">
        <x:v>0</x:v>
      </x:c>
      <x:c r="H1014" s="44" t="n">
        <x:v>0.0020833333333333333</x:v>
      </x:c>
      <x:c r="I1014" s="32" t="n">
        <x:f>ROUND((H1014-G1014)*1440,0)</x:f>
        <x:v>3</x:v>
      </x:c>
      <x:c r="J1014" s="13" t="str">
        <x:v>Самопроверка</x:v>
      </x:c>
      <x:c r="K1014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014" s="13" t="str">
        <x:v>☐ Не начато</x:v>
      </x:c>
      <x:c r="M1014" s="13" t="str">
        <x:v>Обязательно</x:v>
      </x:c>
      <x:c r="N1014" s="13" t="str">
        <x:v>Очень легко</x:v>
      </x:c>
      <x:c r="O1014" s="13" t="str">
        <x:v>Не диагностируй травму самостоятельно; используй правила из документа безопасности.</x:v>
      </x:c>
      <x:c r="P1014" s="13" t="str">
        <x:v>milestone_04_grip_literacy_strength/week_15_2026-12-14/01_MONDAY.md</x:v>
      </x:c>
      <x:c r="Q1014" s="138" t="str">
        <x:v>Markdown</x:v>
      </x:c>
      <x:c r="R1014" s="20" t="str"/>
    </x:row>
    <x:row r="1015" ht="36" customHeight="1">
      <x:c r="A1015" s="19" t="str">
        <x:v>W15-20261214-1014</x:v>
      </x:c>
      <x:c r="B1015" s="13" t="n">
        <x:v>15</x:v>
      </x:c>
      <x:c r="C1015" s="13" t="str">
        <x:v>Этап 4 — Типы хвата и специфическая сила пальцев</x:v>
      </x:c>
      <x:c r="D1015" s="138" t="str">
        <x:v>2026-12-14</x:v>
      </x:c>
      <x:c r="E1015" s="13" t="str">
        <x:v>Понедельник</x:v>
      </x:c>
      <x:c r="F1015" s="13" t="str">
        <x:v>Дом / теория</x:v>
      </x:c>
      <x:c r="G1015" s="44" t="n">
        <x:v>0.0020833333333333333</x:v>
      </x:c>
      <x:c r="H1015" s="44" t="n">
        <x:v>0.005555555555555556</x:v>
      </x:c>
      <x:c r="I1015" s="32" t="n">
        <x:f>ROUND((H1015-G1015)*1440,0)</x:f>
        <x:v>5</x:v>
      </x:c>
      <x:c r="J1015" s="13" t="str">
        <x:v>Планирование</x:v>
      </x:c>
      <x:c r="K1015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«Большой палец создаёт противодавление, но основную экономию всё равно даёт положение ног и таза.»</x:v>
      </x:c>
      <x:c r="L1015" s="13" t="str">
        <x:v>☐ Не начато</x:v>
      </x:c>
      <x:c r="M1015" s="13" t="str">
        <x:v>Обязательно</x:v>
      </x:c>
      <x:c r="N1015" s="13" t="str">
        <x:v>Без нагрузки</x:v>
      </x:c>
      <x:c r="O1015" s="13" t="str"/>
      <x:c r="P1015" s="13" t="str">
        <x:v>milestone_04_grip_literacy_strength/week_15_2026-12-14/01_MONDAY.md</x:v>
      </x:c>
      <x:c r="Q1015" s="138" t="str">
        <x:v>Markdown</x:v>
      </x:c>
      <x:c r="R1015" s="20" t="str"/>
    </x:row>
    <x:row r="1016" ht="36" customHeight="1">
      <x:c r="A1016" s="19" t="str">
        <x:v>W15-20261214-1015</x:v>
      </x:c>
      <x:c r="B1016" s="13" t="n">
        <x:v>15</x:v>
      </x:c>
      <x:c r="C1016" s="13" t="str">
        <x:v>Этап 4 — Типы хвата и специфическая сила пальцев</x:v>
      </x:c>
      <x:c r="D1016" s="138" t="str">
        <x:v>2026-12-14</x:v>
      </x:c>
      <x:c r="E1016" s="13" t="str">
        <x:v>Понедельник</x:v>
      </x:c>
      <x:c r="F1016" s="13" t="str">
        <x:v>Дом / теория</x:v>
      </x:c>
      <x:c r="G1016" s="44" t="n">
        <x:v>0.005555555555555556</x:v>
      </x:c>
      <x:c r="H1016" s="44" t="n">
        <x:v>0.011111111111111112</x:v>
      </x:c>
      <x:c r="I1016" s="32" t="n">
        <x:f>ROUND((H1016-G1016)*1440,0)</x:f>
        <x:v>8</x:v>
      </x:c>
      <x:c r="J1016" s="13" t="str">
        <x:v>Теория</x:v>
      </x:c>
      <x:c r="K1016" s="13" t="str">
        <x:v>Посмотри/прочитай [R16: Berta Block — Mastering the Basics](https://www.bertablock.de/mastering-the-basics). Задача: Курс про центр массы, чтение трасс и движения без продавливания силой; проверить даты и уровень.</x:v>
      </x:c>
      <x:c r="L1016" s="13" t="str">
        <x:v>☐ Не начато</x:v>
      </x:c>
      <x:c r="M1016" s="13" t="str">
        <x:v>Обязательно</x:v>
      </x:c>
      <x:c r="N1016" s="13" t="str">
        <x:v>Без нагрузки</x:v>
      </x:c>
      <x:c r="O1016" s="13" t="str"/>
      <x:c r="P1016" s="13" t="str">
        <x:v>milestone_04_grip_literacy_strength/week_15_2026-12-14/01_MONDAY.md</x:v>
      </x:c>
      <x:c r="Q1016" s="138" t="str">
        <x:v>Markdown</x:v>
      </x:c>
      <x:c r="R1016" s="20" t="str"/>
    </x:row>
    <x:row r="1017" ht="36" customHeight="1">
      <x:c r="A1017" s="19" t="str">
        <x:v>W15-20261214-1016</x:v>
      </x:c>
      <x:c r="B1017" s="13" t="n">
        <x:v>15</x:v>
      </x:c>
      <x:c r="C1017" s="13" t="str">
        <x:v>Этап 4 — Типы хвата и специфическая сила пальцев</x:v>
      </x:c>
      <x:c r="D1017" s="138" t="str">
        <x:v>2026-12-14</x:v>
      </x:c>
      <x:c r="E1017" s="13" t="str">
        <x:v>Понедельник</x:v>
      </x:c>
      <x:c r="F1017" s="13" t="str">
        <x:v>Дом / теория</x:v>
      </x:c>
      <x:c r="G1017" s="44" t="n">
        <x:v>0.011111111111111112</x:v>
      </x:c>
      <x:c r="H1017" s="44" t="n">
        <x:v>0.014583333333333334</x:v>
      </x:c>
      <x:c r="I1017" s="32" t="n">
        <x:f>ROUND((H1017-G1017)*1440,0)</x:f>
        <x:v>5</x:v>
      </x:c>
      <x:c r="J1017" s="13" t="str">
        <x:v>Конспект</x:v>
      </x:c>
      <x:c r="K1017" s="13" t="str">
        <x:v>Запиши ровно 3 пункта: (1) что делать ногами/тазом; (2) что не делать руками; (3) какой признак успеха проверишь на стене для темы «Pinch и объёмы».</x:v>
      </x:c>
      <x:c r="L1017" s="13" t="str">
        <x:v>☐ Не начато</x:v>
      </x:c>
      <x:c r="M1017" s="13" t="str">
        <x:v>Обязательно</x:v>
      </x:c>
      <x:c r="N1017" s="13" t="str">
        <x:v>Без нагрузки</x:v>
      </x:c>
      <x:c r="O1017" s="13" t="str"/>
      <x:c r="P1017" s="13" t="str">
        <x:v>milestone_04_grip_literacy_strength/week_15_2026-12-14/01_MONDAY.md</x:v>
      </x:c>
      <x:c r="Q1017" s="138" t="str">
        <x:v>Markdown</x:v>
      </x:c>
      <x:c r="R1017" s="20" t="str"/>
    </x:row>
    <x:row r="1018" ht="36" customHeight="1">
      <x:c r="A1018" s="19" t="str">
        <x:v>W15-20261214-1017</x:v>
      </x:c>
      <x:c r="B1018" s="13" t="n">
        <x:v>15</x:v>
      </x:c>
      <x:c r="C1018" s="13" t="str">
        <x:v>Этап 4 — Типы хвата и специфическая сила пальцев</x:v>
      </x:c>
      <x:c r="D1018" s="138" t="str">
        <x:v>2026-12-14</x:v>
      </x:c>
      <x:c r="E1018" s="13" t="str">
        <x:v>Понедельник</x:v>
      </x:c>
      <x:c r="F1018" s="13" t="str">
        <x:v>Дом / теория</x:v>
      </x:c>
      <x:c r="G1018" s="44" t="n">
        <x:v>0.014583333333333334</x:v>
      </x:c>
      <x:c r="H1018" s="44" t="n">
        <x:v>0.022916666666666665</x:v>
      </x:c>
      <x:c r="I1018" s="32" t="n">
        <x:f>ROUND((H1018-G1018)*1440,0)</x:f>
        <x:v>12</x:v>
      </x:c>
      <x:c r="J1018" s="13" t="str">
        <x:v>Домашняя мобильность</x:v>
      </x:c>
      <x:c r="K1018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018" s="13" t="str">
        <x:v>☐ Не начато</x:v>
      </x:c>
      <x:c r="M1018" s="13" t="str">
        <x:v>Обязательно</x:v>
      </x:c>
      <x:c r="N1018" s="13" t="str">
        <x:v>RPE 2–3</x:v>
      </x:c>
      <x:c r="O1018" s="13" t="str">
        <x:v>Никаких скручиваний через боль. Плечом не отталкивайся от стены; касание только для равновесия.</x:v>
      </x:c>
      <x:c r="P1018" s="13" t="str">
        <x:v>milestone_04_grip_literacy_strength/week_15_2026-12-14/01_MONDAY.md</x:v>
      </x:c>
      <x:c r="Q1018" s="138" t="str">
        <x:v>Markdown</x:v>
      </x:c>
      <x:c r="R1018" s="20" t="str"/>
    </x:row>
    <x:row r="1019" ht="36" customHeight="1">
      <x:c r="A1019" s="19" t="str">
        <x:v>W15-20261214-1018</x:v>
      </x:c>
      <x:c r="B1019" s="13" t="n">
        <x:v>15</x:v>
      </x:c>
      <x:c r="C1019" s="13" t="str">
        <x:v>Этап 4 — Типы хвата и специфическая сила пальцев</x:v>
      </x:c>
      <x:c r="D1019" s="138" t="str">
        <x:v>2026-12-14</x:v>
      </x:c>
      <x:c r="E1019" s="13" t="str">
        <x:v>Понедельник</x:v>
      </x:c>
      <x:c r="F1019" s="13" t="str">
        <x:v>Дом / теория</x:v>
      </x:c>
      <x:c r="G1019" s="44" t="n">
        <x:v>0.022916666666666665</x:v>
      </x:c>
      <x:c r="H1019" s="44" t="n">
        <x:v>0.03680555555555556</x:v>
      </x:c>
      <x:c r="I1019" s="32" t="n">
        <x:f>ROUND((H1019-G1019)*1440,0)</x:f>
        <x:v>20</x:v>
      </x:c>
      <x:c r="J1019" s="13" t="str">
        <x:v>Физиотерапия</x:v>
      </x:c>
      <x:c r="K1019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019" s="13" t="str">
        <x:v>☐ Не начато</x:v>
      </x:c>
      <x:c r="M1019" s="13" t="str">
        <x:v>По назначению</x:v>
      </x:c>
      <x:c r="N1019" s="13" t="str">
        <x:v>По назначению физиотерапевта</x:v>
      </x:c>
      <x:c r="O1019" s="13" t="str">
        <x:v>Любые указания физиотерапевта имеют приоритет над этим планом.</x:v>
      </x:c>
      <x:c r="P1019" s="13" t="str">
        <x:v>milestone_04_grip_literacy_strength/week_15_2026-12-14/01_MONDAY.md</x:v>
      </x:c>
      <x:c r="Q1019" s="138" t="str">
        <x:v>Markdown</x:v>
      </x:c>
      <x:c r="R1019" s="20" t="str"/>
    </x:row>
    <x:row r="1020" ht="36" customHeight="1">
      <x:c r="A1020" s="19" t="str">
        <x:v>W15-20261214-1019</x:v>
      </x:c>
      <x:c r="B1020" s="13" t="n">
        <x:v>15</x:v>
      </x:c>
      <x:c r="C1020" s="13" t="str">
        <x:v>Этап 4 — Типы хвата и специфическая сила пальцев</x:v>
      </x:c>
      <x:c r="D1020" s="138" t="str">
        <x:v>2026-12-14</x:v>
      </x:c>
      <x:c r="E1020" s="13" t="str">
        <x:v>Понедельник</x:v>
      </x:c>
      <x:c r="F1020" s="13" t="str">
        <x:v>Дом / теория</x:v>
      </x:c>
      <x:c r="G1020" s="44" t="n">
        <x:v>0.03680555555555556</x:v>
      </x:c>
      <x:c r="H1020" s="44" t="n">
        <x:v>0.04027777777777778</x:v>
      </x:c>
      <x:c r="I1020" s="32" t="n">
        <x:f>ROUND((H1020-G1020)*1440,0)</x:f>
        <x:v>5</x:v>
      </x:c>
      <x:c r="J1020" s="13" t="str">
        <x:v>Покупка / организация</x:v>
      </x:c>
      <x:c r="K1020" s="13" t="str">
        <x:v>Проверить, не пора ли аккуратно подпилить выступающие мозоли после душа; не делать это перед тренировкой.</x:v>
      </x:c>
      <x:c r="L1020" s="13" t="str">
        <x:v>☐ Не начато</x:v>
      </x:c>
      <x:c r="M1020" s="13" t="str">
        <x:v>Опционально</x:v>
      </x:c>
      <x:c r="N1020" s="13" t="str">
        <x:v>Без нагрузки</x:v>
      </x:c>
      <x:c r="O1020" s="13" t="str"/>
      <x:c r="P1020" s="13" t="str">
        <x:v>milestone_04_grip_literacy_strength/week_15_2026-12-14/01_MONDAY.md</x:v>
      </x:c>
      <x:c r="Q1020" s="138" t="str">
        <x:v>Markdown</x:v>
      </x:c>
      <x:c r="R1020" s="20" t="str"/>
    </x:row>
    <x:row r="1021" ht="36" customHeight="1">
      <x:c r="A1021" s="19" t="str">
        <x:v>W15-20261214-1020</x:v>
      </x:c>
      <x:c r="B1021" s="13" t="n">
        <x:v>15</x:v>
      </x:c>
      <x:c r="C1021" s="13" t="str">
        <x:v>Этап 4 — Типы хвата и специфическая сила пальцев</x:v>
      </x:c>
      <x:c r="D1021" s="138" t="str">
        <x:v>2026-12-14</x:v>
      </x:c>
      <x:c r="E1021" s="13" t="str">
        <x:v>Понедельник</x:v>
      </x:c>
      <x:c r="F1021" s="13" t="str">
        <x:v>Дом / теория</x:v>
      </x:c>
      <x:c r="G1021" s="44" t="n">
        <x:v>0.04027777777777778</x:v>
      </x:c>
      <x:c r="H1021" s="44" t="n">
        <x:v>0.04236111111111111</x:v>
      </x:c>
      <x:c r="I1021" s="32" t="n">
        <x:f>ROUND((H1021-G1021)*1440,0)</x:f>
        <x:v>3</x:v>
      </x:c>
      <x:c r="J1021" s="13" t="str">
        <x:v>Подготовка</x:v>
      </x:c>
      <x:c r="K1021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021" s="13" t="str">
        <x:v>☐ Не начато</x:v>
      </x:c>
      <x:c r="M1021" s="13" t="str">
        <x:v>Обязательно</x:v>
      </x:c>
      <x:c r="N1021" s="13" t="str">
        <x:v>Без нагрузки</x:v>
      </x:c>
      <x:c r="O1021" s="13" t="str">
        <x:v>Кольца и турник — только в рамках программы физиотерапевта.</x:v>
      </x:c>
      <x:c r="P1021" s="13" t="str">
        <x:v>milestone_04_grip_literacy_strength/week_15_2026-12-14/01_MONDAY.md</x:v>
      </x:c>
      <x:c r="Q1021" s="138" t="str">
        <x:v>Markdown</x:v>
      </x:c>
      <x:c r="R1021" s="20" t="str"/>
    </x:row>
    <x:row r="1022" ht="36" customHeight="1">
      <x:c r="A1022" s="19" t="str">
        <x:v>W15-20261215-1021</x:v>
      </x:c>
      <x:c r="B1022" s="13" t="n">
        <x:v>15</x:v>
      </x:c>
      <x:c r="C1022" s="13" t="str">
        <x:v>Этап 4 — Типы хвата и специфическая сила пальцев</x:v>
      </x:c>
      <x:c r="D1022" s="138" t="str">
        <x:v>2026-12-15</x:v>
      </x:c>
      <x:c r="E1022" s="13" t="str">
        <x:v>Вторник</x:v>
      </x:c>
      <x:c r="F1022" s="13" t="str">
        <x:v>Тренировка A — техника/объём</x:v>
      </x:c>
      <x:c r="G1022" s="44" t="n">
        <x:v>0</x:v>
      </x:c>
      <x:c r="H1022" s="44" t="n">
        <x:v>0.0020833333333333333</x:v>
      </x:c>
      <x:c r="I1022" s="32" t="n">
        <x:f>ROUND((H1022-G1022)*1440,0)</x:f>
        <x:v>3</x:v>
      </x:c>
      <x:c r="J1022" s="13" t="str">
        <x:v>Самопроверка</x:v>
      </x:c>
      <x:c r="K102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022" s="13" t="str">
        <x:v>☐ Не начато</x:v>
      </x:c>
      <x:c r="M1022" s="13" t="str">
        <x:v>Обязательно</x:v>
      </x:c>
      <x:c r="N1022" s="13" t="str">
        <x:v>Без нагрузки</x:v>
      </x:c>
      <x:c r="O1022" s="13" t="str">
        <x:v>Красный флаг = не начинать пальцевую нагрузку.</x:v>
      </x:c>
      <x:c r="P1022" s="13" t="str">
        <x:v>milestone_04_grip_literacy_strength/week_15_2026-12-14/02_TUESDAY.md</x:v>
      </x:c>
      <x:c r="Q1022" s="138" t="str">
        <x:v>Markdown</x:v>
      </x:c>
      <x:c r="R1022" s="20" t="str"/>
    </x:row>
    <x:row r="1023" ht="36" customHeight="1">
      <x:c r="A1023" s="19" t="str">
        <x:v>W15-20261215-1022</x:v>
      </x:c>
      <x:c r="B1023" s="13" t="n">
        <x:v>15</x:v>
      </x:c>
      <x:c r="C1023" s="13" t="str">
        <x:v>Этап 4 — Типы хвата и специфическая сила пальцев</x:v>
      </x:c>
      <x:c r="D1023" s="138" t="str">
        <x:v>2026-12-15</x:v>
      </x:c>
      <x:c r="E1023" s="13" t="str">
        <x:v>Вторник</x:v>
      </x:c>
      <x:c r="F1023" s="13" t="str">
        <x:v>Тренировка A — техника/объём</x:v>
      </x:c>
      <x:c r="G1023" s="44" t="n">
        <x:v>0.0020833333333333333</x:v>
      </x:c>
      <x:c r="H1023" s="44" t="n">
        <x:v>0.005555555555555556</x:v>
      </x:c>
      <x:c r="I1023" s="32" t="n">
        <x:f>ROUND((H1023-G1023)*1440,0)</x:f>
        <x:v>5</x:v>
      </x:c>
      <x:c r="J1023" s="13" t="str">
        <x:v>Разминка</x:v>
      </x:c>
      <x:c r="K1023" s="13" t="str">
        <x:v>Подними температуру: быстрая ходьба, лестница или лёгкий велотренажёр 5 минут.</x:v>
      </x:c>
      <x:c r="L1023" s="13" t="str">
        <x:v>☐ Не начато</x:v>
      </x:c>
      <x:c r="M1023" s="13" t="str">
        <x:v>Обязательно</x:v>
      </x:c>
      <x:c r="N1023" s="13" t="str">
        <x:v>RPE 2–3</x:v>
      </x:c>
      <x:c r="O1023" s="13" t="str"/>
      <x:c r="P1023" s="13" t="str">
        <x:v>milestone_04_grip_literacy_strength/week_15_2026-12-14/02_TUESDAY.md</x:v>
      </x:c>
      <x:c r="Q1023" s="138" t="str">
        <x:v>Markdown</x:v>
      </x:c>
      <x:c r="R1023" s="20" t="str"/>
    </x:row>
    <x:row r="1024" ht="36" customHeight="1">
      <x:c r="A1024" s="19" t="str">
        <x:v>W15-20261215-1023</x:v>
      </x:c>
      <x:c r="B1024" s="13" t="n">
        <x:v>15</x:v>
      </x:c>
      <x:c r="C1024" s="13" t="str">
        <x:v>Этап 4 — Типы хвата и специфическая сила пальцев</x:v>
      </x:c>
      <x:c r="D1024" s="138" t="str">
        <x:v>2026-12-15</x:v>
      </x:c>
      <x:c r="E1024" s="13" t="str">
        <x:v>Вторник</x:v>
      </x:c>
      <x:c r="F1024" s="13" t="str">
        <x:v>Тренировка A — техника/объём</x:v>
      </x:c>
      <x:c r="G1024" s="44" t="n">
        <x:v>0.005555555555555556</x:v>
      </x:c>
      <x:c r="H1024" s="44" t="n">
        <x:v>0.009027777777777777</x:v>
      </x:c>
      <x:c r="I1024" s="32" t="n">
        <x:f>ROUND((H1024-G1024)*1440,0)</x:f>
        <x:v>5</x:v>
      </x:c>
      <x:c r="J1024" s="13" t="str">
        <x:v>Разминка</x:v>
      </x:c>
      <x:c r="K102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024" s="13" t="str">
        <x:v>☐ Не начато</x:v>
      </x:c>
      <x:c r="M1024" s="13" t="str">
        <x:v>Обязательно</x:v>
      </x:c>
      <x:c r="N1024" s="13" t="str">
        <x:v>Очень легко</x:v>
      </x:c>
      <x:c r="O1024" s="13" t="str">
        <x:v>Не делай press/отжимания и движения, которые раздражают плечо.</x:v>
      </x:c>
      <x:c r="P1024" s="13" t="str">
        <x:v>milestone_04_grip_literacy_strength/week_15_2026-12-14/02_TUESDAY.md</x:v>
      </x:c>
      <x:c r="Q1024" s="138" t="str">
        <x:v>Markdown</x:v>
      </x:c>
      <x:c r="R1024" s="20" t="str"/>
    </x:row>
    <x:row r="1025" ht="36" customHeight="1">
      <x:c r="A1025" s="19" t="str">
        <x:v>W15-20261215-1024</x:v>
      </x:c>
      <x:c r="B1025" s="13" t="n">
        <x:v>15</x:v>
      </x:c>
      <x:c r="C1025" s="13" t="str">
        <x:v>Этап 4 — Типы хвата и специфическая сила пальцев</x:v>
      </x:c>
      <x:c r="D1025" s="138" t="str">
        <x:v>2026-12-15</x:v>
      </x:c>
      <x:c r="E1025" s="13" t="str">
        <x:v>Вторник</x:v>
      </x:c>
      <x:c r="F1025" s="13" t="str">
        <x:v>Тренировка A — техника/объём</x:v>
      </x:c>
      <x:c r="G1025" s="44" t="n">
        <x:v>0.009027777777777777</x:v>
      </x:c>
      <x:c r="H1025" s="44" t="n">
        <x:v>0.011805555555555555</x:v>
      </x:c>
      <x:c r="I1025" s="32" t="n">
        <x:f>ROUND((H1025-G1025)*1440,0)</x:f>
        <x:v>4</x:v>
      </x:c>
      <x:c r="J1025" s="13" t="str">
        <x:v>Разминка пальцев</x:v>
      </x:c>
      <x:c r="K102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025" s="13" t="str">
        <x:v>☐ Не начато</x:v>
      </x:c>
      <x:c r="M1025" s="13" t="str">
        <x:v>Обязательно</x:v>
      </x:c>
      <x:c r="N1025" s="13" t="str">
        <x:v>Очень легко</x:v>
      </x:c>
      <x:c r="O1025" s="13" t="str"/>
      <x:c r="P1025" s="13" t="str">
        <x:v>milestone_04_grip_literacy_strength/week_15_2026-12-14/02_TUESDAY.md</x:v>
      </x:c>
      <x:c r="Q1025" s="138" t="str">
        <x:v>Markdown</x:v>
      </x:c>
      <x:c r="R1025" s="20" t="str"/>
    </x:row>
    <x:row r="1026" ht="36" customHeight="1">
      <x:c r="A1026" s="19" t="str">
        <x:v>W15-20261215-1025</x:v>
      </x:c>
      <x:c r="B1026" s="13" t="n">
        <x:v>15</x:v>
      </x:c>
      <x:c r="C1026" s="13" t="str">
        <x:v>Этап 4 — Типы хвата и специфическая сила пальцев</x:v>
      </x:c>
      <x:c r="D1026" s="138" t="str">
        <x:v>2026-12-15</x:v>
      </x:c>
      <x:c r="E1026" s="13" t="str">
        <x:v>Вторник</x:v>
      </x:c>
      <x:c r="F1026" s="13" t="str">
        <x:v>Тренировка A — техника/объём</x:v>
      </x:c>
      <x:c r="G1026" s="44" t="n">
        <x:v>0.011805555555555555</x:v>
      </x:c>
      <x:c r="H1026" s="44" t="n">
        <x:v>0.014583333333333334</x:v>
      </x:c>
      <x:c r="I1026" s="32" t="n">
        <x:f>ROUND((H1026-G1026)*1440,0)</x:f>
        <x:v>4</x:v>
      </x:c>
      <x:c r="J1026" s="13" t="str">
        <x:v>Разминочное лазание</x:v>
      </x:c>
      <x:c r="K1026" s="13" t="str">
        <x:v>Пройди 2 очень лёгкие трассы уровня 1–2; двигайся медленно, спускайся по зацепам.</x:v>
      </x:c>
      <x:c r="L1026" s="13" t="str">
        <x:v>☐ Не начато</x:v>
      </x:c>
      <x:c r="M1026" s="13" t="str">
        <x:v>Обязательно</x:v>
      </x:c>
      <x:c r="N1026" s="13" t="str">
        <x:v>RPE 2–3</x:v>
      </x:c>
      <x:c r="O1026" s="13" t="str">
        <x:v>Финиш с обязательным болезненным mantle/press пропусти.</x:v>
      </x:c>
      <x:c r="P1026" s="13" t="str">
        <x:v>milestone_04_grip_literacy_strength/week_15_2026-12-14/02_TUESDAY.md</x:v>
      </x:c>
      <x:c r="Q1026" s="138" t="str">
        <x:v>Markdown</x:v>
      </x:c>
      <x:c r="R1026" s="20" t="str"/>
    </x:row>
    <x:row r="1027" ht="36" customHeight="1">
      <x:c r="A1027" s="19" t="str">
        <x:v>W15-20261215-1026</x:v>
      </x:c>
      <x:c r="B1027" s="13" t="n">
        <x:v>15</x:v>
      </x:c>
      <x:c r="C1027" s="13" t="str">
        <x:v>Этап 4 — Типы хвата и специфическая сила пальцев</x:v>
      </x:c>
      <x:c r="D1027" s="138" t="str">
        <x:v>2026-12-15</x:v>
      </x:c>
      <x:c r="E1027" s="13" t="str">
        <x:v>Вторник</x:v>
      </x:c>
      <x:c r="F1027" s="13" t="str">
        <x:v>Тренировка A — техника/объём</x:v>
      </x:c>
      <x:c r="G1027" s="44" t="n">
        <x:v>0.014583333333333334</x:v>
      </x:c>
      <x:c r="H1027" s="44" t="n">
        <x:v>0.017361111111111112</x:v>
      </x:c>
      <x:c r="I1027" s="32" t="n">
        <x:f>ROUND((H1027-G1027)*1440,0)</x:f>
        <x:v>4</x:v>
      </x:c>
      <x:c r="J1027" s="13" t="str">
        <x:v>Разминочное лазание</x:v>
      </x:c>
      <x:c r="K1027" s="13" t="str">
        <x:v>Пройди 2 трассы уровня 2–3, затем сделай 2–3 движения на комфортной четвёрке. Между ними 45–60 секунд.</x:v>
      </x:c>
      <x:c r="L1027" s="13" t="str">
        <x:v>☐ Не начато</x:v>
      </x:c>
      <x:c r="M1027" s="13" t="str">
        <x:v>Обязательно</x:v>
      </x:c>
      <x:c r="N1027" s="13" t="str">
        <x:v>RPE 3–4</x:v>
      </x:c>
      <x:c r="O1027" s="13" t="str">
        <x:v>Разминка не должна утомить пальцы.</x:v>
      </x:c>
      <x:c r="P1027" s="13" t="str">
        <x:v>milestone_04_grip_literacy_strength/week_15_2026-12-14/02_TUESDAY.md</x:v>
      </x:c>
      <x:c r="Q1027" s="138" t="str">
        <x:v>Markdown</x:v>
      </x:c>
      <x:c r="R1027" s="20" t="str"/>
    </x:row>
    <x:row r="1028" ht="36" customHeight="1">
      <x:c r="A1028" s="19" t="str">
        <x:v>W15-20261215-1027</x:v>
      </x:c>
      <x:c r="B1028" s="13" t="n">
        <x:v>15</x:v>
      </x:c>
      <x:c r="C1028" s="13" t="str">
        <x:v>Этап 4 — Типы хвата и специфическая сила пальцев</x:v>
      </x:c>
      <x:c r="D1028" s="138" t="str">
        <x:v>2026-12-15</x:v>
      </x:c>
      <x:c r="E1028" s="13" t="str">
        <x:v>Вторник</x:v>
      </x:c>
      <x:c r="F1028" s="13" t="str">
        <x:v>Тренировка A — техника/объём</x:v>
      </x:c>
      <x:c r="G1028" s="44" t="n">
        <x:v>0.017361111111111112</x:v>
      </x:c>
      <x:c r="H1028" s="44" t="n">
        <x:v>0.02013888888888889</x:v>
      </x:c>
      <x:c r="I1028" s="32" t="n">
        <x:f>ROUND((H1028-G1028)*1440,0)</x:f>
        <x:v>4</x:v>
      </x:c>
      <x:c r="J1028" s="13" t="str">
        <x:v>Выбор трасс</x:v>
      </x:c>
      <x:c r="K1028" s="13" t="str">
        <x:v>Найди трассы для упражнения: 3 лёгкие трассы с крупными pinch/объёмами; искать направление, где хват держит при минимальном сжатии.</x:v>
      </x:c>
      <x:c r="L1028" s="13" t="str">
        <x:v>☐ Не начато</x:v>
      </x:c>
      <x:c r="M1028" s="13" t="str">
        <x:v>Обязательно</x:v>
      </x:c>
      <x:c r="N1028" s="13" t="str">
        <x:v>Без нагрузки</x:v>
      </x:c>
      <x:c r="O1028" s="13" t="str">
        <x:v>Плечо: широкая компрессия, gaston и силовой press — зона особой осторожности; при боли сразу убрать движение.</x:v>
      </x:c>
      <x:c r="P1028" s="13" t="str">
        <x:v>milestone_04_grip_literacy_strength/week_15_2026-12-14/02_TUESDAY.md</x:v>
      </x:c>
      <x:c r="Q1028" s="138" t="str">
        <x:v>Markdown</x:v>
      </x:c>
      <x:c r="R1028" s="20" t="str"/>
    </x:row>
    <x:row r="1029" ht="36" customHeight="1">
      <x:c r="A1029" s="19" t="str">
        <x:v>W15-20261215-1028</x:v>
      </x:c>
      <x:c r="B1029" s="13" t="n">
        <x:v>15</x:v>
      </x:c>
      <x:c r="C1029" s="13" t="str">
        <x:v>Этап 4 — Типы хвата и специфическая сила пальцев</x:v>
      </x:c>
      <x:c r="D1029" s="138" t="str">
        <x:v>2026-12-15</x:v>
      </x:c>
      <x:c r="E1029" s="13" t="str">
        <x:v>Вторник</x:v>
      </x:c>
      <x:c r="F1029" s="13" t="str">
        <x:v>Тренировка A — техника/объём</x:v>
      </x:c>
      <x:c r="G1029" s="44" t="n">
        <x:v>0.02013888888888889</x:v>
      </x:c>
      <x:c r="H1029" s="44" t="n">
        <x:v>0.03194444444444444</x:v>
      </x:c>
      <x:c r="I1029" s="32" t="n">
        <x:f>ROUND((H1029-G1029)*1440,0)</x:f>
        <x:v>17</x:v>
      </x:c>
      <x:c r="J1029" s="13" t="str">
        <x:v>Технический блок</x:v>
      </x:c>
      <x:c r="K1029" s="13" t="str">
        <x:v>Отработай «Pinch и объёмы». Шаги: Определи рабочее направление зацепа. Противопоставь большой палец остальным, но не сжимай максимально. Подведи ноги и таз так, чтобы рука лишь удерживала направление.</x:v>
      </x:c>
      <x:c r="L1029" s="13" t="str">
        <x:v>☐ Не начато</x:v>
      </x:c>
      <x:c r="M1029" s="13" t="str">
        <x:v>Обязательно</x:v>
      </x:c>
      <x:c r="N1029" s="13" t="str">
        <x:v>RPE 3–5</x:v>
      </x:c>
      <x:c r="O1029" s="13" t="str">
        <x:v>Широкий gaston, силовой press и сильная компрессия — пропустить при малейшей боли плеча.</x:v>
      </x:c>
      <x:c r="P1029" s="13" t="str">
        <x:v>milestone_04_grip_literacy_strength/week_15_2026-12-14/02_TUESDAY.md</x:v>
      </x:c>
      <x:c r="Q1029" s="138" t="str">
        <x:v>Markdown</x:v>
      </x:c>
      <x:c r="R1029" s="20" t="str"/>
    </x:row>
    <x:row r="1030" ht="36" customHeight="1">
      <x:c r="A1030" s="19" t="str">
        <x:v>W15-20261215-1029</x:v>
      </x:c>
      <x:c r="B1030" s="13" t="n">
        <x:v>15</x:v>
      </x:c>
      <x:c r="C1030" s="13" t="str">
        <x:v>Этап 4 — Типы хвата и специфическая сила пальцев</x:v>
      </x:c>
      <x:c r="D1030" s="138" t="str">
        <x:v>2026-12-15</x:v>
      </x:c>
      <x:c r="E1030" s="13" t="str">
        <x:v>Вторник</x:v>
      </x:c>
      <x:c r="F1030" s="13" t="str">
        <x:v>Тренировка A — техника/объём</x:v>
      </x:c>
      <x:c r="G1030" s="44" t="n">
        <x:v>0.03194444444444444</x:v>
      </x:c>
      <x:c r="H1030" s="44" t="n">
        <x:v>0.035416666666666666</x:v>
      </x:c>
      <x:c r="I1030" s="32" t="n">
        <x:f>ROUND((H1030-G1030)*1440,0)</x:f>
        <x:v>5</x:v>
      </x:c>
      <x:c r="J1030" s="13" t="str">
        <x:v>Обратная связь</x:v>
      </x:c>
      <x:c r="K1030" s="13" t="str">
        <x:v>Повтори лучшую лёгкую трассу и проверь критерий успеха: Хват остаётся умеренным, а ноги не отрываются во время движения.</x:v>
      </x:c>
      <x:c r="L1030" s="13" t="str">
        <x:v>☐ Не начато</x:v>
      </x:c>
      <x:c r="M1030" s="13" t="str">
        <x:v>Обязательно</x:v>
      </x:c>
      <x:c r="N1030" s="13" t="str">
        <x:v>RPE 4–5</x:v>
      </x:c>
      <x:c r="O1030" s="13" t="str"/>
      <x:c r="P1030" s="13" t="str">
        <x:v>milestone_04_grip_literacy_strength/week_15_2026-12-14/02_TUESDAY.md</x:v>
      </x:c>
      <x:c r="Q1030" s="138" t="str">
        <x:v>Markdown</x:v>
      </x:c>
      <x:c r="R1030" s="20" t="str"/>
    </x:row>
    <x:row r="1031" ht="36" customHeight="1">
      <x:c r="A1031" s="19" t="str">
        <x:v>W15-20261215-1030</x:v>
      </x:c>
      <x:c r="B1031" s="13" t="n">
        <x:v>15</x:v>
      </x:c>
      <x:c r="C1031" s="13" t="str">
        <x:v>Этап 4 — Типы хвата и специфическая сила пальцев</x:v>
      </x:c>
      <x:c r="D1031" s="138" t="str">
        <x:v>2026-12-15</x:v>
      </x:c>
      <x:c r="E1031" s="13" t="str">
        <x:v>Вторник</x:v>
      </x:c>
      <x:c r="F1031" s="13" t="str">
        <x:v>Тренировка A — техника/объём</x:v>
      </x:c>
      <x:c r="G1031" s="44" t="n">
        <x:v>0.035416666666666666</x:v>
      </x:c>
      <x:c r="H1031" s="44" t="n">
        <x:v>0.04583333333333333</x:v>
      </x:c>
      <x:c r="I1031" s="32" t="n">
        <x:f>ROUND((H1031-G1031)*1440,0)</x:f>
        <x:v>15</x:v>
      </x:c>
      <x:c r="J1031" s="13" t="str">
        <x:v>Качественный объём</x:v>
      </x:c>
      <x:c r="K1031" s="13" t="str">
        <x:v>Попробуй 2–3 четвёрки, максимум 2 попытки на каждую, отдых 2:00. На неудаче назови техническую причину.</x:v>
      </x:c>
      <x:c r="L1031" s="13" t="str">
        <x:v>☐ Не начато</x:v>
      </x:c>
      <x:c r="M1031" s="13" t="str">
        <x:v>Обязательно</x:v>
      </x:c>
      <x:c r="N1031" s="13" t="str">
        <x:v>RPE 6–7</x:v>
      </x:c>
      <x:c r="O1031" s="13" t="str">
        <x:v>Не выбирать подряд три трассы на одинаково маленьких кромках.</x:v>
      </x:c>
      <x:c r="P1031" s="13" t="str">
        <x:v>milestone_04_grip_literacy_strength/week_15_2026-12-14/02_TUESDAY.md</x:v>
      </x:c>
      <x:c r="Q1031" s="138" t="str">
        <x:v>Markdown</x:v>
      </x:c>
      <x:c r="R1031" s="20" t="str"/>
    </x:row>
    <x:row r="1032" ht="36" customHeight="1">
      <x:c r="A1032" s="19" t="str">
        <x:v>W15-20261215-1031</x:v>
      </x:c>
      <x:c r="B1032" s="13" t="n">
        <x:v>15</x:v>
      </x:c>
      <x:c r="C1032" s="13" t="str">
        <x:v>Этап 4 — Типы хвата и специфическая сила пальцев</x:v>
      </x:c>
      <x:c r="D1032" s="138" t="str">
        <x:v>2026-12-15</x:v>
      </x:c>
      <x:c r="E1032" s="13" t="str">
        <x:v>Вторник</x:v>
      </x:c>
      <x:c r="F1032" s="13" t="str">
        <x:v>Тренировка A — техника/объём</x:v>
      </x:c>
      <x:c r="G1032" s="44" t="n">
        <x:v>0.04583333333333333</x:v>
      </x:c>
      <x:c r="H1032" s="44" t="n">
        <x:v>0.052083333333333336</x:v>
      </x:c>
      <x:c r="I1032" s="32" t="n">
        <x:f>ROUND((H1032-G1032)*1440,0)</x:f>
        <x:v>9</x:v>
      </x:c>
      <x:c r="J1032" s="13" t="str">
        <x:v>Рабочая пятёрка</x:v>
      </x:c>
      <x:c r="K1032" s="13" t="str">
        <x:v>Одна пятёрка, максимум 2 попытки, отдых 3:00. Цель — применить тему недели, а не обязательно закрыть.</x:v>
      </x:c>
      <x:c r="L1032" s="13" t="str">
        <x:v>☐ Не начато</x:v>
      </x:c>
      <x:c r="M1032" s="13" t="str">
        <x:v>Обязательно</x:v>
      </x:c>
      <x:c r="N1032" s="13" t="str">
        <x:v>RPE 7–8</x:v>
      </x:c>
      <x:c r="O1032" s="13" t="str">
        <x:v>Плечо: широкая компрессия, gaston и силовой press — зона особой осторожности; при боли сразу убрать движение.</x:v>
      </x:c>
      <x:c r="P1032" s="13" t="str">
        <x:v>milestone_04_grip_literacy_strength/week_15_2026-12-14/02_TUESDAY.md</x:v>
      </x:c>
      <x:c r="Q1032" s="138" t="str">
        <x:v>Markdown</x:v>
      </x:c>
      <x:c r="R1032" s="20" t="str"/>
    </x:row>
    <x:row r="1033" ht="36" customHeight="1">
      <x:c r="A1033" s="19" t="str">
        <x:v>W15-20261215-1032</x:v>
      </x:c>
      <x:c r="B1033" s="13" t="n">
        <x:v>15</x:v>
      </x:c>
      <x:c r="C1033" s="13" t="str">
        <x:v>Этап 4 — Типы хвата и специфическая сила пальцев</x:v>
      </x:c>
      <x:c r="D1033" s="138" t="str">
        <x:v>2026-12-15</x:v>
      </x:c>
      <x:c r="E1033" s="13" t="str">
        <x:v>Вторник</x:v>
      </x:c>
      <x:c r="F1033" s="13" t="str">
        <x:v>Тренировка A — техника/объём</x:v>
      </x:c>
      <x:c r="G1033" s="44" t="n">
        <x:v>0.052083333333333336</x:v>
      </x:c>
      <x:c r="H1033" s="44" t="n">
        <x:v>0.058333333333333334</x:v>
      </x:c>
      <x:c r="I1033" s="32" t="n">
        <x:f>ROUND((H1033-G1033)*1440,0)</x:f>
        <x:v>9</x:v>
      </x:c>
      <x:c r="J1033" s="13" t="str">
        <x:v>Лёгкая выносливость</x:v>
      </x:c>
      <x:c r="K1033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033" s="13" t="str">
        <x:v>☐ Не начато</x:v>
      </x:c>
      <x:c r="M1033" s="13" t="str">
        <x:v>Обязательно</x:v>
      </x:c>
      <x:c r="N1033" s="13" t="str">
        <x:v>Памп максимум 4/10</x:v>
      </x:c>
      <x:c r="O1033" s="13" t="str">
        <x:v>Остановиться при неточной постановке ног или разжимании пальцев.</x:v>
      </x:c>
      <x:c r="P1033" s="13" t="str">
        <x:v>milestone_04_grip_literacy_strength/week_15_2026-12-14/02_TUESDAY.md</x:v>
      </x:c>
      <x:c r="Q1033" s="138" t="str">
        <x:v>Markdown</x:v>
      </x:c>
      <x:c r="R1033" s="20" t="str"/>
    </x:row>
    <x:row r="1034" ht="36" customHeight="1">
      <x:c r="A1034" s="19" t="str">
        <x:v>W15-20261215-1033</x:v>
      </x:c>
      <x:c r="B1034" s="13" t="n">
        <x:v>15</x:v>
      </x:c>
      <x:c r="C1034" s="13" t="str">
        <x:v>Этап 4 — Типы хвата и специфическая сила пальцев</x:v>
      </x:c>
      <x:c r="D1034" s="138" t="str">
        <x:v>2026-12-15</x:v>
      </x:c>
      <x:c r="E1034" s="13" t="str">
        <x:v>Вторник</x:v>
      </x:c>
      <x:c r="F1034" s="13" t="str">
        <x:v>Тренировка A — техника/объём</x:v>
      </x:c>
      <x:c r="G1034" s="44" t="n">
        <x:v>0.058333333333333334</x:v>
      </x:c>
      <x:c r="H1034" s="44" t="n">
        <x:v>0.06041666666666667</x:v>
      </x:c>
      <x:c r="I1034" s="32" t="n">
        <x:f>ROUND((H1034-G1034)*1440,0)</x:f>
        <x:v>3</x:v>
      </x:c>
      <x:c r="J1034" s="13" t="str">
        <x:v>Завершение</x:v>
      </x:c>
      <x:c r="K1034" s="13" t="str">
        <x:v>Очень лёгкий спуск/ходьба и спокойное встряхивание кистей.</x:v>
      </x:c>
      <x:c r="L1034" s="13" t="str">
        <x:v>☐ Не начато</x:v>
      </x:c>
      <x:c r="M1034" s="13" t="str">
        <x:v>Обязательно</x:v>
      </x:c>
      <x:c r="N1034" s="13" t="str">
        <x:v>RPE 1–2</x:v>
      </x:c>
      <x:c r="O1034" s="13" t="str"/>
      <x:c r="P1034" s="13" t="str">
        <x:v>milestone_04_grip_literacy_strength/week_15_2026-12-14/02_TUESDAY.md</x:v>
      </x:c>
      <x:c r="Q1034" s="138" t="str">
        <x:v>Markdown</x:v>
      </x:c>
      <x:c r="R1034" s="20" t="str"/>
    </x:row>
    <x:row r="1035" ht="36" customHeight="1">
      <x:c r="A1035" s="19" t="str">
        <x:v>W15-20261215-1034</x:v>
      </x:c>
      <x:c r="B1035" s="13" t="n">
        <x:v>15</x:v>
      </x:c>
      <x:c r="C1035" s="13" t="str">
        <x:v>Этап 4 — Типы хвата и специфическая сила пальцев</x:v>
      </x:c>
      <x:c r="D1035" s="138" t="str">
        <x:v>2026-12-15</x:v>
      </x:c>
      <x:c r="E1035" s="13" t="str">
        <x:v>Вторник</x:v>
      </x:c>
      <x:c r="F1035" s="13" t="str">
        <x:v>Тренировка A — техника/объём</x:v>
      </x:c>
      <x:c r="G1035" s="44" t="n">
        <x:v>0.06041666666666667</x:v>
      </x:c>
      <x:c r="H1035" s="44" t="n">
        <x:v>0.0625</x:v>
      </x:c>
      <x:c r="I1035" s="32" t="n">
        <x:f>ROUND((H1035-G1035)*1440,0)</x:f>
        <x:v>3</x:v>
      </x:c>
      <x:c r="J1035" s="13" t="str">
        <x:v>Журнал</x:v>
      </x:c>
      <x:c r="K1035" s="13" t="str">
        <x:v>Запиши: На видео проверить, не «висит» ли плечо вперёд и не исчезают ли ноги при pinch. Также отметь минуту первой просадки хвата.</x:v>
      </x:c>
      <x:c r="L1035" s="13" t="str">
        <x:v>☐ Не начато</x:v>
      </x:c>
      <x:c r="M1035" s="13" t="str">
        <x:v>Обязательно</x:v>
      </x:c>
      <x:c r="N1035" s="13" t="str">
        <x:v>Без нагрузки</x:v>
      </x:c>
      <x:c r="O1035" s="13" t="str"/>
      <x:c r="P1035" s="13" t="str">
        <x:v>milestone_04_grip_literacy_strength/week_15_2026-12-14/02_TUESDAY.md</x:v>
      </x:c>
      <x:c r="Q1035" s="138" t="str">
        <x:v>Markdown</x:v>
      </x:c>
      <x:c r="R1035" s="20" t="str"/>
    </x:row>
    <x:row r="1036" ht="36" customHeight="1">
      <x:c r="A1036" s="19" t="str">
        <x:v>W15-20261216-1035</x:v>
      </x:c>
      <x:c r="B1036" s="13" t="n">
        <x:v>15</x:v>
      </x:c>
      <x:c r="C1036" s="13" t="str">
        <x:v>Этап 4 — Типы хвата и специфическая сила пальцев</x:v>
      </x:c>
      <x:c r="D1036" s="138" t="str">
        <x:v>2026-12-16</x:v>
      </x:c>
      <x:c r="E1036" s="13" t="str">
        <x:v>Среда</x:v>
      </x:c>
      <x:c r="F1036" s="13" t="str">
        <x:v>Восстановление / видео</x:v>
      </x:c>
      <x:c r="G1036" s="44" t="n">
        <x:v>0</x:v>
      </x:c>
      <x:c r="H1036" s="44" t="n">
        <x:v>0.006944444444444444</x:v>
      </x:c>
      <x:c r="I1036" s="32" t="n">
        <x:f>ROUND((H1036-G1036)*1440,0)</x:f>
        <x:v>10</x:v>
      </x:c>
      <x:c r="J1036" s="13" t="str">
        <x:v>Восстановление</x:v>
      </x:c>
      <x:c r="K1036" s="13" t="str">
        <x:v>10 минут спокойной ходьбы. Руки расслаблены; это не тренировка выносливости.</x:v>
      </x:c>
      <x:c r="L1036" s="13" t="str">
        <x:v>☐ Не начато</x:v>
      </x:c>
      <x:c r="M1036" s="13" t="str">
        <x:v>Обязательно</x:v>
      </x:c>
      <x:c r="N1036" s="13" t="str">
        <x:v>RPE 1–2</x:v>
      </x:c>
      <x:c r="O1036" s="13" t="str"/>
      <x:c r="P1036" s="13" t="str">
        <x:v>milestone_04_grip_literacy_strength/week_15_2026-12-14/03_WEDNESDAY.md</x:v>
      </x:c>
      <x:c r="Q1036" s="138" t="str">
        <x:v>Markdown</x:v>
      </x:c>
      <x:c r="R1036" s="20" t="str"/>
    </x:row>
    <x:row r="1037" ht="36" customHeight="1">
      <x:c r="A1037" s="19" t="str">
        <x:v>W15-20261216-1036</x:v>
      </x:c>
      <x:c r="B1037" s="13" t="n">
        <x:v>15</x:v>
      </x:c>
      <x:c r="C1037" s="13" t="str">
        <x:v>Этап 4 — Типы хвата и специфическая сила пальцев</x:v>
      </x:c>
      <x:c r="D1037" s="138" t="str">
        <x:v>2026-12-16</x:v>
      </x:c>
      <x:c r="E1037" s="13" t="str">
        <x:v>Среда</x:v>
      </x:c>
      <x:c r="F1037" s="13" t="str">
        <x:v>Восстановление / видео</x:v>
      </x:c>
      <x:c r="G1037" s="44" t="n">
        <x:v>0.006944444444444444</x:v>
      </x:c>
      <x:c r="H1037" s="44" t="n">
        <x:v>0.009027777777777777</x:v>
      </x:c>
      <x:c r="I1037" s="32" t="n">
        <x:f>ROUND((H1037-G1037)*1440,0)</x:f>
        <x:v>3</x:v>
      </x:c>
      <x:c r="J1037" s="13" t="str">
        <x:v>Самопроверка</x:v>
      </x:c>
      <x:c r="K1037" s="13" t="str">
        <x:v>Оцени реакцию после вторника: плечо, пальцы, правое колено 0–10. Запиши, что изменилось относительно вчерашнего утра.</x:v>
      </x:c>
      <x:c r="L1037" s="13" t="str">
        <x:v>☐ Не начато</x:v>
      </x:c>
      <x:c r="M1037" s="13" t="str">
        <x:v>Обязательно</x:v>
      </x:c>
      <x:c r="N1037" s="13" t="str">
        <x:v>Без нагрузки</x:v>
      </x:c>
      <x:c r="O1037" s="13" t="str">
        <x:v>Острая локальная боль пальца или ухудшение плеча = не делать четверговую пальцевую нагрузку.</x:v>
      </x:c>
      <x:c r="P1037" s="13" t="str">
        <x:v>milestone_04_grip_literacy_strength/week_15_2026-12-14/03_WEDNESDAY.md</x:v>
      </x:c>
      <x:c r="Q1037" s="138" t="str">
        <x:v>Markdown</x:v>
      </x:c>
      <x:c r="R1037" s="20" t="str"/>
    </x:row>
    <x:row r="1038" ht="36" customHeight="1">
      <x:c r="A1038" s="19" t="str">
        <x:v>W15-20261216-1037</x:v>
      </x:c>
      <x:c r="B1038" s="13" t="n">
        <x:v>15</x:v>
      </x:c>
      <x:c r="C1038" s="13" t="str">
        <x:v>Этап 4 — Типы хвата и специфическая сила пальцев</x:v>
      </x:c>
      <x:c r="D1038" s="138" t="str">
        <x:v>2026-12-16</x:v>
      </x:c>
      <x:c r="E1038" s="13" t="str">
        <x:v>Среда</x:v>
      </x:c>
      <x:c r="F1038" s="13" t="str">
        <x:v>Восстановление / видео</x:v>
      </x:c>
      <x:c r="G1038" s="44" t="n">
        <x:v>0.009027777777777777</x:v>
      </x:c>
      <x:c r="H1038" s="44" t="n">
        <x:v>0.01597222222222222</x:v>
      </x:c>
      <x:c r="I1038" s="32" t="n">
        <x:f>ROUND((H1038-G1038)*1440,0)</x:f>
        <x:v>10</x:v>
      </x:c>
      <x:c r="J1038" s="13" t="str">
        <x:v>Видеоразбор</x:v>
      </x:c>
      <x:c r="K103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038" s="13" t="str">
        <x:v>☐ Не начато</x:v>
      </x:c>
      <x:c r="M1038" s="13" t="str">
        <x:v>Обязательно</x:v>
      </x:c>
      <x:c r="N1038" s="13" t="str">
        <x:v>Без нагрузки</x:v>
      </x:c>
      <x:c r="O1038" s="13" t="str"/>
      <x:c r="P1038" s="13" t="str">
        <x:v>milestone_04_grip_literacy_strength/week_15_2026-12-14/03_WEDNESDAY.md</x:v>
      </x:c>
      <x:c r="Q1038" s="138" t="str">
        <x:v>Markdown</x:v>
      </x:c>
      <x:c r="R1038" s="20" t="str"/>
    </x:row>
    <x:row r="1039" ht="36" customHeight="1">
      <x:c r="A1039" s="19" t="str">
        <x:v>W15-20261216-1038</x:v>
      </x:c>
      <x:c r="B1039" s="13" t="n">
        <x:v>15</x:v>
      </x:c>
      <x:c r="C1039" s="13" t="str">
        <x:v>Этап 4 — Типы хвата и специфическая сила пальцев</x:v>
      </x:c>
      <x:c r="D1039" s="138" t="str">
        <x:v>2026-12-16</x:v>
      </x:c>
      <x:c r="E1039" s="13" t="str">
        <x:v>Среда</x:v>
      </x:c>
      <x:c r="F1039" s="13" t="str">
        <x:v>Восстановление / видео</x:v>
      </x:c>
      <x:c r="G1039" s="44" t="n">
        <x:v>0.01597222222222222</x:v>
      </x:c>
      <x:c r="H1039" s="44" t="n">
        <x:v>0.01875</x:v>
      </x:c>
      <x:c r="I1039" s="32" t="n">
        <x:f>ROUND((H1039-G1039)*1440,0)</x:f>
        <x:v>4</x:v>
      </x:c>
      <x:c r="J1039" s="13" t="str">
        <x:v>Конспект</x:v>
      </x:c>
      <x:c r="K1039" s="13" t="str">
        <x:v>Запиши одну правку на четверг в формате «В следующей попытке я…». Используй cue: «Большой палец создаёт противодавление, но основную экономию всё равно даёт положение ног и таза.».</x:v>
      </x:c>
      <x:c r="L1039" s="13" t="str">
        <x:v>☐ Не начато</x:v>
      </x:c>
      <x:c r="M1039" s="13" t="str">
        <x:v>Обязательно</x:v>
      </x:c>
      <x:c r="N1039" s="13" t="str">
        <x:v>Без нагрузки</x:v>
      </x:c>
      <x:c r="O1039" s="13" t="str"/>
      <x:c r="P1039" s="13" t="str">
        <x:v>milestone_04_grip_literacy_strength/week_15_2026-12-14/03_WEDNESDAY.md</x:v>
      </x:c>
      <x:c r="Q1039" s="138" t="str">
        <x:v>Markdown</x:v>
      </x:c>
      <x:c r="R1039" s="20" t="str"/>
    </x:row>
    <x:row r="1040" ht="36" customHeight="1">
      <x:c r="A1040" s="19" t="str">
        <x:v>W15-20261216-1039</x:v>
      </x:c>
      <x:c r="B1040" s="13" t="n">
        <x:v>15</x:v>
      </x:c>
      <x:c r="C1040" s="13" t="str">
        <x:v>Этап 4 — Типы хвата и специфическая сила пальцев</x:v>
      </x:c>
      <x:c r="D1040" s="138" t="str">
        <x:v>2026-12-16</x:v>
      </x:c>
      <x:c r="E1040" s="13" t="str">
        <x:v>Среда</x:v>
      </x:c>
      <x:c r="F1040" s="13" t="str">
        <x:v>Восстановление / видео</x:v>
      </x:c>
      <x:c r="G1040" s="44" t="n">
        <x:v>0.01875</x:v>
      </x:c>
      <x:c r="H1040" s="44" t="n">
        <x:v>0.027083333333333334</x:v>
      </x:c>
      <x:c r="I1040" s="32" t="n">
        <x:f>ROUND((H1040-G1040)*1440,0)</x:f>
        <x:v>12</x:v>
      </x:c>
      <x:c r="J1040" s="13" t="str">
        <x:v>Домашняя мобильность</x:v>
      </x:c>
      <x:c r="K1040" s="13" t="str">
        <x:v>Выполни комплекс H1 «База: таз, корпус и стопы», 12 минут. Ни турника, ни колец для дополнительного хвата.</x:v>
      </x:c>
      <x:c r="L1040" s="13" t="str">
        <x:v>☐ Не начато</x:v>
      </x:c>
      <x:c r="M1040" s="13" t="str">
        <x:v>Обязательно</x:v>
      </x:c>
      <x:c r="N1040" s="13" t="str">
        <x:v>RPE 2–3</x:v>
      </x:c>
      <x:c r="O1040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040" s="13" t="str">
        <x:v>milestone_04_grip_literacy_strength/week_15_2026-12-14/03_WEDNESDAY.md</x:v>
      </x:c>
      <x:c r="Q1040" s="138" t="str">
        <x:v>Markdown</x:v>
      </x:c>
      <x:c r="R1040" s="20" t="str"/>
    </x:row>
    <x:row r="1041" ht="36" customHeight="1">
      <x:c r="A1041" s="19" t="str">
        <x:v>W15-20261216-1040</x:v>
      </x:c>
      <x:c r="B1041" s="13" t="n">
        <x:v>15</x:v>
      </x:c>
      <x:c r="C1041" s="13" t="str">
        <x:v>Этап 4 — Типы хвата и специфическая сила пальцев</x:v>
      </x:c>
      <x:c r="D1041" s="138" t="str">
        <x:v>2026-12-16</x:v>
      </x:c>
      <x:c r="E1041" s="13" t="str">
        <x:v>Среда</x:v>
      </x:c>
      <x:c r="F1041" s="13" t="str">
        <x:v>Восстановление / видео</x:v>
      </x:c>
      <x:c r="G1041" s="44" t="n">
        <x:v>0.027083333333333334</x:v>
      </x:c>
      <x:c r="H1041" s="44" t="n">
        <x:v>0.04097222222222222</x:v>
      </x:c>
      <x:c r="I1041" s="32" t="n">
        <x:f>ROUND((H1041-G1041)*1440,0)</x:f>
        <x:v>20</x:v>
      </x:c>
      <x:c r="J1041" s="13" t="str">
        <x:v>Физиотерапия</x:v>
      </x:c>
      <x:c r="K1041" s="13" t="str">
        <x:v>Выполни свой назначенный физиотерапевтом комплекс, если среда входит в его расписание.</x:v>
      </x:c>
      <x:c r="L1041" s="13" t="str">
        <x:v>☐ Не начато</x:v>
      </x:c>
      <x:c r="M1041" s="13" t="str">
        <x:v>По назначению</x:v>
      </x:c>
      <x:c r="N1041" s="13" t="str">
        <x:v>По назначению</x:v>
      </x:c>
      <x:c r="O1041" s="13" t="str">
        <x:v>Назначения физиотерапевта имеют приоритет.</x:v>
      </x:c>
      <x:c r="P1041" s="13" t="str">
        <x:v>milestone_04_grip_literacy_strength/week_15_2026-12-14/03_WEDNESDAY.md</x:v>
      </x:c>
      <x:c r="Q1041" s="138" t="str">
        <x:v>Markdown</x:v>
      </x:c>
      <x:c r="R1041" s="20" t="str"/>
    </x:row>
    <x:row r="1042" ht="36" customHeight="1">
      <x:c r="A1042" s="19" t="str">
        <x:v>W15-20261216-1041</x:v>
      </x:c>
      <x:c r="B1042" s="13" t="n">
        <x:v>15</x:v>
      </x:c>
      <x:c r="C1042" s="13" t="str">
        <x:v>Этап 4 — Типы хвата и специфическая сила пальцев</x:v>
      </x:c>
      <x:c r="D1042" s="138" t="str">
        <x:v>2026-12-16</x:v>
      </x:c>
      <x:c r="E1042" s="13" t="str">
        <x:v>Среда</x:v>
      </x:c>
      <x:c r="F1042" s="13" t="str">
        <x:v>Восстановление / видео</x:v>
      </x:c>
      <x:c r="G1042" s="44" t="n">
        <x:v>0.04097222222222222</x:v>
      </x:c>
      <x:c r="H1042" s="44" t="n">
        <x:v>0.043055555555555555</x:v>
      </x:c>
      <x:c r="I1042" s="32" t="n">
        <x:f>ROUND((H1042-G1042)*1440,0)</x:f>
        <x:v>3</x:v>
      </x:c>
      <x:c r="J1042" s="13" t="str">
        <x:v>Запрет лишней нагрузки</x:v>
      </x:c>
      <x:c r="K1042" s="13" t="str">
        <x:v>Поставь отметку: сегодня не было висов, подтягиваний «на проверку», эспандера-сжимателя или тяжёлого ношения.</x:v>
      </x:c>
      <x:c r="L1042" s="13" t="str">
        <x:v>☐ Не начато</x:v>
      </x:c>
      <x:c r="M1042" s="13" t="str">
        <x:v>Обязательно</x:v>
      </x:c>
      <x:c r="N1042" s="13" t="str">
        <x:v>Восстановление</x:v>
      </x:c>
      <x:c r="O1042" s="13" t="str"/>
      <x:c r="P1042" s="13" t="str">
        <x:v>milestone_04_grip_literacy_strength/week_15_2026-12-14/03_WEDNESDAY.md</x:v>
      </x:c>
      <x:c r="Q1042" s="138" t="str">
        <x:v>Markdown</x:v>
      </x:c>
      <x:c r="R1042" s="20" t="str"/>
    </x:row>
    <x:row r="1043" ht="36" customHeight="1">
      <x:c r="A1043" s="19" t="str">
        <x:v>W15-20261217-1042</x:v>
      </x:c>
      <x:c r="B1043" s="13" t="n">
        <x:v>15</x:v>
      </x:c>
      <x:c r="C1043" s="13" t="str">
        <x:v>Этап 4 — Типы хвата и специфическая сила пальцев</x:v>
      </x:c>
      <x:c r="D1043" s="138" t="str">
        <x:v>2026-12-17</x:v>
      </x:c>
      <x:c r="E1043" s="13" t="str">
        <x:v>Четверг</x:v>
      </x:c>
      <x:c r="F1043" s="13" t="str">
        <x:v>Тренировка B — пальцы/проект</x:v>
      </x:c>
      <x:c r="G1043" s="44" t="n">
        <x:v>0</x:v>
      </x:c>
      <x:c r="H1043" s="44" t="n">
        <x:v>0.0020833333333333333</x:v>
      </x:c>
      <x:c r="I1043" s="32" t="n">
        <x:f>ROUND((H1043-G1043)*1440,0)</x:f>
        <x:v>3</x:v>
      </x:c>
      <x:c r="J1043" s="13" t="str">
        <x:v>Самопроверка</x:v>
      </x:c>
      <x:c r="K104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043" s="13" t="str">
        <x:v>☐ Не начато</x:v>
      </x:c>
      <x:c r="M1043" s="13" t="str">
        <x:v>Обязательно</x:v>
      </x:c>
      <x:c r="N1043" s="13" t="str">
        <x:v>Без нагрузки</x:v>
      </x:c>
      <x:c r="O1043" s="13" t="str">
        <x:v>Красный флаг = не начинать пальцевую нагрузку.</x:v>
      </x:c>
      <x:c r="P1043" s="13" t="str">
        <x:v>milestone_04_grip_literacy_strength/week_15_2026-12-14/04_THURSDAY.md</x:v>
      </x:c>
      <x:c r="Q1043" s="138" t="str">
        <x:v>Markdown</x:v>
      </x:c>
      <x:c r="R1043" s="20" t="str"/>
    </x:row>
    <x:row r="1044" ht="36" customHeight="1">
      <x:c r="A1044" s="19" t="str">
        <x:v>W15-20261217-1043</x:v>
      </x:c>
      <x:c r="B1044" s="13" t="n">
        <x:v>15</x:v>
      </x:c>
      <x:c r="C1044" s="13" t="str">
        <x:v>Этап 4 — Типы хвата и специфическая сила пальцев</x:v>
      </x:c>
      <x:c r="D1044" s="138" t="str">
        <x:v>2026-12-17</x:v>
      </x:c>
      <x:c r="E1044" s="13" t="str">
        <x:v>Четверг</x:v>
      </x:c>
      <x:c r="F1044" s="13" t="str">
        <x:v>Тренировка B — пальцы/проект</x:v>
      </x:c>
      <x:c r="G1044" s="44" t="n">
        <x:v>0.0020833333333333333</x:v>
      </x:c>
      <x:c r="H1044" s="44" t="n">
        <x:v>0.005555555555555556</x:v>
      </x:c>
      <x:c r="I1044" s="32" t="n">
        <x:f>ROUND((H1044-G1044)*1440,0)</x:f>
        <x:v>5</x:v>
      </x:c>
      <x:c r="J1044" s="13" t="str">
        <x:v>Разминка</x:v>
      </x:c>
      <x:c r="K1044" s="13" t="str">
        <x:v>Подними температуру: быстрая ходьба, лестница или лёгкий велотренажёр 5 минут.</x:v>
      </x:c>
      <x:c r="L1044" s="13" t="str">
        <x:v>☐ Не начато</x:v>
      </x:c>
      <x:c r="M1044" s="13" t="str">
        <x:v>Обязательно</x:v>
      </x:c>
      <x:c r="N1044" s="13" t="str">
        <x:v>RPE 2–3</x:v>
      </x:c>
      <x:c r="O1044" s="13" t="str"/>
      <x:c r="P1044" s="13" t="str">
        <x:v>milestone_04_grip_literacy_strength/week_15_2026-12-14/04_THURSDAY.md</x:v>
      </x:c>
      <x:c r="Q1044" s="138" t="str">
        <x:v>Markdown</x:v>
      </x:c>
      <x:c r="R1044" s="20" t="str"/>
    </x:row>
    <x:row r="1045" ht="36" customHeight="1">
      <x:c r="A1045" s="19" t="str">
        <x:v>W15-20261217-1044</x:v>
      </x:c>
      <x:c r="B1045" s="13" t="n">
        <x:v>15</x:v>
      </x:c>
      <x:c r="C1045" s="13" t="str">
        <x:v>Этап 4 — Типы хвата и специфическая сила пальцев</x:v>
      </x:c>
      <x:c r="D1045" s="138" t="str">
        <x:v>2026-12-17</x:v>
      </x:c>
      <x:c r="E1045" s="13" t="str">
        <x:v>Четверг</x:v>
      </x:c>
      <x:c r="F1045" s="13" t="str">
        <x:v>Тренировка B — пальцы/проект</x:v>
      </x:c>
      <x:c r="G1045" s="44" t="n">
        <x:v>0.005555555555555556</x:v>
      </x:c>
      <x:c r="H1045" s="44" t="n">
        <x:v>0.009027777777777777</x:v>
      </x:c>
      <x:c r="I1045" s="32" t="n">
        <x:f>ROUND((H1045-G1045)*1440,0)</x:f>
        <x:v>5</x:v>
      </x:c>
      <x:c r="J1045" s="13" t="str">
        <x:v>Разминка</x:v>
      </x:c>
      <x:c r="K104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045" s="13" t="str">
        <x:v>☐ Не начато</x:v>
      </x:c>
      <x:c r="M1045" s="13" t="str">
        <x:v>Обязательно</x:v>
      </x:c>
      <x:c r="N1045" s="13" t="str">
        <x:v>Очень легко</x:v>
      </x:c>
      <x:c r="O1045" s="13" t="str">
        <x:v>Не делай press/отжимания и движения, которые раздражают плечо.</x:v>
      </x:c>
      <x:c r="P1045" s="13" t="str">
        <x:v>milestone_04_grip_literacy_strength/week_15_2026-12-14/04_THURSDAY.md</x:v>
      </x:c>
      <x:c r="Q1045" s="138" t="str">
        <x:v>Markdown</x:v>
      </x:c>
      <x:c r="R1045" s="20" t="str"/>
    </x:row>
    <x:row r="1046" ht="36" customHeight="1">
      <x:c r="A1046" s="19" t="str">
        <x:v>W15-20261217-1045</x:v>
      </x:c>
      <x:c r="B1046" s="13" t="n">
        <x:v>15</x:v>
      </x:c>
      <x:c r="C1046" s="13" t="str">
        <x:v>Этап 4 — Типы хвата и специфическая сила пальцев</x:v>
      </x:c>
      <x:c r="D1046" s="138" t="str">
        <x:v>2026-12-17</x:v>
      </x:c>
      <x:c r="E1046" s="13" t="str">
        <x:v>Четверг</x:v>
      </x:c>
      <x:c r="F1046" s="13" t="str">
        <x:v>Тренировка B — пальцы/проект</x:v>
      </x:c>
      <x:c r="G1046" s="44" t="n">
        <x:v>0.009027777777777777</x:v>
      </x:c>
      <x:c r="H1046" s="44" t="n">
        <x:v>0.011805555555555555</x:v>
      </x:c>
      <x:c r="I1046" s="32" t="n">
        <x:f>ROUND((H1046-G1046)*1440,0)</x:f>
        <x:v>4</x:v>
      </x:c>
      <x:c r="J1046" s="13" t="str">
        <x:v>Разминка пальцев</x:v>
      </x:c>
      <x:c r="K104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046" s="13" t="str">
        <x:v>☐ Не начато</x:v>
      </x:c>
      <x:c r="M1046" s="13" t="str">
        <x:v>Обязательно</x:v>
      </x:c>
      <x:c r="N1046" s="13" t="str">
        <x:v>Очень легко</x:v>
      </x:c>
      <x:c r="O1046" s="13" t="str"/>
      <x:c r="P1046" s="13" t="str">
        <x:v>milestone_04_grip_literacy_strength/week_15_2026-12-14/04_THURSDAY.md</x:v>
      </x:c>
      <x:c r="Q1046" s="138" t="str">
        <x:v>Markdown</x:v>
      </x:c>
      <x:c r="R1046" s="20" t="str"/>
    </x:row>
    <x:row r="1047" ht="36" customHeight="1">
      <x:c r="A1047" s="19" t="str">
        <x:v>W15-20261217-1046</x:v>
      </x:c>
      <x:c r="B1047" s="13" t="n">
        <x:v>15</x:v>
      </x:c>
      <x:c r="C1047" s="13" t="str">
        <x:v>Этап 4 — Типы хвата и специфическая сила пальцев</x:v>
      </x:c>
      <x:c r="D1047" s="138" t="str">
        <x:v>2026-12-17</x:v>
      </x:c>
      <x:c r="E1047" s="13" t="str">
        <x:v>Четверг</x:v>
      </x:c>
      <x:c r="F1047" s="13" t="str">
        <x:v>Тренировка B — пальцы/проект</x:v>
      </x:c>
      <x:c r="G1047" s="44" t="n">
        <x:v>0.011805555555555555</x:v>
      </x:c>
      <x:c r="H1047" s="44" t="n">
        <x:v>0.014583333333333334</x:v>
      </x:c>
      <x:c r="I1047" s="32" t="n">
        <x:f>ROUND((H1047-G1047)*1440,0)</x:f>
        <x:v>4</x:v>
      </x:c>
      <x:c r="J1047" s="13" t="str">
        <x:v>Разминочное лазание</x:v>
      </x:c>
      <x:c r="K1047" s="13" t="str">
        <x:v>Пройди 2 очень лёгкие трассы уровня 1–2; двигайся медленно, спускайся по зацепам.</x:v>
      </x:c>
      <x:c r="L1047" s="13" t="str">
        <x:v>☐ Не начато</x:v>
      </x:c>
      <x:c r="M1047" s="13" t="str">
        <x:v>Обязательно</x:v>
      </x:c>
      <x:c r="N1047" s="13" t="str">
        <x:v>RPE 2–3</x:v>
      </x:c>
      <x:c r="O1047" s="13" t="str">
        <x:v>Финиш с обязательным болезненным mantle/press пропусти.</x:v>
      </x:c>
      <x:c r="P1047" s="13" t="str">
        <x:v>milestone_04_grip_literacy_strength/week_15_2026-12-14/04_THURSDAY.md</x:v>
      </x:c>
      <x:c r="Q1047" s="138" t="str">
        <x:v>Markdown</x:v>
      </x:c>
      <x:c r="R1047" s="20" t="str"/>
    </x:row>
    <x:row r="1048" ht="36" customHeight="1">
      <x:c r="A1048" s="19" t="str">
        <x:v>W15-20261217-1047</x:v>
      </x:c>
      <x:c r="B1048" s="13" t="n">
        <x:v>15</x:v>
      </x:c>
      <x:c r="C1048" s="13" t="str">
        <x:v>Этап 4 — Типы хвата и специфическая сила пальцев</x:v>
      </x:c>
      <x:c r="D1048" s="138" t="str">
        <x:v>2026-12-17</x:v>
      </x:c>
      <x:c r="E1048" s="13" t="str">
        <x:v>Четверг</x:v>
      </x:c>
      <x:c r="F1048" s="13" t="str">
        <x:v>Тренировка B — пальцы/проект</x:v>
      </x:c>
      <x:c r="G1048" s="44" t="n">
        <x:v>0.014583333333333334</x:v>
      </x:c>
      <x:c r="H1048" s="44" t="n">
        <x:v>0.017361111111111112</x:v>
      </x:c>
      <x:c r="I1048" s="32" t="n">
        <x:f>ROUND((H1048-G1048)*1440,0)</x:f>
        <x:v>4</x:v>
      </x:c>
      <x:c r="J1048" s="13" t="str">
        <x:v>Разминочное лазание</x:v>
      </x:c>
      <x:c r="K1048" s="13" t="str">
        <x:v>Пройди 2 трассы уровня 2–3, затем сделай 2–3 движения на комфортной четвёрке. Между ними 45–60 секунд.</x:v>
      </x:c>
      <x:c r="L1048" s="13" t="str">
        <x:v>☐ Не начато</x:v>
      </x:c>
      <x:c r="M1048" s="13" t="str">
        <x:v>Обязательно</x:v>
      </x:c>
      <x:c r="N1048" s="13" t="str">
        <x:v>RPE 3–4</x:v>
      </x:c>
      <x:c r="O1048" s="13" t="str">
        <x:v>Разминка не должна утомить пальцы.</x:v>
      </x:c>
      <x:c r="P1048" s="13" t="str">
        <x:v>milestone_04_grip_literacy_strength/week_15_2026-12-14/04_THURSDAY.md</x:v>
      </x:c>
      <x:c r="Q1048" s="138" t="str">
        <x:v>Markdown</x:v>
      </x:c>
      <x:c r="R1048" s="20" t="str"/>
    </x:row>
    <x:row r="1049" ht="36" customHeight="1">
      <x:c r="A1049" s="19" t="str">
        <x:v>W15-20261217-1048</x:v>
      </x:c>
      <x:c r="B1049" s="13" t="n">
        <x:v>15</x:v>
      </x:c>
      <x:c r="C1049" s="13" t="str">
        <x:v>Этап 4 — Типы хвата и специфическая сила пальцев</x:v>
      </x:c>
      <x:c r="D1049" s="138" t="str">
        <x:v>2026-12-17</x:v>
      </x:c>
      <x:c r="E1049" s="13" t="str">
        <x:v>Четверг</x:v>
      </x:c>
      <x:c r="F1049" s="13" t="str">
        <x:v>Тренировка B — пальцы/проект</x:v>
      </x:c>
      <x:c r="G1049" s="44" t="n">
        <x:v>0.017361111111111112</x:v>
      </x:c>
      <x:c r="H1049" s="44" t="n">
        <x:v>0.019444444444444445</x:v>
      </x:c>
      <x:c r="I1049" s="32" t="n">
        <x:f>ROUND((H1049-G1049)*1440,0)</x:f>
        <x:v>3</x:v>
      </x:c>
      <x:c r="J1049" s="13" t="str">
        <x:v>Фингерборд — готовность</x:v>
      </x:c>
      <x:c r="K1049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049" s="13" t="str">
        <x:v>☐ Не начато</x:v>
      </x:c>
      <x:c r="M1049" s="13" t="str">
        <x:v>Обязательно</x:v>
      </x:c>
      <x:c r="N1049" s="13" t="str">
        <x:v>Подготовка</x:v>
      </x:c>
      <x:c r="O1049" s="13" t="str">
        <x:v>Плечо полностью спокойно; full crimp, карманы, одна рука и допвес запрещены.</x:v>
      </x:c>
      <x:c r="P1049" s="13" t="str">
        <x:v>milestone_04_grip_literacy_strength/week_15_2026-12-14/04_THURSDAY.md</x:v>
      </x:c>
      <x:c r="Q1049" s="138" t="str">
        <x:v>Markdown</x:v>
      </x:c>
      <x:c r="R1049" s="20" t="str"/>
    </x:row>
    <x:row r="1050" ht="36" customHeight="1">
      <x:c r="A1050" s="19" t="str">
        <x:v>W15-20261217-1049</x:v>
      </x:c>
      <x:c r="B1050" s="13" t="n">
        <x:v>15</x:v>
      </x:c>
      <x:c r="C1050" s="13" t="str">
        <x:v>Этап 4 — Типы хвата и специфическая сила пальцев</x:v>
      </x:c>
      <x:c r="D1050" s="138" t="str">
        <x:v>2026-12-17</x:v>
      </x:c>
      <x:c r="E1050" s="13" t="str">
        <x:v>Четверг</x:v>
      </x:c>
      <x:c r="F1050" s="13" t="str">
        <x:v>Тренировка B — пальцы/проект</x:v>
      </x:c>
      <x:c r="G1050" s="44" t="n">
        <x:v>0.019444444444444445</x:v>
      </x:c>
      <x:c r="H1050" s="44" t="n">
        <x:v>0.029861111111111113</x:v>
      </x:c>
      <x:c r="I1050" s="32" t="n">
        <x:f>ROUND((H1050-G1050)*1440,0)</x:f>
        <x:v>15</x:v>
      </x:c>
      <x:c r="J1050" s="13" t="str">
        <x:v>Фингерборд</x:v>
      </x:c>
      <x:c r="K1050" s="13" t="str">
        <x:v>Выполни протокол: 5 × 10 сек, ноги помогают, RPE 7–8, отдых 2:30. Запусти таймер. Каждый вис прекращай с указанным запасом; форма кисти не меняется.</x:v>
      </x:c>
      <x:c r="L1050" s="13" t="str">
        <x:v>☐ Не начато</x:v>
      </x:c>
      <x:c r="M1050" s="13" t="str">
        <x:v>Обязательно</x:v>
      </x:c>
      <x:c r="N1050" s="13" t="str">
        <x:v>5 × 10 сек, ноги помогают, RPE 7–8, отдых 2:30</x:v>
      </x:c>
      <x:c r="O1050" s="13" t="str">
        <x:v>Острая боль, дрожь формы, падение RPE-контроля или боль плеча = закончить блок.</x:v>
      </x:c>
      <x:c r="P1050" s="13" t="str">
        <x:v>milestone_04_grip_literacy_strength/week_15_2026-12-14/04_THURSDAY.md</x:v>
      </x:c>
      <x:c r="Q1050" s="138" t="str">
        <x:v>Markdown</x:v>
      </x:c>
      <x:c r="R1050" s="20" t="str"/>
    </x:row>
    <x:row r="1051" ht="36" customHeight="1">
      <x:c r="A1051" s="19" t="str">
        <x:v>W15-20261217-1050</x:v>
      </x:c>
      <x:c r="B1051" s="13" t="n">
        <x:v>15</x:v>
      </x:c>
      <x:c r="C1051" s="13" t="str">
        <x:v>Этап 4 — Типы хвата и специфическая сила пальцев</x:v>
      </x:c>
      <x:c r="D1051" s="138" t="str">
        <x:v>2026-12-17</x:v>
      </x:c>
      <x:c r="E1051" s="13" t="str">
        <x:v>Четверг</x:v>
      </x:c>
      <x:c r="F1051" s="13" t="str">
        <x:v>Тренировка B — пальцы/проект</x:v>
      </x:c>
      <x:c r="G1051" s="44" t="n">
        <x:v>0.029861111111111113</x:v>
      </x:c>
      <x:c r="H1051" s="44" t="n">
        <x:v>0.03194444444444444</x:v>
      </x:c>
      <x:c r="I1051" s="32" t="n">
        <x:f>ROUND((H1051-G1051)*1440,0)</x:f>
        <x:v>3</x:v>
      </x:c>
      <x:c r="J1051" s="13" t="str">
        <x:v>Фингерборд — запись</x:v>
      </x:c>
      <x:c r="K1051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051" s="13" t="str">
        <x:v>☐ Не начато</x:v>
      </x:c>
      <x:c r="M1051" s="13" t="str">
        <x:v>Обязательно</x:v>
      </x:c>
      <x:c r="N1051" s="13" t="str">
        <x:v>Без нагрузки</x:v>
      </x:c>
      <x:c r="O1051" s="13" t="str"/>
      <x:c r="P1051" s="13" t="str">
        <x:v>milestone_04_grip_literacy_strength/week_15_2026-12-14/04_THURSDAY.md</x:v>
      </x:c>
      <x:c r="Q1051" s="138" t="str">
        <x:v>Markdown</x:v>
      </x:c>
      <x:c r="R1051" s="20" t="str"/>
    </x:row>
    <x:row r="1052" ht="36" customHeight="1">
      <x:c r="A1052" s="19" t="str">
        <x:v>W15-20261217-1051</x:v>
      </x:c>
      <x:c r="B1052" s="13" t="n">
        <x:v>15</x:v>
      </x:c>
      <x:c r="C1052" s="13" t="str">
        <x:v>Этап 4 — Типы хвата и специфическая сила пальцев</x:v>
      </x:c>
      <x:c r="D1052" s="138" t="str">
        <x:v>2026-12-17</x:v>
      </x:c>
      <x:c r="E1052" s="13" t="str">
        <x:v>Четверг</x:v>
      </x:c>
      <x:c r="F1052" s="13" t="str">
        <x:v>Тренировка B — пальцы/проект</x:v>
      </x:c>
      <x:c r="G1052" s="44" t="n">
        <x:v>0.03194444444444444</x:v>
      </x:c>
      <x:c r="H1052" s="44" t="n">
        <x:v>0.035416666666666666</x:v>
      </x:c>
      <x:c r="I1052" s="32" t="n">
        <x:f>ROUND((H1052-G1052)*1440,0)</x:f>
        <x:v>5</x:v>
      </x:c>
      <x:c r="J1052" s="13" t="str">
        <x:v>Отдых</x:v>
      </x:c>
      <x:c r="K1052" s="13" t="str">
        <x:v>5 минут полного отдыха: ходьба, вода, без лазания и без тестового виса.</x:v>
      </x:c>
      <x:c r="L1052" s="13" t="str">
        <x:v>☐ Не начато</x:v>
      </x:c>
      <x:c r="M1052" s="13" t="str">
        <x:v>Обязательно</x:v>
      </x:c>
      <x:c r="N1052" s="13" t="str">
        <x:v>Восстановление</x:v>
      </x:c>
      <x:c r="O1052" s="13" t="str"/>
      <x:c r="P1052" s="13" t="str">
        <x:v>milestone_04_grip_literacy_strength/week_15_2026-12-14/04_THURSDAY.md</x:v>
      </x:c>
      <x:c r="Q1052" s="138" t="str">
        <x:v>Markdown</x:v>
      </x:c>
      <x:c r="R1052" s="20" t="str"/>
    </x:row>
    <x:row r="1053" ht="36" customHeight="1">
      <x:c r="A1053" s="19" t="str">
        <x:v>W15-20261217-1052</x:v>
      </x:c>
      <x:c r="B1053" s="13" t="n">
        <x:v>15</x:v>
      </x:c>
      <x:c r="C1053" s="13" t="str">
        <x:v>Этап 4 — Типы хвата и специфическая сила пальцев</x:v>
      </x:c>
      <x:c r="D1053" s="138" t="str">
        <x:v>2026-12-17</x:v>
      </x:c>
      <x:c r="E1053" s="13" t="str">
        <x:v>Четверг</x:v>
      </x:c>
      <x:c r="F1053" s="13" t="str">
        <x:v>Тренировка B — пальцы/проект</x:v>
      </x:c>
      <x:c r="G1053" s="44" t="n">
        <x:v>0.035416666666666666</x:v>
      </x:c>
      <x:c r="H1053" s="44" t="n">
        <x:v>0.03819444444444445</x:v>
      </x:c>
      <x:c r="I1053" s="32" t="n">
        <x:f>ROUND((H1053-G1053)*1440,0)</x:f>
        <x:v>4</x:v>
      </x:c>
      <x:c r="J1053" s="13" t="str">
        <x:v>Выбор проекта</x:v>
      </x:c>
      <x:c r="K1053" s="13" t="str">
        <x:v>Выбери трассу по критериям недели: Пятёрка с pinch, только если плечо спокойно; шестёрка — лучше с другим типом хвата.</x:v>
      </x:c>
      <x:c r="L1053" s="13" t="str">
        <x:v>☐ Не начато</x:v>
      </x:c>
      <x:c r="M1053" s="13" t="str">
        <x:v>Обязательно</x:v>
      </x:c>
      <x:c r="N1053" s="13" t="str">
        <x:v>Без нагрузки</x:v>
      </x:c>
      <x:c r="O1053" s="13" t="str">
        <x:v>Плечо: широкая компрессия, gaston и силовой press — зона особой осторожности; при боли сразу убрать движение.</x:v>
      </x:c>
      <x:c r="P1053" s="13" t="str">
        <x:v>milestone_04_grip_literacy_strength/week_15_2026-12-14/04_THURSDAY.md</x:v>
      </x:c>
      <x:c r="Q1053" s="138" t="str">
        <x:v>Markdown</x:v>
      </x:c>
      <x:c r="R1053" s="20" t="str"/>
    </x:row>
    <x:row r="1054" ht="36" customHeight="1">
      <x:c r="A1054" s="19" t="str">
        <x:v>W15-20261217-1053</x:v>
      </x:c>
      <x:c r="B1054" s="13" t="n">
        <x:v>15</x:v>
      </x:c>
      <x:c r="C1054" s="13" t="str">
        <x:v>Этап 4 — Типы хвата и специфическая сила пальцев</x:v>
      </x:c>
      <x:c r="D1054" s="138" t="str">
        <x:v>2026-12-17</x:v>
      </x:c>
      <x:c r="E1054" s="13" t="str">
        <x:v>Четверг</x:v>
      </x:c>
      <x:c r="F1054" s="13" t="str">
        <x:v>Тренировка B — пальцы/проект</x:v>
      </x:c>
      <x:c r="G1054" s="44" t="n">
        <x:v>0.03819444444444445</x:v>
      </x:c>
      <x:c r="H1054" s="44" t="n">
        <x:v>0.041666666666666664</x:v>
      </x:c>
      <x:c r="I1054" s="32" t="n">
        <x:f>ROUND((H1054-G1054)*1440,0)</x:f>
        <x:v>5</x:v>
      </x:c>
      <x:c r="J1054" s="13" t="str">
        <x:v>Проект — попытка 1</x:v>
      </x:c>
      <x:c r="K1054" s="13" t="str">
        <x:v>Сделай первую полную диагностическую попытку. После падения не повторяй сразу: назови точную причину.</x:v>
      </x:c>
      <x:c r="L1054" s="13" t="str">
        <x:v>☐ Не начато</x:v>
      </x:c>
      <x:c r="M1054" s="13" t="str">
        <x:v>Обязательно</x:v>
      </x:c>
      <x:c r="N1054" s="13" t="str">
        <x:v>RPE 7–8</x:v>
      </x:c>
      <x:c r="O1054" s="13" t="str">
        <x:v>Прекратить движение при боли, а не после падения.</x:v>
      </x:c>
      <x:c r="P1054" s="13" t="str">
        <x:v>milestone_04_grip_literacy_strength/week_15_2026-12-14/04_THURSDAY.md</x:v>
      </x:c>
      <x:c r="Q1054" s="138" t="str">
        <x:v>Markdown</x:v>
      </x:c>
      <x:c r="R1054" s="20" t="str"/>
    </x:row>
    <x:row r="1055" ht="36" customHeight="1">
      <x:c r="A1055" s="19" t="str">
        <x:v>W15-20261217-1054</x:v>
      </x:c>
      <x:c r="B1055" s="13" t="n">
        <x:v>15</x:v>
      </x:c>
      <x:c r="C1055" s="13" t="str">
        <x:v>Этап 4 — Типы хвата и специфическая сила пальцев</x:v>
      </x:c>
      <x:c r="D1055" s="138" t="str">
        <x:v>2026-12-17</x:v>
      </x:c>
      <x:c r="E1055" s="13" t="str">
        <x:v>Четверг</x:v>
      </x:c>
      <x:c r="F1055" s="13" t="str">
        <x:v>Тренировка B — пальцы/проект</x:v>
      </x:c>
      <x:c r="G1055" s="44" t="n">
        <x:v>0.041666666666666664</x:v>
      </x:c>
      <x:c r="H1055" s="44" t="n">
        <x:v>0.04513888888888889</x:v>
      </x:c>
      <x:c r="I1055" s="32" t="n">
        <x:f>ROUND((H1055-G1055)*1440,0)</x:f>
        <x:v>5</x:v>
      </x:c>
      <x:c r="J1055" s="13" t="str">
        <x:v>Отдых / гипотеза</x:v>
      </x:c>
      <x:c r="K1055" s="13" t="str">
        <x:v>Отдых 4–5 минут. Запиши одну гипотезу: стопа, положение таза, хват или темп.</x:v>
      </x:c>
      <x:c r="L1055" s="13" t="str">
        <x:v>☐ Не начато</x:v>
      </x:c>
      <x:c r="M1055" s="13" t="str">
        <x:v>Обязательно</x:v>
      </x:c>
      <x:c r="N1055" s="13" t="str">
        <x:v>Восстановление</x:v>
      </x:c>
      <x:c r="O1055" s="13" t="str"/>
      <x:c r="P1055" s="13" t="str">
        <x:v>milestone_04_grip_literacy_strength/week_15_2026-12-14/04_THURSDAY.md</x:v>
      </x:c>
      <x:c r="Q1055" s="138" t="str">
        <x:v>Markdown</x:v>
      </x:c>
      <x:c r="R1055" s="20" t="str"/>
    </x:row>
    <x:row r="1056" ht="36" customHeight="1">
      <x:c r="A1056" s="19" t="str">
        <x:v>W15-20261217-1055</x:v>
      </x:c>
      <x:c r="B1056" s="13" t="n">
        <x:v>15</x:v>
      </x:c>
      <x:c r="C1056" s="13" t="str">
        <x:v>Этап 4 — Типы хвата и специфическая сила пальцев</x:v>
      </x:c>
      <x:c r="D1056" s="138" t="str">
        <x:v>2026-12-17</x:v>
      </x:c>
      <x:c r="E1056" s="13" t="str">
        <x:v>Четверг</x:v>
      </x:c>
      <x:c r="F1056" s="13" t="str">
        <x:v>Тренировка B — пальцы/проект</x:v>
      </x:c>
      <x:c r="G1056" s="44" t="n">
        <x:v>0.04513888888888889</x:v>
      </x:c>
      <x:c r="H1056" s="44" t="n">
        <x:v>0.049305555555555554</x:v>
      </x:c>
      <x:c r="I1056" s="32" t="n">
        <x:f>ROUND((H1056-G1056)*1440,0)</x:f>
        <x:v>6</x:v>
      </x:c>
      <x:c r="J1056" s="13" t="str">
        <x:v>Проект — попытки 2–3</x:v>
      </x:c>
      <x:c r="K1056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056" s="13" t="str">
        <x:v>☐ Не начато</x:v>
      </x:c>
      <x:c r="M1056" s="13" t="str">
        <x:v>Обязательно</x:v>
      </x:c>
      <x:c r="N1056" s="13" t="str">
        <x:v>RPE 7–8, без отказа</x:v>
      </x:c>
      <x:c r="O1056" s="13" t="str">
        <x:v>Не смотреть beta заранее: сначала собственная гипотеза.</x:v>
      </x:c>
      <x:c r="P1056" s="13" t="str">
        <x:v>milestone_04_grip_literacy_strength/week_15_2026-12-14/04_THURSDAY.md</x:v>
      </x:c>
      <x:c r="Q1056" s="138" t="str">
        <x:v>Markdown</x:v>
      </x:c>
      <x:c r="R1056" s="20" t="str"/>
    </x:row>
    <x:row r="1057" ht="36" customHeight="1">
      <x:c r="A1057" s="19" t="str">
        <x:v>W15-20261217-1056</x:v>
      </x:c>
      <x:c r="B1057" s="13" t="n">
        <x:v>15</x:v>
      </x:c>
      <x:c r="C1057" s="13" t="str">
        <x:v>Этап 4 — Типы хвата и специфическая сила пальцев</x:v>
      </x:c>
      <x:c r="D1057" s="138" t="str">
        <x:v>2026-12-17</x:v>
      </x:c>
      <x:c r="E1057" s="13" t="str">
        <x:v>Четверг</x:v>
      </x:c>
      <x:c r="F1057" s="13" t="str">
        <x:v>Тренировка B — пальцы/проект</x:v>
      </x:c>
      <x:c r="G1057" s="44" t="n">
        <x:v>0.049305555555555554</x:v>
      </x:c>
      <x:c r="H1057" s="44" t="n">
        <x:v>0.05277777777777778</x:v>
      </x:c>
      <x:c r="I1057" s="32" t="n">
        <x:f>ROUND((H1057-G1057)*1440,0)</x:f>
        <x:v>5</x:v>
      </x:c>
      <x:c r="J1057" s="13" t="str">
        <x:v>Проект — заключительная попытка</x:v>
      </x:c>
      <x:c r="K1057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057" s="13" t="str">
        <x:v>☐ Не начато</x:v>
      </x:c>
      <x:c r="M1057" s="13" t="str">
        <x:v>Обязательно</x:v>
      </x:c>
      <x:c r="N1057" s="13" t="str">
        <x:v>RPE 8, с запасом</x:v>
      </x:c>
      <x:c r="O1057" s="13" t="str">
        <x:v>Плечо: широкая компрессия, gaston и силовой press — зона особой осторожности; при боли сразу убрать движение.</x:v>
      </x:c>
      <x:c r="P1057" s="13" t="str">
        <x:v>milestone_04_grip_literacy_strength/week_15_2026-12-14/04_THURSDAY.md</x:v>
      </x:c>
      <x:c r="Q1057" s="138" t="str">
        <x:v>Markdown</x:v>
      </x:c>
      <x:c r="R1057" s="20" t="str"/>
    </x:row>
    <x:row r="1058" ht="36" customHeight="1">
      <x:c r="A1058" s="19" t="str">
        <x:v>W15-20261217-1057</x:v>
      </x:c>
      <x:c r="B1058" s="13" t="n">
        <x:v>15</x:v>
      </x:c>
      <x:c r="C1058" s="13" t="str">
        <x:v>Этап 4 — Типы хвата и специфическая сила пальцев</x:v>
      </x:c>
      <x:c r="D1058" s="138" t="str">
        <x:v>2026-12-17</x:v>
      </x:c>
      <x:c r="E1058" s="13" t="str">
        <x:v>Четверг</x:v>
      </x:c>
      <x:c r="F1058" s="13" t="str">
        <x:v>Тренировка B — пальцы/проект</x:v>
      </x:c>
      <x:c r="G1058" s="44" t="n">
        <x:v>0.05277777777777778</x:v>
      </x:c>
      <x:c r="H1058" s="44" t="n">
        <x:v>0.05763888888888889</x:v>
      </x:c>
      <x:c r="I1058" s="32" t="n">
        <x:f>ROUND((H1058-G1058)*1440,0)</x:f>
        <x:v>7</x:v>
      </x:c>
      <x:c r="J1058" s="13" t="str">
        <x:v>Вторичная трасса</x:v>
      </x:c>
      <x:c r="K1058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058" s="13" t="str">
        <x:v>☐ Не начато</x:v>
      </x:c>
      <x:c r="M1058" s="13" t="str">
        <x:v>Обязательно</x:v>
      </x:c>
      <x:c r="N1058" s="13" t="str">
        <x:v>RPE 5–7</x:v>
      </x:c>
      <x:c r="O1058" s="13" t="str">
        <x:v>Пропустить, если хват уже просел.</x:v>
      </x:c>
      <x:c r="P1058" s="13" t="str">
        <x:v>milestone_04_grip_literacy_strength/week_15_2026-12-14/04_THURSDAY.md</x:v>
      </x:c>
      <x:c r="Q1058" s="138" t="str">
        <x:v>Markdown</x:v>
      </x:c>
      <x:c r="R1058" s="20" t="str"/>
    </x:row>
    <x:row r="1059" ht="36" customHeight="1">
      <x:c r="A1059" s="19" t="str">
        <x:v>W15-20261217-1058</x:v>
      </x:c>
      <x:c r="B1059" s="13" t="n">
        <x:v>15</x:v>
      </x:c>
      <x:c r="C1059" s="13" t="str">
        <x:v>Этап 4 — Типы хвата и специфическая сила пальцев</x:v>
      </x:c>
      <x:c r="D1059" s="138" t="str">
        <x:v>2026-12-17</x:v>
      </x:c>
      <x:c r="E1059" s="13" t="str">
        <x:v>Четверг</x:v>
      </x:c>
      <x:c r="F1059" s="13" t="str">
        <x:v>Тренировка B — пальцы/проект</x:v>
      </x:c>
      <x:c r="G1059" s="44" t="n">
        <x:v>0.05763888888888889</x:v>
      </x:c>
      <x:c r="H1059" s="44" t="n">
        <x:v>0.06041666666666667</x:v>
      </x:c>
      <x:c r="I1059" s="32" t="n">
        <x:f>ROUND((H1059-G1059)*1440,0)</x:f>
        <x:v>4</x:v>
      </x:c>
      <x:c r="J1059" s="13" t="str">
        <x:v>Завершение</x:v>
      </x:c>
      <x:c r="K1059" s="13" t="str">
        <x:v>Очень лёгкий спуск/ходьба, вода, никаких финишных висов.</x:v>
      </x:c>
      <x:c r="L1059" s="13" t="str">
        <x:v>☐ Не начато</x:v>
      </x:c>
      <x:c r="M1059" s="13" t="str">
        <x:v>Обязательно</x:v>
      </x:c>
      <x:c r="N1059" s="13" t="str">
        <x:v>RPE 1–2</x:v>
      </x:c>
      <x:c r="O1059" s="13" t="str"/>
      <x:c r="P1059" s="13" t="str">
        <x:v>milestone_04_grip_literacy_strength/week_15_2026-12-14/04_THURSDAY.md</x:v>
      </x:c>
      <x:c r="Q1059" s="138" t="str">
        <x:v>Markdown</x:v>
      </x:c>
      <x:c r="R1059" s="20" t="str"/>
    </x:row>
    <x:row r="1060" ht="36" customHeight="1">
      <x:c r="A1060" s="19" t="str">
        <x:v>W15-20261217-1059</x:v>
      </x:c>
      <x:c r="B1060" s="13" t="n">
        <x:v>15</x:v>
      </x:c>
      <x:c r="C1060" s="13" t="str">
        <x:v>Этап 4 — Типы хвата и специфическая сила пальцев</x:v>
      </x:c>
      <x:c r="D1060" s="138" t="str">
        <x:v>2026-12-17</x:v>
      </x:c>
      <x:c r="E1060" s="13" t="str">
        <x:v>Четверг</x:v>
      </x:c>
      <x:c r="F1060" s="13" t="str">
        <x:v>Тренировка B — пальцы/проект</x:v>
      </x:c>
      <x:c r="G1060" s="44" t="n">
        <x:v>0.06041666666666667</x:v>
      </x:c>
      <x:c r="H1060" s="44" t="n">
        <x:v>0.0625</x:v>
      </x:c>
      <x:c r="I1060" s="32" t="n">
        <x:f>ROUND((H1060-G1060)*1440,0)</x:f>
        <x:v>3</x:v>
      </x:c>
      <x:c r="J1060" s="13" t="str">
        <x:v>Журнал</x:v>
      </x:c>
      <x:c r="K1060" s="13" t="str">
        <x:v>Запиши попытки, лучшую связку, одну правку и benchmark: На видео проверить, не «висит» ли плечо вперёд и не исчезают ли ноги при pinch.</x:v>
      </x:c>
      <x:c r="L1060" s="13" t="str">
        <x:v>☐ Не начато</x:v>
      </x:c>
      <x:c r="M1060" s="13" t="str">
        <x:v>Обязательно</x:v>
      </x:c>
      <x:c r="N1060" s="13" t="str">
        <x:v>Без нагрузки</x:v>
      </x:c>
      <x:c r="O1060" s="13" t="str"/>
      <x:c r="P1060" s="13" t="str">
        <x:v>milestone_04_grip_literacy_strength/week_15_2026-12-14/04_THURSDAY.md</x:v>
      </x:c>
      <x:c r="Q1060" s="138" t="str">
        <x:v>Markdown</x:v>
      </x:c>
      <x:c r="R1060" s="20" t="str"/>
    </x:row>
    <x:row r="1061" ht="36" customHeight="1">
      <x:c r="A1061" s="19" t="str">
        <x:v>W15-20261218-1060</x:v>
      </x:c>
      <x:c r="B1061" s="13" t="n">
        <x:v>15</x:v>
      </x:c>
      <x:c r="C1061" s="13" t="str">
        <x:v>Этап 4 — Типы хвата и специфическая сила пальцев</x:v>
      </x:c>
      <x:c r="D1061" s="138" t="str">
        <x:v>2026-12-18</x:v>
      </x:c>
      <x:c r="E1061" s="13" t="str">
        <x:v>Пятница</x:v>
      </x:c>
      <x:c r="F1061" s="13" t="str">
        <x:v>Дом / теория</x:v>
      </x:c>
      <x:c r="G1061" s="44" t="n">
        <x:v>0</x:v>
      </x:c>
      <x:c r="H1061" s="44" t="n">
        <x:v>0.0020833333333333333</x:v>
      </x:c>
      <x:c r="I1061" s="32" t="n">
        <x:f>ROUND((H1061-G1061)*1440,0)</x:f>
        <x:v>3</x:v>
      </x:c>
      <x:c r="J1061" s="13" t="str">
        <x:v>Самопроверка</x:v>
      </x:c>
      <x:c r="K1061" s="13" t="str">
        <x:v>Оцени утреннюю реакцию после четверга: пальцы/плечо/колено 0–10. Запиши, восстановилась ли обычная сила кисти.</x:v>
      </x:c>
      <x:c r="L1061" s="13" t="str">
        <x:v>☐ Не начато</x:v>
      </x:c>
      <x:c r="M1061" s="13" t="str">
        <x:v>Обязательно</x:v>
      </x:c>
      <x:c r="N1061" s="13" t="str">
        <x:v>Без нагрузки</x:v>
      </x:c>
      <x:c r="O1061" s="13" t="str">
        <x:v>Острая локальная боль пальца или усилившаяся боль плеча = воскресенье только восстановительное.</x:v>
      </x:c>
      <x:c r="P1061" s="13" t="str">
        <x:v>milestone_04_grip_literacy_strength/week_15_2026-12-14/05_FRIDAY.md</x:v>
      </x:c>
      <x:c r="Q1061" s="138" t="str">
        <x:v>Markdown</x:v>
      </x:c>
      <x:c r="R1061" s="20" t="str"/>
    </x:row>
    <x:row r="1062" ht="36" customHeight="1">
      <x:c r="A1062" s="19" t="str">
        <x:v>W15-20261218-1061</x:v>
      </x:c>
      <x:c r="B1062" s="13" t="n">
        <x:v>15</x:v>
      </x:c>
      <x:c r="C1062" s="13" t="str">
        <x:v>Этап 4 — Типы хвата и специфическая сила пальцев</x:v>
      </x:c>
      <x:c r="D1062" s="138" t="str">
        <x:v>2026-12-18</x:v>
      </x:c>
      <x:c r="E1062" s="13" t="str">
        <x:v>Пятница</x:v>
      </x:c>
      <x:c r="F1062" s="13" t="str">
        <x:v>Дом / теория</x:v>
      </x:c>
      <x:c r="G1062" s="44" t="n">
        <x:v>0.0020833333333333333</x:v>
      </x:c>
      <x:c r="H1062" s="44" t="n">
        <x:v>0.007638888888888889</x:v>
      </x:c>
      <x:c r="I1062" s="32" t="n">
        <x:f>ROUND((H1062-G1062)*1440,0)</x:f>
        <x:v>8</x:v>
      </x:c>
      <x:c r="J1062" s="13" t="str">
        <x:v>Теория</x:v>
      </x:c>
      <x:c r="K1062" s="13" t="str">
        <x:v>Пересмотри ключевой фрагмент ресурса недели: [R16: Berta Block — Mastering the Basics](https://www.bertablock.de/mastering-the-basics). Задача: Курс про центр массы, чтение трасс и движения без продавливания силой; проверить даты и уровень.</x:v>
      </x:c>
      <x:c r="L1062" s="13" t="str">
        <x:v>☐ Не начато</x:v>
      </x:c>
      <x:c r="M1062" s="13" t="str">
        <x:v>Обязательно</x:v>
      </x:c>
      <x:c r="N1062" s="13" t="str">
        <x:v>Без нагрузки</x:v>
      </x:c>
      <x:c r="O1062" s="13" t="str"/>
      <x:c r="P1062" s="13" t="str">
        <x:v>milestone_04_grip_literacy_strength/week_15_2026-12-14/05_FRIDAY.md</x:v>
      </x:c>
      <x:c r="Q1062" s="138" t="str">
        <x:v>Markdown</x:v>
      </x:c>
      <x:c r="R1062" s="20" t="str"/>
    </x:row>
    <x:row r="1063" ht="36" customHeight="1">
      <x:c r="A1063" s="19" t="str">
        <x:v>W15-20261218-1062</x:v>
      </x:c>
      <x:c r="B1063" s="13" t="n">
        <x:v>15</x:v>
      </x:c>
      <x:c r="C1063" s="13" t="str">
        <x:v>Этап 4 — Типы хвата и специфическая сила пальцев</x:v>
      </x:c>
      <x:c r="D1063" s="138" t="str">
        <x:v>2026-12-18</x:v>
      </x:c>
      <x:c r="E1063" s="13" t="str">
        <x:v>Пятница</x:v>
      </x:c>
      <x:c r="F1063" s="13" t="str">
        <x:v>Дом / теория</x:v>
      </x:c>
      <x:c r="G1063" s="44" t="n">
        <x:v>0.007638888888888889</x:v>
      </x:c>
      <x:c r="H1063" s="44" t="n">
        <x:v>0.011805555555555555</x:v>
      </x:c>
      <x:c r="I1063" s="32" t="n">
        <x:f>ROUND((H1063-G1063)*1440,0)</x:f>
        <x:v>6</x:v>
      </x:c>
      <x:c r="J1063" s="13" t="str">
        <x:v>Ментальная репетиция</x:v>
      </x:c>
      <x:c r="K1063" s="13" t="str">
        <x:v>Закрой глаза и 3 раза мысленно пройди одну рабочую трассу: руки → ноги → положение таза → дыхание. Визуализируй cue «Большой палец создаёт противодавление, но основную экономию всё равно даёт положение ног и таза.».</x:v>
      </x:c>
      <x:c r="L1063" s="13" t="str">
        <x:v>☐ Не начато</x:v>
      </x:c>
      <x:c r="M1063" s="13" t="str">
        <x:v>Обязательно</x:v>
      </x:c>
      <x:c r="N1063" s="13" t="str">
        <x:v>Без нагрузки</x:v>
      </x:c>
      <x:c r="O1063" s="13" t="str"/>
      <x:c r="P1063" s="13" t="str">
        <x:v>milestone_04_grip_literacy_strength/week_15_2026-12-14/05_FRIDAY.md</x:v>
      </x:c>
      <x:c r="Q1063" s="138" t="str">
        <x:v>Markdown</x:v>
      </x:c>
      <x:c r="R1063" s="20" t="str"/>
    </x:row>
    <x:row r="1064" ht="36" customHeight="1">
      <x:c r="A1064" s="19" t="str">
        <x:v>W15-20261218-1063</x:v>
      </x:c>
      <x:c r="B1064" s="13" t="n">
        <x:v>15</x:v>
      </x:c>
      <x:c r="C1064" s="13" t="str">
        <x:v>Этап 4 — Типы хвата и специфическая сила пальцев</x:v>
      </x:c>
      <x:c r="D1064" s="138" t="str">
        <x:v>2026-12-18</x:v>
      </x:c>
      <x:c r="E1064" s="13" t="str">
        <x:v>Пятница</x:v>
      </x:c>
      <x:c r="F1064" s="13" t="str">
        <x:v>Дом / теория</x:v>
      </x:c>
      <x:c r="G1064" s="44" t="n">
        <x:v>0.011805555555555555</x:v>
      </x:c>
      <x:c r="H1064" s="44" t="n">
        <x:v>0.02013888888888889</x:v>
      </x:c>
      <x:c r="I1064" s="32" t="n">
        <x:f>ROUND((H1064-G1064)*1440,0)</x:f>
        <x:v>12</x:v>
      </x:c>
      <x:c r="J1064" s="13" t="str">
        <x:v>Домашняя мобильность</x:v>
      </x:c>
      <x:c r="K1064" s="13" t="str">
        <x:v>Выполни H3 «Мобильность таза и контроль корпуса» — 12 минут.</x:v>
      </x:c>
      <x:c r="L1064" s="13" t="str">
        <x:v>☐ Не начато</x:v>
      </x:c>
      <x:c r="M1064" s="13" t="str">
        <x:v>Обязательно</x:v>
      </x:c>
      <x:c r="N1064" s="13" t="str">
        <x:v>RPE 2–3</x:v>
      </x:c>
      <x:c r="O1064" s="13" t="str">
        <x:v>Никаких скручиваний через боль. Плечом не отталкивайся от стены; касание только для равновесия.</x:v>
      </x:c>
      <x:c r="P1064" s="13" t="str">
        <x:v>milestone_04_grip_literacy_strength/week_15_2026-12-14/05_FRIDAY.md</x:v>
      </x:c>
      <x:c r="Q1064" s="138" t="str">
        <x:v>Markdown</x:v>
      </x:c>
      <x:c r="R1064" s="20" t="str"/>
    </x:row>
    <x:row r="1065" ht="36" customHeight="1">
      <x:c r="A1065" s="19" t="str">
        <x:v>W15-20261218-1064</x:v>
      </x:c>
      <x:c r="B1065" s="13" t="n">
        <x:v>15</x:v>
      </x:c>
      <x:c r="C1065" s="13" t="str">
        <x:v>Этап 4 — Типы хвата и специфическая сила пальцев</x:v>
      </x:c>
      <x:c r="D1065" s="138" t="str">
        <x:v>2026-12-18</x:v>
      </x:c>
      <x:c r="E1065" s="13" t="str">
        <x:v>Пятница</x:v>
      </x:c>
      <x:c r="F1065" s="13" t="str">
        <x:v>Дом / теория</x:v>
      </x:c>
      <x:c r="G1065" s="44" t="n">
        <x:v>0.02013888888888889</x:v>
      </x:c>
      <x:c r="H1065" s="44" t="n">
        <x:v>0.034027777777777775</x:v>
      </x:c>
      <x:c r="I1065" s="32" t="n">
        <x:f>ROUND((H1065-G1065)*1440,0)</x:f>
        <x:v>20</x:v>
      </x:c>
      <x:c r="J1065" s="13" t="str">
        <x:v>Физиотерапия</x:v>
      </x:c>
      <x:c r="K1065" s="13" t="str">
        <x:v>Выполни свой назначенный комплекс, если пятница входит в расписание физиотерапевта.</x:v>
      </x:c>
      <x:c r="L1065" s="13" t="str">
        <x:v>☐ Не начато</x:v>
      </x:c>
      <x:c r="M1065" s="13" t="str">
        <x:v>По назначению</x:v>
      </x:c>
      <x:c r="N1065" s="13" t="str">
        <x:v>По назначению</x:v>
      </x:c>
      <x:c r="O1065" s="13" t="str">
        <x:v>Не добавляй упражнения из интернета поверх назначений.</x:v>
      </x:c>
      <x:c r="P1065" s="13" t="str">
        <x:v>milestone_04_grip_literacy_strength/week_15_2026-12-14/05_FRIDAY.md</x:v>
      </x:c>
      <x:c r="Q1065" s="138" t="str">
        <x:v>Markdown</x:v>
      </x:c>
      <x:c r="R1065" s="20" t="str"/>
    </x:row>
    <x:row r="1066" ht="36" customHeight="1">
      <x:c r="A1066" s="19" t="str">
        <x:v>W15-20261218-1065</x:v>
      </x:c>
      <x:c r="B1066" s="13" t="n">
        <x:v>15</x:v>
      </x:c>
      <x:c r="C1066" s="13" t="str">
        <x:v>Этап 4 — Типы хвата и специфическая сила пальцев</x:v>
      </x:c>
      <x:c r="D1066" s="138" t="str">
        <x:v>2026-12-18</x:v>
      </x:c>
      <x:c r="E1066" s="13" t="str">
        <x:v>Пятница</x:v>
      </x:c>
      <x:c r="F1066" s="13" t="str">
        <x:v>Дом / теория</x:v>
      </x:c>
      <x:c r="G1066" s="44" t="n">
        <x:v>0.034027777777777775</x:v>
      </x:c>
      <x:c r="H1066" s="44" t="n">
        <x:v>0.03680555555555556</x:v>
      </x:c>
      <x:c r="I1066" s="32" t="n">
        <x:f>ROUND((H1066-G1066)*1440,0)</x:f>
        <x:v>4</x:v>
      </x:c>
      <x:c r="J1066" s="13" t="str">
        <x:v>Журнал</x:v>
      </x:c>
      <x:c r="K1066" s="13" t="str">
        <x:v>Запиши одну вещь, которая сработала на этой неделе, и одну, которую повторишь в воскресенье на лёгкой трассе.</x:v>
      </x:c>
      <x:c r="L1066" s="13" t="str">
        <x:v>☐ Не начато</x:v>
      </x:c>
      <x:c r="M1066" s="13" t="str">
        <x:v>Обязательно</x:v>
      </x:c>
      <x:c r="N1066" s="13" t="str">
        <x:v>Без нагрузки</x:v>
      </x:c>
      <x:c r="O1066" s="13" t="str"/>
      <x:c r="P1066" s="13" t="str">
        <x:v>milestone_04_grip_literacy_strength/week_15_2026-12-14/05_FRIDAY.md</x:v>
      </x:c>
      <x:c r="Q1066" s="138" t="str">
        <x:v>Markdown</x:v>
      </x:c>
      <x:c r="R1066" s="20" t="str"/>
    </x:row>
    <x:row r="1067" ht="36" customHeight="1">
      <x:c r="A1067" s="19" t="str">
        <x:v>W15-20261218-1066</x:v>
      </x:c>
      <x:c r="B1067" s="13" t="n">
        <x:v>15</x:v>
      </x:c>
      <x:c r="C1067" s="13" t="str">
        <x:v>Этап 4 — Типы хвата и специфическая сила пальцев</x:v>
      </x:c>
      <x:c r="D1067" s="138" t="str">
        <x:v>2026-12-18</x:v>
      </x:c>
      <x:c r="E1067" s="13" t="str">
        <x:v>Пятница</x:v>
      </x:c>
      <x:c r="F1067" s="13" t="str">
        <x:v>Дом / теория</x:v>
      </x:c>
      <x:c r="G1067" s="44" t="n">
        <x:v>0.03680555555555556</x:v>
      </x:c>
      <x:c r="H1067" s="44" t="n">
        <x:v>0.03888888888888889</x:v>
      </x:c>
      <x:c r="I1067" s="32" t="n">
        <x:f>ROUND((H1067-G1067)*1440,0)</x:f>
        <x:v>3</x:v>
      </x:c>
      <x:c r="J1067" s="13" t="str">
        <x:v>Запрет лишней нагрузки</x:v>
      </x:c>
      <x:c r="K1067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067" s="13" t="str">
        <x:v>☐ Не начато</x:v>
      </x:c>
      <x:c r="M1067" s="13" t="str">
        <x:v>Обязательно</x:v>
      </x:c>
      <x:c r="N1067" s="13" t="str">
        <x:v>Восстановление</x:v>
      </x:c>
      <x:c r="O1067" s="13" t="str">
        <x:v>Общая пальцевая нагрузка уже получена в четверг.</x:v>
      </x:c>
      <x:c r="P1067" s="13" t="str">
        <x:v>milestone_04_grip_literacy_strength/week_15_2026-12-14/05_FRIDAY.md</x:v>
      </x:c>
      <x:c r="Q1067" s="138" t="str">
        <x:v>Markdown</x:v>
      </x:c>
      <x:c r="R1067" s="20" t="str"/>
    </x:row>
    <x:row r="1068" ht="36" customHeight="1">
      <x:c r="A1068" s="19" t="str">
        <x:v>W15-20261219-1067</x:v>
      </x:c>
      <x:c r="B1068" s="13" t="n">
        <x:v>15</x:v>
      </x:c>
      <x:c r="C1068" s="13" t="str">
        <x:v>Этап 4 — Типы хвата и специфическая сила пальцев</x:v>
      </x:c>
      <x:c r="D1068" s="138" t="str">
        <x:v>2026-12-19</x:v>
      </x:c>
      <x:c r="E1068" s="13" t="str">
        <x:v>Суббота</x:v>
      </x:c>
      <x:c r="F1068" s="13" t="str">
        <x:v>Отдых / подготовка</x:v>
      </x:c>
      <x:c r="G1068" s="44" t="n">
        <x:v>0</x:v>
      </x:c>
      <x:c r="H1068" s="44" t="n">
        <x:v>0.003472222222222222</x:v>
      </x:c>
      <x:c r="I1068" s="32" t="n">
        <x:f>ROUND((H1068-G1068)*1440,0)</x:f>
        <x:v>5</x:v>
      </x:c>
      <x:c r="J1068" s="13" t="str">
        <x:v>Самопроверка</x:v>
      </x:c>
      <x:c r="K1068" s="13" t="str">
        <x:v>Проверь кожу пальцев, ногти, плечо и колено. Никаких тестовых висов.</x:v>
      </x:c>
      <x:c r="L1068" s="13" t="str">
        <x:v>☐ Не начато</x:v>
      </x:c>
      <x:c r="M1068" s="13" t="str">
        <x:v>Обязательно</x:v>
      </x:c>
      <x:c r="N1068" s="13" t="str">
        <x:v>Восстановление</x:v>
      </x:c>
      <x:c r="O1068" s="13" t="str"/>
      <x:c r="P1068" s="13" t="str">
        <x:v>milestone_04_grip_literacy_strength/week_15_2026-12-14/06_SATURDAY.md</x:v>
      </x:c>
      <x:c r="Q1068" s="138" t="str">
        <x:v>Markdown</x:v>
      </x:c>
      <x:c r="R1068" s="20" t="str"/>
    </x:row>
    <x:row r="1069" ht="36" customHeight="1">
      <x:c r="A1069" s="19" t="str">
        <x:v>W15-20261219-1068</x:v>
      </x:c>
      <x:c r="B1069" s="13" t="n">
        <x:v>15</x:v>
      </x:c>
      <x:c r="C1069" s="13" t="str">
        <x:v>Этап 4 — Типы хвата и специфическая сила пальцев</x:v>
      </x:c>
      <x:c r="D1069" s="138" t="str">
        <x:v>2026-12-19</x:v>
      </x:c>
      <x:c r="E1069" s="13" t="str">
        <x:v>Суббота</x:v>
      </x:c>
      <x:c r="F1069" s="13" t="str">
        <x:v>Отдых / подготовка</x:v>
      </x:c>
      <x:c r="G1069" s="44" t="n">
        <x:v>0.003472222222222222</x:v>
      </x:c>
      <x:c r="H1069" s="44" t="n">
        <x:v>0.010416666666666666</x:v>
      </x:c>
      <x:c r="I1069" s="32" t="n">
        <x:f>ROUND((H1069-G1069)*1440,0)</x:f>
        <x:v>10</x:v>
      </x:c>
      <x:c r="J1069" s="13" t="str">
        <x:v>Активное восстановление</x:v>
      </x:c>
      <x:c r="K1069" s="13" t="str">
        <x:v>10 минут лёгкой прогулки или бытовой активности. Цель — восстановление, не тренировка.</x:v>
      </x:c>
      <x:c r="L1069" s="13" t="str">
        <x:v>☐ Не начато</x:v>
      </x:c>
      <x:c r="M1069" s="13" t="str">
        <x:v>Обязательно</x:v>
      </x:c>
      <x:c r="N1069" s="13" t="str">
        <x:v>RPE 1–2</x:v>
      </x:c>
      <x:c r="O1069" s="13" t="str"/>
      <x:c r="P1069" s="13" t="str">
        <x:v>milestone_04_grip_literacy_strength/week_15_2026-12-14/06_SATURDAY.md</x:v>
      </x:c>
      <x:c r="Q1069" s="138" t="str">
        <x:v>Markdown</x:v>
      </x:c>
      <x:c r="R1069" s="20" t="str"/>
    </x:row>
    <x:row r="1070" ht="36" customHeight="1">
      <x:c r="A1070" s="19" t="str">
        <x:v>W15-20261219-1069</x:v>
      </x:c>
      <x:c r="B1070" s="13" t="n">
        <x:v>15</x:v>
      </x:c>
      <x:c r="C1070" s="13" t="str">
        <x:v>Этап 4 — Типы хвата и специфическая сила пальцев</x:v>
      </x:c>
      <x:c r="D1070" s="138" t="str">
        <x:v>2026-12-19</x:v>
      </x:c>
      <x:c r="E1070" s="13" t="str">
        <x:v>Суббота</x:v>
      </x:c>
      <x:c r="F1070" s="13" t="str">
        <x:v>Отдых / подготовка</x:v>
      </x:c>
      <x:c r="G1070" s="44" t="n">
        <x:v>0.010416666666666666</x:v>
      </x:c>
      <x:c r="H1070" s="44" t="n">
        <x:v>0.013888888888888888</x:v>
      </x:c>
      <x:c r="I1070" s="32" t="n">
        <x:f>ROUND((H1070-G1070)*1440,0)</x:f>
        <x:v>5</x:v>
      </x:c>
      <x:c r="J1070" s="13" t="str">
        <x:v>Уход за кожей</x:v>
      </x:c>
      <x:c r="K1070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070" s="13" t="str">
        <x:v>☐ Не начато</x:v>
      </x:c>
      <x:c r="M1070" s="13" t="str">
        <x:v>Опционально</x:v>
      </x:c>
      <x:c r="N1070" s="13" t="str">
        <x:v>Без нагрузки</x:v>
      </x:c>
      <x:c r="O1070" s="13" t="str">
        <x:v>Повреждённую/болезненную кожу не шлифовать.</x:v>
      </x:c>
      <x:c r="P1070" s="13" t="str">
        <x:v>milestone_04_grip_literacy_strength/week_15_2026-12-14/06_SATURDAY.md</x:v>
      </x:c>
      <x:c r="Q1070" s="138" t="str">
        <x:v>Markdown</x:v>
      </x:c>
      <x:c r="R1070" s="20" t="str"/>
    </x:row>
    <x:row r="1071" ht="36" customHeight="1">
      <x:c r="A1071" s="19" t="str">
        <x:v>W15-20261219-1070</x:v>
      </x:c>
      <x:c r="B1071" s="13" t="n">
        <x:v>15</x:v>
      </x:c>
      <x:c r="C1071" s="13" t="str">
        <x:v>Этап 4 — Типы хвата и специфическая сила пальцев</x:v>
      </x:c>
      <x:c r="D1071" s="138" t="str">
        <x:v>2026-12-19</x:v>
      </x:c>
      <x:c r="E1071" s="13" t="str">
        <x:v>Суббота</x:v>
      </x:c>
      <x:c r="F1071" s="13" t="str">
        <x:v>Отдых / подготовка</x:v>
      </x:c>
      <x:c r="G1071" s="44" t="n">
        <x:v>0.013888888888888888</x:v>
      </x:c>
      <x:c r="H1071" s="44" t="n">
        <x:v>0.016666666666666666</x:v>
      </x:c>
      <x:c r="I1071" s="32" t="n">
        <x:f>ROUND((H1071-G1071)*1440,0)</x:f>
        <x:v>4</x:v>
      </x:c>
      <x:c r="J1071" s="13" t="str">
        <x:v>Подготовка</x:v>
      </x:c>
      <x:c r="K1071" s="13" t="str">
        <x:v>Заряди телефон, освободи память для одного видео, положи щётку и магнезию.</x:v>
      </x:c>
      <x:c r="L1071" s="13" t="str">
        <x:v>☐ Не начато</x:v>
      </x:c>
      <x:c r="M1071" s="13" t="str">
        <x:v>Обязательно</x:v>
      </x:c>
      <x:c r="N1071" s="13" t="str">
        <x:v>Без нагрузки</x:v>
      </x:c>
      <x:c r="O1071" s="13" t="str"/>
      <x:c r="P1071" s="13" t="str">
        <x:v>milestone_04_grip_literacy_strength/week_15_2026-12-14/06_SATURDAY.md</x:v>
      </x:c>
      <x:c r="Q1071" s="138" t="str">
        <x:v>Markdown</x:v>
      </x:c>
      <x:c r="R1071" s="20" t="str"/>
    </x:row>
    <x:row r="1072" ht="36" customHeight="1">
      <x:c r="A1072" s="19" t="str">
        <x:v>W15-20261219-1071</x:v>
      </x:c>
      <x:c r="B1072" s="13" t="n">
        <x:v>15</x:v>
      </x:c>
      <x:c r="C1072" s="13" t="str">
        <x:v>Этап 4 — Типы хвата и специфическая сила пальцев</x:v>
      </x:c>
      <x:c r="D1072" s="138" t="str">
        <x:v>2026-12-19</x:v>
      </x:c>
      <x:c r="E1072" s="13" t="str">
        <x:v>Суббота</x:v>
      </x:c>
      <x:c r="F1072" s="13" t="str">
        <x:v>Отдых / подготовка</x:v>
      </x:c>
      <x:c r="G1072" s="44" t="n">
        <x:v>0.016666666666666666</x:v>
      </x:c>
      <x:c r="H1072" s="44" t="n">
        <x:v>0.01875</x:v>
      </x:c>
      <x:c r="I1072" s="32" t="n">
        <x:f>ROUND((H1072-G1072)*1440,0)</x:f>
        <x:v>3</x:v>
      </x:c>
      <x:c r="J1072" s="13" t="str">
        <x:v>План воскресенья</x:v>
      </x:c>
      <x:c r="K1072" s="13" t="str">
        <x:v>Выбери заранее одну лёгкую трассу под тему «Pinch и объёмы». Воскресенье остаётся развлечением, не третьим тяжёлым днём.</x:v>
      </x:c>
      <x:c r="L1072" s="13" t="str">
        <x:v>☐ Не начато</x:v>
      </x:c>
      <x:c r="M1072" s="13" t="str">
        <x:v>Обязательно</x:v>
      </x:c>
      <x:c r="N1072" s="13" t="str">
        <x:v>Без нагрузки</x:v>
      </x:c>
      <x:c r="O1072" s="13" t="str"/>
      <x:c r="P1072" s="13" t="str">
        <x:v>milestone_04_grip_literacy_strength/week_15_2026-12-14/06_SATURDAY.md</x:v>
      </x:c>
      <x:c r="Q1072" s="138" t="str">
        <x:v>Markdown</x:v>
      </x:c>
      <x:c r="R1072" s="20" t="str"/>
    </x:row>
    <x:row r="1073" ht="36" customHeight="1">
      <x:c r="A1073" s="19" t="str">
        <x:v>W15-20261219-1072</x:v>
      </x:c>
      <x:c r="B1073" s="13" t="n">
        <x:v>15</x:v>
      </x:c>
      <x:c r="C1073" s="13" t="str">
        <x:v>Этап 4 — Типы хвата и специфическая сила пальцев</x:v>
      </x:c>
      <x:c r="D1073" s="138" t="str">
        <x:v>2026-12-19</x:v>
      </x:c>
      <x:c r="E1073" s="13" t="str">
        <x:v>Суббота</x:v>
      </x:c>
      <x:c r="F1073" s="13" t="str">
        <x:v>Отдых / подготовка</x:v>
      </x:c>
      <x:c r="G1073" s="44" t="n">
        <x:v>0.01875</x:v>
      </x:c>
      <x:c r="H1073" s="44" t="n">
        <x:v>0.020833333333333332</x:v>
      </x:c>
      <x:c r="I1073" s="32" t="n">
        <x:f>ROUND((H1073-G1073)*1440,0)</x:f>
        <x:v>3</x:v>
      </x:c>
      <x:c r="J1073" s="13" t="str">
        <x:v>Сон / восстановление</x:v>
      </x:c>
      <x:c r="K1073" s="13" t="str">
        <x:v>Запланируй обычный сон и нормальный приём пищи; не пытайся «разбудить хват» вечером.</x:v>
      </x:c>
      <x:c r="L1073" s="13" t="str">
        <x:v>☐ Не начато</x:v>
      </x:c>
      <x:c r="M1073" s="13" t="str">
        <x:v>Обязательно</x:v>
      </x:c>
      <x:c r="N1073" s="13" t="str">
        <x:v>Восстановление</x:v>
      </x:c>
      <x:c r="O1073" s="13" t="str"/>
      <x:c r="P1073" s="13" t="str">
        <x:v>milestone_04_grip_literacy_strength/week_15_2026-12-14/06_SATURDAY.md</x:v>
      </x:c>
      <x:c r="Q1073" s="138" t="str">
        <x:v>Markdown</x:v>
      </x:c>
      <x:c r="R1073" s="20" t="str"/>
    </x:row>
    <x:row r="1074" ht="36" customHeight="1">
      <x:c r="A1074" s="19" t="str">
        <x:v>W15-20261220-1073</x:v>
      </x:c>
      <x:c r="B1074" s="13" t="n">
        <x:v>15</x:v>
      </x:c>
      <x:c r="C1074" s="13" t="str">
        <x:v>Этап 4 — Типы хвата и специфическая сила пальцев</x:v>
      </x:c>
      <x:c r="D1074" s="138" t="str">
        <x:v>2026-12-20</x:v>
      </x:c>
      <x:c r="E1074" s="13" t="str">
        <x:v>Воскресенье</x:v>
      </x:c>
      <x:c r="F1074" s="13" t="str">
        <x:v>Тренировка C — fun / опционально</x:v>
      </x:c>
      <x:c r="G1074" s="44" t="n">
        <x:v>0</x:v>
      </x:c>
      <x:c r="H1074" s="44" t="n">
        <x:v>0.0020833333333333333</x:v>
      </x:c>
      <x:c r="I1074" s="32" t="n">
        <x:f>ROUND((H1074-G1074)*1440,0)</x:f>
        <x:v>3</x:v>
      </x:c>
      <x:c r="J1074" s="13" t="str">
        <x:v>Выбор сценария</x:v>
      </x:c>
      <x:c r="K1074" s="13" t="str">
        <x:v>Выбери один сценарий: (A) fun-сессия 75 минут в зале или (B) восстановительный день дома 25 минут. Не выполнять оба.</x:v>
      </x:c>
      <x:c r="L1074" s="13" t="str">
        <x:v>☐ Не начато</x:v>
      </x:c>
      <x:c r="M1074" s="13" t="str">
        <x:v>Выбрать один сценарий</x:v>
      </x:c>
      <x:c r="N1074" s="13" t="str">
        <x:v>По состоянию</x:v>
      </x:c>
      <x:c r="O1074" s="13" t="str"/>
      <x:c r="P1074" s="13" t="str">
        <x:v>milestone_04_grip_literacy_strength/week_15_2026-12-14/07_SUNDAY.md</x:v>
      </x:c>
      <x:c r="Q1074" s="138" t="str">
        <x:v>Markdown</x:v>
      </x:c>
      <x:c r="R1074" s="20" t="str"/>
    </x:row>
    <x:row r="1075" ht="36" customHeight="1">
      <x:c r="A1075" s="19" t="str">
        <x:v>W15-20261220-1074</x:v>
      </x:c>
      <x:c r="B1075" s="13" t="n">
        <x:v>15</x:v>
      </x:c>
      <x:c r="C1075" s="13" t="str">
        <x:v>Этап 4 — Типы хвата и специфическая сила пальцев</x:v>
      </x:c>
      <x:c r="D1075" s="138" t="str">
        <x:v>2026-12-20</x:v>
      </x:c>
      <x:c r="E1075" s="13" t="str">
        <x:v>Воскресенье</x:v>
      </x:c>
      <x:c r="F1075" s="13" t="str">
        <x:v>Тренировка C — fun / опционально</x:v>
      </x:c>
      <x:c r="G1075" s="44" t="n">
        <x:v>0.0020833333333333333</x:v>
      </x:c>
      <x:c r="H1075" s="44" t="n">
        <x:v>0.005555555555555556</x:v>
      </x:c>
      <x:c r="I1075" s="32" t="n">
        <x:f>ROUND((H1075-G1075)*1440,0)</x:f>
        <x:v>5</x:v>
      </x:c>
      <x:c r="J1075" s="13" t="str">
        <x:v>Разминка A</x:v>
      </x:c>
      <x:c r="K1075" s="13" t="str">
        <x:v>Если идёшь в зал: 5 минут поднятия температуры.</x:v>
      </x:c>
      <x:c r="L1075" s="13" t="str">
        <x:v>☐ Не начато</x:v>
      </x:c>
      <x:c r="M1075" s="13" t="str">
        <x:v>Опционально</x:v>
      </x:c>
      <x:c r="N1075" s="13" t="str">
        <x:v>RPE 2–3</x:v>
      </x:c>
      <x:c r="O1075" s="13" t="str"/>
      <x:c r="P1075" s="13" t="str">
        <x:v>milestone_04_grip_literacy_strength/week_15_2026-12-14/07_SUNDAY.md</x:v>
      </x:c>
      <x:c r="Q1075" s="138" t="str">
        <x:v>Markdown</x:v>
      </x:c>
      <x:c r="R1075" s="20" t="str"/>
    </x:row>
    <x:row r="1076" ht="36" customHeight="1">
      <x:c r="A1076" s="19" t="str">
        <x:v>W15-20261220-1075</x:v>
      </x:c>
      <x:c r="B1076" s="13" t="n">
        <x:v>15</x:v>
      </x:c>
      <x:c r="C1076" s="13" t="str">
        <x:v>Этап 4 — Типы хвата и специфическая сила пальцев</x:v>
      </x:c>
      <x:c r="D1076" s="138" t="str">
        <x:v>2026-12-20</x:v>
      </x:c>
      <x:c r="E1076" s="13" t="str">
        <x:v>Воскресенье</x:v>
      </x:c>
      <x:c r="F1076" s="13" t="str">
        <x:v>Тренировка C — fun / опционально</x:v>
      </x:c>
      <x:c r="G1076" s="44" t="n">
        <x:v>0.005555555555555556</x:v>
      </x:c>
      <x:c r="H1076" s="44" t="n">
        <x:v>0.009027777777777777</x:v>
      </x:c>
      <x:c r="I1076" s="32" t="n">
        <x:f>ROUND((H1076-G1076)*1440,0)</x:f>
        <x:v>5</x:v>
      </x:c>
      <x:c r="J1076" s="13" t="str">
        <x:v>Разминка A</x:v>
      </x:c>
      <x:c r="K1076" s="13" t="str">
        <x:v>Динамическая суставная разминка в безболезненном диапазоне; без отжиманий/press.</x:v>
      </x:c>
      <x:c r="L1076" s="13" t="str">
        <x:v>☐ Не начато</x:v>
      </x:c>
      <x:c r="M1076" s="13" t="str">
        <x:v>Опционально</x:v>
      </x:c>
      <x:c r="N1076" s="13" t="str">
        <x:v>Очень легко</x:v>
      </x:c>
      <x:c r="O1076" s="13" t="str">
        <x:v>Плечо: широкая компрессия, gaston и силовой press — зона особой осторожности; при боли сразу убрать движение.</x:v>
      </x:c>
      <x:c r="P1076" s="13" t="str">
        <x:v>milestone_04_grip_literacy_strength/week_15_2026-12-14/07_SUNDAY.md</x:v>
      </x:c>
      <x:c r="Q1076" s="138" t="str">
        <x:v>Markdown</x:v>
      </x:c>
      <x:c r="R1076" s="20" t="str"/>
    </x:row>
    <x:row r="1077" ht="36" customHeight="1">
      <x:c r="A1077" s="19" t="str">
        <x:v>W15-20261220-1076</x:v>
      </x:c>
      <x:c r="B1077" s="13" t="n">
        <x:v>15</x:v>
      </x:c>
      <x:c r="C1077" s="13" t="str">
        <x:v>Этап 4 — Типы хвата и специфическая сила пальцев</x:v>
      </x:c>
      <x:c r="D1077" s="138" t="str">
        <x:v>2026-12-20</x:v>
      </x:c>
      <x:c r="E1077" s="13" t="str">
        <x:v>Воскресенье</x:v>
      </x:c>
      <x:c r="F1077" s="13" t="str">
        <x:v>Тренировка C — fun / опционально</x:v>
      </x:c>
      <x:c r="G1077" s="44" t="n">
        <x:v>0.009027777777777777</x:v>
      </x:c>
      <x:c r="H1077" s="44" t="n">
        <x:v>0.013888888888888888</x:v>
      </x:c>
      <x:c r="I1077" s="32" t="n">
        <x:f>ROUND((H1077-G1077)*1440,0)</x:f>
        <x:v>7</x:v>
      </x:c>
      <x:c r="J1077" s="13" t="str">
        <x:v>Лёгкое лазание A</x:v>
      </x:c>
      <x:c r="K1077" s="13" t="str">
        <x:v>3 очень лёгкие трассы 1–3 с постепенным увеличением сложности.</x:v>
      </x:c>
      <x:c r="L1077" s="13" t="str">
        <x:v>☐ Не начато</x:v>
      </x:c>
      <x:c r="M1077" s="13" t="str">
        <x:v>Опционально</x:v>
      </x:c>
      <x:c r="N1077" s="13" t="str">
        <x:v>RPE 2–4</x:v>
      </x:c>
      <x:c r="O1077" s="13" t="str"/>
      <x:c r="P1077" s="13" t="str">
        <x:v>milestone_04_grip_literacy_strength/week_15_2026-12-14/07_SUNDAY.md</x:v>
      </x:c>
      <x:c r="Q1077" s="138" t="str">
        <x:v>Markdown</x:v>
      </x:c>
      <x:c r="R1077" s="20" t="str"/>
    </x:row>
    <x:row r="1078" ht="36" customHeight="1">
      <x:c r="A1078" s="19" t="str">
        <x:v>W15-20261220-1077</x:v>
      </x:c>
      <x:c r="B1078" s="13" t="n">
        <x:v>15</x:v>
      </x:c>
      <x:c r="C1078" s="13" t="str">
        <x:v>Этап 4 — Типы хвата и специфическая сила пальцев</x:v>
      </x:c>
      <x:c r="D1078" s="138" t="str">
        <x:v>2026-12-20</x:v>
      </x:c>
      <x:c r="E1078" s="13" t="str">
        <x:v>Воскресенье</x:v>
      </x:c>
      <x:c r="F1078" s="13" t="str">
        <x:v>Тренировка C — fun / опционально</x:v>
      </x:c>
      <x:c r="G1078" s="44" t="n">
        <x:v>0.013888888888888888</x:v>
      </x:c>
      <x:c r="H1078" s="44" t="n">
        <x:v>0.020833333333333332</x:v>
      </x:c>
      <x:c r="I1078" s="32" t="n">
        <x:f>ROUND((H1078-G1078)*1440,0)</x:f>
        <x:v>10</x:v>
      </x:c>
      <x:c r="J1078" s="13" t="str">
        <x:v>Технический праймер A</x:v>
      </x:c>
      <x:c r="K1078" s="13" t="str">
        <x:v>На одной лёгкой трассе дважды повтори «Pinch и объёмы». Критерий: Хват остаётся умеренным, а ноги не отрываются во время движения.</x:v>
      </x:c>
      <x:c r="L1078" s="13" t="str">
        <x:v>☐ Не начато</x:v>
      </x:c>
      <x:c r="M1078" s="13" t="str">
        <x:v>Опционально</x:v>
      </x:c>
      <x:c r="N1078" s="13" t="str">
        <x:v>RPE 3–4</x:v>
      </x:c>
      <x:c r="O1078" s="13" t="str">
        <x:v>Широкий gaston, силовой press и сильная компрессия — пропустить при малейшей боли плеча.</x:v>
      </x:c>
      <x:c r="P1078" s="13" t="str">
        <x:v>milestone_04_grip_literacy_strength/week_15_2026-12-14/07_SUNDAY.md</x:v>
      </x:c>
      <x:c r="Q1078" s="138" t="str">
        <x:v>Markdown</x:v>
      </x:c>
      <x:c r="R1078" s="20" t="str"/>
    </x:row>
    <x:row r="1079" ht="36" customHeight="1">
      <x:c r="A1079" s="19" t="str">
        <x:v>W15-20261220-1078</x:v>
      </x:c>
      <x:c r="B1079" s="13" t="n">
        <x:v>15</x:v>
      </x:c>
      <x:c r="C1079" s="13" t="str">
        <x:v>Этап 4 — Типы хвата и специфическая сила пальцев</x:v>
      </x:c>
      <x:c r="D1079" s="138" t="str">
        <x:v>2026-12-20</x:v>
      </x:c>
      <x:c r="E1079" s="13" t="str">
        <x:v>Воскресенье</x:v>
      </x:c>
      <x:c r="F1079" s="13" t="str">
        <x:v>Тренировка C — fun / опционально</x:v>
      </x:c>
      <x:c r="G1079" s="44" t="n">
        <x:v>0.020833333333333332</x:v>
      </x:c>
      <x:c r="H1079" s="44" t="n">
        <x:v>0.03819444444444445</x:v>
      </x:c>
      <x:c r="I1079" s="32" t="n">
        <x:f>ROUND((H1079-G1079)*1440,0)</x:f>
        <x:v>25</x:v>
      </x:c>
      <x:c r="J1079" s="13" t="str">
        <x:v>Свободное лазание A</x:v>
      </x:c>
      <x:c r="K1079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079" s="13" t="str">
        <x:v>☐ Не начато</x:v>
      </x:c>
      <x:c r="M1079" s="13" t="str">
        <x:v>Опционально</x:v>
      </x:c>
      <x:c r="N1079" s="13" t="str">
        <x:v>RPE 4–7</x:v>
      </x:c>
      <x:c r="O1079" s="13" t="str">
        <x:v>Не превращать блок в круг на выносливость.</x:v>
      </x:c>
      <x:c r="P1079" s="13" t="str">
        <x:v>milestone_04_grip_literacy_strength/week_15_2026-12-14/07_SUNDAY.md</x:v>
      </x:c>
      <x:c r="Q1079" s="138" t="str">
        <x:v>Markdown</x:v>
      </x:c>
      <x:c r="R1079" s="20" t="str"/>
    </x:row>
    <x:row r="1080" ht="36" customHeight="1">
      <x:c r="A1080" s="19" t="str">
        <x:v>W15-20261220-1079</x:v>
      </x:c>
      <x:c r="B1080" s="13" t="n">
        <x:v>15</x:v>
      </x:c>
      <x:c r="C1080" s="13" t="str">
        <x:v>Этап 4 — Типы хвата и специфическая сила пальцев</x:v>
      </x:c>
      <x:c r="D1080" s="138" t="str">
        <x:v>2026-12-20</x:v>
      </x:c>
      <x:c r="E1080" s="13" t="str">
        <x:v>Воскресенье</x:v>
      </x:c>
      <x:c r="F1080" s="13" t="str">
        <x:v>Тренировка C — fun / опционально</x:v>
      </x:c>
      <x:c r="G1080" s="44" t="n">
        <x:v>0.03819444444444445</x:v>
      </x:c>
      <x:c r="H1080" s="44" t="n">
        <x:v>0.04583333333333333</x:v>
      </x:c>
      <x:c r="I1080" s="32" t="n">
        <x:f>ROUND((H1080-G1080)*1440,0)</x:f>
        <x:v>11</x:v>
      </x:c>
      <x:c r="J1080" s="13" t="str">
        <x:v>Свежая сложная попытка A</x:v>
      </x:c>
      <x:c r="K1080" s="13" t="str">
        <x:v>Только если всё зелёное: попробуй одну рабочую пятёрку или дружелюбную шестёрку по критериям недели — Пятёрка с pinch, только если плечо спокойно; шестёрка — лучше с другим типом хвата. Максимум 2 попытки, отдых 4 минуты.</x:v>
      </x:c>
      <x:c r="L1080" s="13" t="str">
        <x:v>☐ Не начато</x:v>
      </x:c>
      <x:c r="M1080" s="13" t="str">
        <x:v>Опционально</x:v>
      </x:c>
      <x:c r="N1080" s="13" t="str">
        <x:v>RPE 7–8, без отказа</x:v>
      </x:c>
      <x:c r="O1080" s="13" t="str">
        <x:v>Плечо: широкая компрессия, gaston и силовой press — зона особой осторожности; при боли сразу убрать движение.</x:v>
      </x:c>
      <x:c r="P1080" s="13" t="str">
        <x:v>milestone_04_grip_literacy_strength/week_15_2026-12-14/07_SUNDAY.md</x:v>
      </x:c>
      <x:c r="Q1080" s="138" t="str">
        <x:v>Markdown</x:v>
      </x:c>
      <x:c r="R1080" s="20" t="str"/>
    </x:row>
    <x:row r="1081" ht="36" customHeight="1">
      <x:c r="A1081" s="19" t="str">
        <x:v>W15-20261220-1080</x:v>
      </x:c>
      <x:c r="B1081" s="13" t="n">
        <x:v>15</x:v>
      </x:c>
      <x:c r="C1081" s="13" t="str">
        <x:v>Этап 4 — Типы хвата и специфическая сила пальцев</x:v>
      </x:c>
      <x:c r="D1081" s="138" t="str">
        <x:v>2026-12-20</x:v>
      </x:c>
      <x:c r="E1081" s="13" t="str">
        <x:v>Воскресенье</x:v>
      </x:c>
      <x:c r="F1081" s="13" t="str">
        <x:v>Тренировка C — fun / опционально</x:v>
      </x:c>
      <x:c r="G1081" s="44" t="n">
        <x:v>0.04583333333333333</x:v>
      </x:c>
      <x:c r="H1081" s="44" t="n">
        <x:v>0.05</x:v>
      </x:c>
      <x:c r="I1081" s="32" t="n">
        <x:f>ROUND((H1081-G1081)*1440,0)</x:f>
        <x:v>6</x:v>
      </x:c>
      <x:c r="J1081" s="13" t="str">
        <x:v>Лёгкий финал A</x:v>
      </x:c>
      <x:c r="K1081" s="13" t="str">
        <x:v>Одна любимая лёгкая трасса или спокойный спуск. Фингерборда и capacity-круга нет.</x:v>
      </x:c>
      <x:c r="L1081" s="13" t="str">
        <x:v>☐ Не начато</x:v>
      </x:c>
      <x:c r="M1081" s="13" t="str">
        <x:v>Опционально</x:v>
      </x:c>
      <x:c r="N1081" s="13" t="str">
        <x:v>RPE 2–3</x:v>
      </x:c>
      <x:c r="O1081" s="13" t="str"/>
      <x:c r="P1081" s="13" t="str">
        <x:v>milestone_04_grip_literacy_strength/week_15_2026-12-14/07_SUNDAY.md</x:v>
      </x:c>
      <x:c r="Q1081" s="138" t="str">
        <x:v>Markdown</x:v>
      </x:c>
      <x:c r="R1081" s="20" t="str"/>
    </x:row>
    <x:row r="1082" ht="36" customHeight="1">
      <x:c r="A1082" s="19" t="str">
        <x:v>W15-20261220-1081</x:v>
      </x:c>
      <x:c r="B1082" s="13" t="n">
        <x:v>15</x:v>
      </x:c>
      <x:c r="C1082" s="13" t="str">
        <x:v>Этап 4 — Типы хвата и специфическая сила пальцев</x:v>
      </x:c>
      <x:c r="D1082" s="138" t="str">
        <x:v>2026-12-20</x:v>
      </x:c>
      <x:c r="E1082" s="13" t="str">
        <x:v>Воскресенье</x:v>
      </x:c>
      <x:c r="F1082" s="13" t="str">
        <x:v>Тренировка C — fun / опционально</x:v>
      </x:c>
      <x:c r="G1082" s="44" t="n">
        <x:v>0.05</x:v>
      </x:c>
      <x:c r="H1082" s="44" t="n">
        <x:v>0.052083333333333336</x:v>
      </x:c>
      <x:c r="I1082" s="32" t="n">
        <x:f>ROUND((H1082-G1082)*1440,0)</x:f>
        <x:v>3</x:v>
      </x:c>
      <x:c r="J1082" s="13" t="str">
        <x:v>Журнал A</x:v>
      </x:c>
      <x:c r="K1082" s="13" t="str">
        <x:v>Запиши только 3 вещи: что было весело, один удачный технический момент, состояние пальцев после сессии.</x:v>
      </x:c>
      <x:c r="L1082" s="13" t="str">
        <x:v>☐ Не начато</x:v>
      </x:c>
      <x:c r="M1082" s="13" t="str">
        <x:v>Опционально</x:v>
      </x:c>
      <x:c r="N1082" s="13" t="str">
        <x:v>Без нагрузки</x:v>
      </x:c>
      <x:c r="O1082" s="13" t="str"/>
      <x:c r="P1082" s="13" t="str">
        <x:v>milestone_04_grip_literacy_strength/week_15_2026-12-14/07_SUNDAY.md</x:v>
      </x:c>
      <x:c r="Q1082" s="138" t="str">
        <x:v>Markdown</x:v>
      </x:c>
      <x:c r="R1082" s="20" t="str"/>
    </x:row>
    <x:row r="1083" ht="36" customHeight="1">
      <x:c r="A1083" s="19" t="str">
        <x:v>W15-20261220-1082</x:v>
      </x:c>
      <x:c r="B1083" s="13" t="n">
        <x:v>15</x:v>
      </x:c>
      <x:c r="C1083" s="13" t="str">
        <x:v>Этап 4 — Типы хвата и специфическая сила пальцев</x:v>
      </x:c>
      <x:c r="D1083" s="138" t="str">
        <x:v>2026-12-20</x:v>
      </x:c>
      <x:c r="E1083" s="13" t="str">
        <x:v>Воскресенье</x:v>
      </x:c>
      <x:c r="F1083" s="13" t="str">
        <x:v>Восстановление B — дома</x:v>
      </x:c>
      <x:c r="G1083" s="44" t="n">
        <x:v>0</x:v>
      </x:c>
      <x:c r="H1083" s="44" t="n">
        <x:v>0.010416666666666666</x:v>
      </x:c>
      <x:c r="I1083" s="32" t="n">
        <x:f>ROUND((H1083-G1083)*1440,0)</x:f>
        <x:v>15</x:v>
      </x:c>
      <x:c r="J1083" s="13" t="str">
        <x:v>Прогулка B</x:v>
      </x:c>
      <x:c r="K1083" s="13" t="str">
        <x:v>Если не идёшь в зал: 15 минут спокойной прогулки.</x:v>
      </x:c>
      <x:c r="L1083" s="13" t="str">
        <x:v>☐ Не начато</x:v>
      </x:c>
      <x:c r="M1083" s="13" t="str">
        <x:v>Опционально</x:v>
      </x:c>
      <x:c r="N1083" s="13" t="str">
        <x:v>RPE 1–2</x:v>
      </x:c>
      <x:c r="O1083" s="13" t="str"/>
      <x:c r="P1083" s="13" t="str">
        <x:v>milestone_04_grip_literacy_strength/week_15_2026-12-14/07_SUNDAY.md</x:v>
      </x:c>
      <x:c r="Q1083" s="138" t="str">
        <x:v>Markdown</x:v>
      </x:c>
      <x:c r="R1083" s="20" t="str"/>
    </x:row>
    <x:row r="1084" ht="36" customHeight="1">
      <x:c r="A1084" s="19" t="str">
        <x:v>W15-20261220-1083</x:v>
      </x:c>
      <x:c r="B1084" s="13" t="n">
        <x:v>15</x:v>
      </x:c>
      <x:c r="C1084" s="13" t="str">
        <x:v>Этап 4 — Типы хвата и специфическая сила пальцев</x:v>
      </x:c>
      <x:c r="D1084" s="138" t="str">
        <x:v>2026-12-20</x:v>
      </x:c>
      <x:c r="E1084" s="13" t="str">
        <x:v>Воскресенье</x:v>
      </x:c>
      <x:c r="F1084" s="13" t="str">
        <x:v>Восстановление B — дома</x:v>
      </x:c>
      <x:c r="G1084" s="44" t="n">
        <x:v>0.010416666666666666</x:v>
      </x:c>
      <x:c r="H1084" s="44" t="n">
        <x:v>0.015277777777777777</x:v>
      </x:c>
      <x:c r="I1084" s="32" t="n">
        <x:f>ROUND((H1084-G1084)*1440,0)</x:f>
        <x:v>7</x:v>
      </x:c>
      <x:c r="J1084" s="13" t="str">
        <x:v>Визуализация B</x:v>
      </x:c>
      <x:c r="K1084" s="13" t="str">
        <x:v>7 минут: мысленно повтори тему недели «Pinch и объёмы» и одну трассу четверга.</x:v>
      </x:c>
      <x:c r="L1084" s="13" t="str">
        <x:v>☐ Не начато</x:v>
      </x:c>
      <x:c r="M1084" s="13" t="str">
        <x:v>Опционально</x:v>
      </x:c>
      <x:c r="N1084" s="13" t="str">
        <x:v>Без нагрузки</x:v>
      </x:c>
      <x:c r="O1084" s="13" t="str"/>
      <x:c r="P1084" s="13" t="str">
        <x:v>milestone_04_grip_literacy_strength/week_15_2026-12-14/07_SUNDAY.md</x:v>
      </x:c>
      <x:c r="Q1084" s="138" t="str">
        <x:v>Markdown</x:v>
      </x:c>
      <x:c r="R1084" s="20" t="str"/>
    </x:row>
    <x:row r="1085" ht="36" customHeight="1">
      <x:c r="A1085" s="19" t="str">
        <x:v>W15-20261220-1084</x:v>
      </x:c>
      <x:c r="B1085" s="13" t="n">
        <x:v>15</x:v>
      </x:c>
      <x:c r="C1085" s="13" t="str">
        <x:v>Этап 4 — Типы хвата и специфическая сила пальцев</x:v>
      </x:c>
      <x:c r="D1085" s="138" t="str">
        <x:v>2026-12-20</x:v>
      </x:c>
      <x:c r="E1085" s="13" t="str">
        <x:v>Воскресенье</x:v>
      </x:c>
      <x:c r="F1085" s="13" t="str">
        <x:v>Восстановление B — дома</x:v>
      </x:c>
      <x:c r="G1085" s="44" t="n">
        <x:v>0.015277777777777777</x:v>
      </x:c>
      <x:c r="H1085" s="44" t="n">
        <x:v>0.017361111111111112</x:v>
      </x:c>
      <x:c r="I1085" s="32" t="n">
        <x:f>ROUND((H1085-G1085)*1440,0)</x:f>
        <x:v>3</x:v>
      </x:c>
      <x:c r="J1085" s="13" t="str">
        <x:v>Итог недели B</x:v>
      </x:c>
      <x:c r="K1085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085" s="13" t="str">
        <x:v>☐ Не начато</x:v>
      </x:c>
      <x:c r="M1085" s="13" t="str">
        <x:v>Опционально</x:v>
      </x:c>
      <x:c r="N1085" s="13" t="str">
        <x:v>Без нагрузки</x:v>
      </x:c>
      <x:c r="O1085" s="13" t="str"/>
      <x:c r="P1085" s="13" t="str">
        <x:v>milestone_04_grip_literacy_strength/week_15_2026-12-14/07_SUNDAY.md</x:v>
      </x:c>
      <x:c r="Q1085" s="138" t="str">
        <x:v>Markdown</x:v>
      </x:c>
      <x:c r="R1085" s="20" t="str"/>
    </x:row>
    <x:row r="1086" ht="36" customHeight="1">
      <x:c r="A1086" s="19" t="str">
        <x:v>W16-20261221-1085</x:v>
      </x:c>
      <x:c r="B1086" s="13" t="n">
        <x:v>16</x:v>
      </x:c>
      <x:c r="C1086" s="13" t="str">
        <x:v>Этап 4 — Типы хвата и специфическая сила пальцев</x:v>
      </x:c>
      <x:c r="D1086" s="138" t="str">
        <x:v>2026-12-21</x:v>
      </x:c>
      <x:c r="E1086" s="13" t="str">
        <x:v>Понедельник</x:v>
      </x:c>
      <x:c r="F1086" s="13" t="str">
        <x:v>Дом / теория</x:v>
      </x:c>
      <x:c r="G1086" s="44" t="n">
        <x:v>0</x:v>
      </x:c>
      <x:c r="H1086" s="44" t="n">
        <x:v>0.0020833333333333333</x:v>
      </x:c>
      <x:c r="I1086" s="32" t="n">
        <x:f>ROUND((H1086-G1086)*1440,0)</x:f>
        <x:v>3</x:v>
      </x:c>
      <x:c r="J1086" s="13" t="str">
        <x:v>Самопроверка</x:v>
      </x:c>
      <x:c r="K1086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086" s="13" t="str">
        <x:v>☐ Не начато</x:v>
      </x:c>
      <x:c r="M1086" s="13" t="str">
        <x:v>Обязательно</x:v>
      </x:c>
      <x:c r="N1086" s="13" t="str">
        <x:v>Очень легко</x:v>
      </x:c>
      <x:c r="O1086" s="13" t="str">
        <x:v>Не диагностируй травму самостоятельно; используй правила из документа безопасности.</x:v>
      </x:c>
      <x:c r="P1086" s="13" t="str">
        <x:v>milestone_04_grip_literacy_strength/week_16_2026-12-21/01_MONDAY.md</x:v>
      </x:c>
      <x:c r="Q1086" s="138" t="str">
        <x:v>Markdown</x:v>
      </x:c>
      <x:c r="R1086" s="20" t="str"/>
    </x:row>
    <x:row r="1087" ht="36" customHeight="1">
      <x:c r="A1087" s="19" t="str">
        <x:v>W16-20261221-1086</x:v>
      </x:c>
      <x:c r="B1087" s="13" t="n">
        <x:v>16</x:v>
      </x:c>
      <x:c r="C1087" s="13" t="str">
        <x:v>Этап 4 — Типы хвата и специфическая сила пальцев</x:v>
      </x:c>
      <x:c r="D1087" s="138" t="str">
        <x:v>2026-12-21</x:v>
      </x:c>
      <x:c r="E1087" s="13" t="str">
        <x:v>Понедельник</x:v>
      </x:c>
      <x:c r="F1087" s="13" t="str">
        <x:v>Дом / теория</x:v>
      </x:c>
      <x:c r="G1087" s="44" t="n">
        <x:v>0.0020833333333333333</x:v>
      </x:c>
      <x:c r="H1087" s="44" t="n">
        <x:v>0.005555555555555556</x:v>
      </x:c>
      <x:c r="I1087" s="32" t="n">
        <x:f>ROUND((H1087-G1087)*1440,0)</x:f>
        <x:v>5</x:v>
      </x:c>
      <x:c r="J1087" s="13" t="str">
        <x:v>Планирование</x:v>
      </x:c>
      <x:c r="K1087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«Техника одинаковая в первой и последней качественной попытке.»</x:v>
      </x:c>
      <x:c r="L1087" s="13" t="str">
        <x:v>☐ Не начато</x:v>
      </x:c>
      <x:c r="M1087" s="13" t="str">
        <x:v>Обязательно</x:v>
      </x:c>
      <x:c r="N1087" s="13" t="str">
        <x:v>Без нагрузки</x:v>
      </x:c>
      <x:c r="O1087" s="13" t="str"/>
      <x:c r="P1087" s="13" t="str">
        <x:v>milestone_04_grip_literacy_strength/week_16_2026-12-21/01_MONDAY.md</x:v>
      </x:c>
      <x:c r="Q1087" s="138" t="str">
        <x:v>Markdown</x:v>
      </x:c>
      <x:c r="R1087" s="20" t="str"/>
    </x:row>
    <x:row r="1088" ht="36" customHeight="1">
      <x:c r="A1088" s="19" t="str">
        <x:v>W16-20261221-1087</x:v>
      </x:c>
      <x:c r="B1088" s="13" t="n">
        <x:v>16</x:v>
      </x:c>
      <x:c r="C1088" s="13" t="str">
        <x:v>Этап 4 — Типы хвата и специфическая сила пальцев</x:v>
      </x:c>
      <x:c r="D1088" s="138" t="str">
        <x:v>2026-12-21</x:v>
      </x:c>
      <x:c r="E1088" s="13" t="str">
        <x:v>Понедельник</x:v>
      </x:c>
      <x:c r="F1088" s="13" t="str">
        <x:v>Дом / теория</x:v>
      </x:c>
      <x:c r="G1088" s="44" t="n">
        <x:v>0.005555555555555556</x:v>
      </x:c>
      <x:c r="H1088" s="44" t="n">
        <x:v>0.009027777777777777</x:v>
      </x:c>
      <x:c r="I1088" s="32" t="n">
        <x:f>ROUND((H1088-G1088)*1440,0)</x:f>
        <x:v>5</x:v>
      </x:c>
      <x:c r="J1088" s="13" t="str">
        <x:v>Теория</x:v>
      </x:c>
      <x:c r="K1088" s="13" t="str">
        <x:v>Посмотри/прочитай [R21: Berta Block — индивидуальная тренировка](https://www.bertablock.de/individuelles-training). Задача: Опциональный разбор техники и плечо-/колено-дружественной беты с тренером.</x:v>
      </x:c>
      <x:c r="L1088" s="13" t="str">
        <x:v>☐ Не начато</x:v>
      </x:c>
      <x:c r="M1088" s="13" t="str">
        <x:v>Обязательно</x:v>
      </x:c>
      <x:c r="N1088" s="13" t="str">
        <x:v>Без нагрузки</x:v>
      </x:c>
      <x:c r="O1088" s="13" t="str"/>
      <x:c r="P1088" s="13" t="str">
        <x:v>milestone_04_grip_literacy_strength/week_16_2026-12-21/01_MONDAY.md</x:v>
      </x:c>
      <x:c r="Q1088" s="138" t="str">
        <x:v>Markdown</x:v>
      </x:c>
      <x:c r="R1088" s="20" t="str"/>
    </x:row>
    <x:row r="1089" ht="36" customHeight="1">
      <x:c r="A1089" s="19" t="str">
        <x:v>W16-20261221-1088</x:v>
      </x:c>
      <x:c r="B1089" s="13" t="n">
        <x:v>16</x:v>
      </x:c>
      <x:c r="C1089" s="13" t="str">
        <x:v>Этап 4 — Типы хвата и специфическая сила пальцев</x:v>
      </x:c>
      <x:c r="D1089" s="138" t="str">
        <x:v>2026-12-21</x:v>
      </x:c>
      <x:c r="E1089" s="13" t="str">
        <x:v>Понедельник</x:v>
      </x:c>
      <x:c r="F1089" s="13" t="str">
        <x:v>Дом / теория</x:v>
      </x:c>
      <x:c r="G1089" s="44" t="n">
        <x:v>0.009027777777777777</x:v>
      </x:c>
      <x:c r="H1089" s="44" t="n">
        <x:v>0.0125</x:v>
      </x:c>
      <x:c r="I1089" s="32" t="n">
        <x:f>ROUND((H1089-G1089)*1440,0)</x:f>
        <x:v>5</x:v>
      </x:c>
      <x:c r="J1089" s="13" t="str">
        <x:v>Конспект</x:v>
      </x:c>
      <x:c r="K1089" s="13" t="str">
        <x:v>Запиши ровно 3 пункта: (1) что делать ногами/тазом; (2) что не делать руками; (3) какой признак успеха проверишь на стене для темы «Разгрузка и видеоразбор».</x:v>
      </x:c>
      <x:c r="L1089" s="13" t="str">
        <x:v>☐ Не начато</x:v>
      </x:c>
      <x:c r="M1089" s="13" t="str">
        <x:v>Обязательно</x:v>
      </x:c>
      <x:c r="N1089" s="13" t="str">
        <x:v>Без нагрузки</x:v>
      </x:c>
      <x:c r="O1089" s="13" t="str"/>
      <x:c r="P1089" s="13" t="str">
        <x:v>milestone_04_grip_literacy_strength/week_16_2026-12-21/01_MONDAY.md</x:v>
      </x:c>
      <x:c r="Q1089" s="138" t="str">
        <x:v>Markdown</x:v>
      </x:c>
      <x:c r="R1089" s="20" t="str"/>
    </x:row>
    <x:row r="1090" ht="36" customHeight="1">
      <x:c r="A1090" s="19" t="str">
        <x:v>W16-20261221-1089</x:v>
      </x:c>
      <x:c r="B1090" s="13" t="n">
        <x:v>16</x:v>
      </x:c>
      <x:c r="C1090" s="13" t="str">
        <x:v>Этап 4 — Типы хвата и специфическая сила пальцев</x:v>
      </x:c>
      <x:c r="D1090" s="138" t="str">
        <x:v>2026-12-21</x:v>
      </x:c>
      <x:c r="E1090" s="13" t="str">
        <x:v>Понедельник</x:v>
      </x:c>
      <x:c r="F1090" s="13" t="str">
        <x:v>Дом / теория</x:v>
      </x:c>
      <x:c r="G1090" s="44" t="n">
        <x:v>0.0125</x:v>
      </x:c>
      <x:c r="H1090" s="44" t="n">
        <x:v>0.020833333333333332</x:v>
      </x:c>
      <x:c r="I1090" s="32" t="n">
        <x:f>ROUND((H1090-G1090)*1440,0)</x:f>
        <x:v>12</x:v>
      </x:c>
      <x:c r="J1090" s="13" t="str">
        <x:v>Домашняя мобильность</x:v>
      </x:c>
      <x:c r="K1090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1090" s="13" t="str">
        <x:v>☐ Не начато</x:v>
      </x:c>
      <x:c r="M1090" s="13" t="str">
        <x:v>Обязательно</x:v>
      </x:c>
      <x:c r="N1090" s="13" t="str">
        <x:v>RPE 2–3</x:v>
      </x:c>
      <x:c r="O1090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090" s="13" t="str">
        <x:v>milestone_04_grip_literacy_strength/week_16_2026-12-21/01_MONDAY.md</x:v>
      </x:c>
      <x:c r="Q1090" s="138" t="str">
        <x:v>Markdown</x:v>
      </x:c>
      <x:c r="R1090" s="20" t="str"/>
    </x:row>
    <x:row r="1091" ht="36" customHeight="1">
      <x:c r="A1091" s="19" t="str">
        <x:v>W16-20261221-1090</x:v>
      </x:c>
      <x:c r="B1091" s="13" t="n">
        <x:v>16</x:v>
      </x:c>
      <x:c r="C1091" s="13" t="str">
        <x:v>Этап 4 — Типы хвата и специфическая сила пальцев</x:v>
      </x:c>
      <x:c r="D1091" s="138" t="str">
        <x:v>2026-12-21</x:v>
      </x:c>
      <x:c r="E1091" s="13" t="str">
        <x:v>Понедельник</x:v>
      </x:c>
      <x:c r="F1091" s="13" t="str">
        <x:v>Дом / теория</x:v>
      </x:c>
      <x:c r="G1091" s="44" t="n">
        <x:v>0.020833333333333332</x:v>
      </x:c>
      <x:c r="H1091" s="44" t="n">
        <x:v>0.034722222222222224</x:v>
      </x:c>
      <x:c r="I1091" s="32" t="n">
        <x:f>ROUND((H1091-G1091)*1440,0)</x:f>
        <x:v>20</x:v>
      </x:c>
      <x:c r="J1091" s="13" t="str">
        <x:v>Физиотерапия</x:v>
      </x:c>
      <x:c r="K1091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091" s="13" t="str">
        <x:v>☐ Не начато</x:v>
      </x:c>
      <x:c r="M1091" s="13" t="str">
        <x:v>По назначению</x:v>
      </x:c>
      <x:c r="N1091" s="13" t="str">
        <x:v>По назначению физиотерапевта</x:v>
      </x:c>
      <x:c r="O1091" s="13" t="str">
        <x:v>Любые указания физиотерапевта имеют приоритет над этим планом.</x:v>
      </x:c>
      <x:c r="P1091" s="13" t="str">
        <x:v>milestone_04_grip_literacy_strength/week_16_2026-12-21/01_MONDAY.md</x:v>
      </x:c>
      <x:c r="Q1091" s="138" t="str">
        <x:v>Markdown</x:v>
      </x:c>
      <x:c r="R1091" s="20" t="str"/>
    </x:row>
    <x:row r="1092" ht="36" customHeight="1">
      <x:c r="A1092" s="19" t="str">
        <x:v>W16-20261221-1091</x:v>
      </x:c>
      <x:c r="B1092" s="13" t="n">
        <x:v>16</x:v>
      </x:c>
      <x:c r="C1092" s="13" t="str">
        <x:v>Этап 4 — Типы хвата и специфическая сила пальцев</x:v>
      </x:c>
      <x:c r="D1092" s="138" t="str">
        <x:v>2026-12-21</x:v>
      </x:c>
      <x:c r="E1092" s="13" t="str">
        <x:v>Понедельник</x:v>
      </x:c>
      <x:c r="F1092" s="13" t="str">
        <x:v>Дом / теория</x:v>
      </x:c>
      <x:c r="G1092" s="44" t="n">
        <x:v>0.034722222222222224</x:v>
      </x:c>
      <x:c r="H1092" s="44" t="n">
        <x:v>0.03819444444444445</x:v>
      </x:c>
      <x:c r="I1092" s="32" t="n">
        <x:f>ROUND((H1092-G1092)*1440,0)</x:f>
        <x:v>5</x:v>
      </x:c>
      <x:c r="J1092" s="13" t="str">
        <x:v>Покупка / организация</x:v>
      </x:c>
      <x:c r="K1092" s="13" t="str">
        <x:v>Опционально индивидуальное занятие. Запрос тренеру: положение корпуса, финалы пятёрок, выбор безопасной беты для плеча/колена.</x:v>
      </x:c>
      <x:c r="L1092" s="13" t="str">
        <x:v>☐ Не начато</x:v>
      </x:c>
      <x:c r="M1092" s="13" t="str">
        <x:v>Опционально</x:v>
      </x:c>
      <x:c r="N1092" s="13" t="str">
        <x:v>Без нагрузки</x:v>
      </x:c>
      <x:c r="O1092" s="13" t="str"/>
      <x:c r="P1092" s="13" t="str">
        <x:v>milestone_04_grip_literacy_strength/week_16_2026-12-21/01_MONDAY.md</x:v>
      </x:c>
      <x:c r="Q1092" s="138" t="str">
        <x:v>Markdown</x:v>
      </x:c>
      <x:c r="R1092" s="20" t="str"/>
    </x:row>
    <x:row r="1093" ht="36" customHeight="1">
      <x:c r="A1093" s="19" t="str">
        <x:v>W16-20261221-1092</x:v>
      </x:c>
      <x:c r="B1093" s="13" t="n">
        <x:v>16</x:v>
      </x:c>
      <x:c r="C1093" s="13" t="str">
        <x:v>Этап 4 — Типы хвата и специфическая сила пальцев</x:v>
      </x:c>
      <x:c r="D1093" s="138" t="str">
        <x:v>2026-12-21</x:v>
      </x:c>
      <x:c r="E1093" s="13" t="str">
        <x:v>Понедельник</x:v>
      </x:c>
      <x:c r="F1093" s="13" t="str">
        <x:v>Дом / теория</x:v>
      </x:c>
      <x:c r="G1093" s="44" t="n">
        <x:v>0.03819444444444445</x:v>
      </x:c>
      <x:c r="H1093" s="44" t="n">
        <x:v>0.04027777777777778</x:v>
      </x:c>
      <x:c r="I1093" s="32" t="n">
        <x:f>ROUND((H1093-G1093)*1440,0)</x:f>
        <x:v>3</x:v>
      </x:c>
      <x:c r="J1093" s="13" t="str">
        <x:v>Подготовка</x:v>
      </x:c>
      <x:c r="K1093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093" s="13" t="str">
        <x:v>☐ Не начато</x:v>
      </x:c>
      <x:c r="M1093" s="13" t="str">
        <x:v>Обязательно</x:v>
      </x:c>
      <x:c r="N1093" s="13" t="str">
        <x:v>Без нагрузки</x:v>
      </x:c>
      <x:c r="O1093" s="13" t="str">
        <x:v>Кольца и турник — только в рамках программы физиотерапевта.</x:v>
      </x:c>
      <x:c r="P1093" s="13" t="str">
        <x:v>milestone_04_grip_literacy_strength/week_16_2026-12-21/01_MONDAY.md</x:v>
      </x:c>
      <x:c r="Q1093" s="138" t="str">
        <x:v>Markdown</x:v>
      </x:c>
      <x:c r="R1093" s="20" t="str"/>
    </x:row>
    <x:row r="1094" ht="36" customHeight="1">
      <x:c r="A1094" s="19" t="str">
        <x:v>W16-20261222-1093</x:v>
      </x:c>
      <x:c r="B1094" s="13" t="n">
        <x:v>16</x:v>
      </x:c>
      <x:c r="C1094" s="13" t="str">
        <x:v>Этап 4 — Типы хвата и специфическая сила пальцев</x:v>
      </x:c>
      <x:c r="D1094" s="138" t="str">
        <x:v>2026-12-22</x:v>
      </x:c>
      <x:c r="E1094" s="13" t="str">
        <x:v>Вторник</x:v>
      </x:c>
      <x:c r="F1094" s="13" t="str">
        <x:v>Тренировка A — техника/объём</x:v>
      </x:c>
      <x:c r="G1094" s="44" t="n">
        <x:v>0</x:v>
      </x:c>
      <x:c r="H1094" s="44" t="n">
        <x:v>0.0020833333333333333</x:v>
      </x:c>
      <x:c r="I1094" s="32" t="n">
        <x:f>ROUND((H1094-G1094)*1440,0)</x:f>
        <x:v>3</x:v>
      </x:c>
      <x:c r="J1094" s="13" t="str">
        <x:v>Самопроверка</x:v>
      </x:c>
      <x:c r="K109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094" s="13" t="str">
        <x:v>☐ Не начато</x:v>
      </x:c>
      <x:c r="M1094" s="13" t="str">
        <x:v>Обязательно</x:v>
      </x:c>
      <x:c r="N1094" s="13" t="str">
        <x:v>Без нагрузки</x:v>
      </x:c>
      <x:c r="O1094" s="13" t="str">
        <x:v>Красный флаг = не начинать пальцевую нагрузку.</x:v>
      </x:c>
      <x:c r="P1094" s="13" t="str">
        <x:v>milestone_04_grip_literacy_strength/week_16_2026-12-21/02_TUESDAY.md</x:v>
      </x:c>
      <x:c r="Q1094" s="138" t="str">
        <x:v>Markdown</x:v>
      </x:c>
      <x:c r="R1094" s="20" t="str"/>
    </x:row>
    <x:row r="1095" ht="36" customHeight="1">
      <x:c r="A1095" s="19" t="str">
        <x:v>W16-20261222-1094</x:v>
      </x:c>
      <x:c r="B1095" s="13" t="n">
        <x:v>16</x:v>
      </x:c>
      <x:c r="C1095" s="13" t="str">
        <x:v>Этап 4 — Типы хвата и специфическая сила пальцев</x:v>
      </x:c>
      <x:c r="D1095" s="138" t="str">
        <x:v>2026-12-22</x:v>
      </x:c>
      <x:c r="E1095" s="13" t="str">
        <x:v>Вторник</x:v>
      </x:c>
      <x:c r="F1095" s="13" t="str">
        <x:v>Тренировка A — техника/объём</x:v>
      </x:c>
      <x:c r="G1095" s="44" t="n">
        <x:v>0.0020833333333333333</x:v>
      </x:c>
      <x:c r="H1095" s="44" t="n">
        <x:v>0.005555555555555556</x:v>
      </x:c>
      <x:c r="I1095" s="32" t="n">
        <x:f>ROUND((H1095-G1095)*1440,0)</x:f>
        <x:v>5</x:v>
      </x:c>
      <x:c r="J1095" s="13" t="str">
        <x:v>Разминка</x:v>
      </x:c>
      <x:c r="K1095" s="13" t="str">
        <x:v>Подними температуру: быстрая ходьба, лестница или лёгкий велотренажёр 5 минут.</x:v>
      </x:c>
      <x:c r="L1095" s="13" t="str">
        <x:v>☐ Не начато</x:v>
      </x:c>
      <x:c r="M1095" s="13" t="str">
        <x:v>Обязательно</x:v>
      </x:c>
      <x:c r="N1095" s="13" t="str">
        <x:v>RPE 2–3</x:v>
      </x:c>
      <x:c r="O1095" s="13" t="str"/>
      <x:c r="P1095" s="13" t="str">
        <x:v>milestone_04_grip_literacy_strength/week_16_2026-12-21/02_TUESDAY.md</x:v>
      </x:c>
      <x:c r="Q1095" s="138" t="str">
        <x:v>Markdown</x:v>
      </x:c>
      <x:c r="R1095" s="20" t="str"/>
    </x:row>
    <x:row r="1096" ht="36" customHeight="1">
      <x:c r="A1096" s="19" t="str">
        <x:v>W16-20261222-1095</x:v>
      </x:c>
      <x:c r="B1096" s="13" t="n">
        <x:v>16</x:v>
      </x:c>
      <x:c r="C1096" s="13" t="str">
        <x:v>Этап 4 — Типы хвата и специфическая сила пальцев</x:v>
      </x:c>
      <x:c r="D1096" s="138" t="str">
        <x:v>2026-12-22</x:v>
      </x:c>
      <x:c r="E1096" s="13" t="str">
        <x:v>Вторник</x:v>
      </x:c>
      <x:c r="F1096" s="13" t="str">
        <x:v>Тренировка A — техника/объём</x:v>
      </x:c>
      <x:c r="G1096" s="44" t="n">
        <x:v>0.005555555555555556</x:v>
      </x:c>
      <x:c r="H1096" s="44" t="n">
        <x:v>0.009027777777777777</x:v>
      </x:c>
      <x:c r="I1096" s="32" t="n">
        <x:f>ROUND((H1096-G1096)*1440,0)</x:f>
        <x:v>5</x:v>
      </x:c>
      <x:c r="J1096" s="13" t="str">
        <x:v>Разминка</x:v>
      </x:c>
      <x:c r="K109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096" s="13" t="str">
        <x:v>☐ Не начато</x:v>
      </x:c>
      <x:c r="M1096" s="13" t="str">
        <x:v>Обязательно</x:v>
      </x:c>
      <x:c r="N1096" s="13" t="str">
        <x:v>Очень легко</x:v>
      </x:c>
      <x:c r="O1096" s="13" t="str">
        <x:v>Не делай press/отжимания и движения, которые раздражают плечо.</x:v>
      </x:c>
      <x:c r="P1096" s="13" t="str">
        <x:v>milestone_04_grip_literacy_strength/week_16_2026-12-21/02_TUESDAY.md</x:v>
      </x:c>
      <x:c r="Q1096" s="138" t="str">
        <x:v>Markdown</x:v>
      </x:c>
      <x:c r="R1096" s="20" t="str"/>
    </x:row>
    <x:row r="1097" ht="36" customHeight="1">
      <x:c r="A1097" s="19" t="str">
        <x:v>W16-20261222-1096</x:v>
      </x:c>
      <x:c r="B1097" s="13" t="n">
        <x:v>16</x:v>
      </x:c>
      <x:c r="C1097" s="13" t="str">
        <x:v>Этап 4 — Типы хвата и специфическая сила пальцев</x:v>
      </x:c>
      <x:c r="D1097" s="138" t="str">
        <x:v>2026-12-22</x:v>
      </x:c>
      <x:c r="E1097" s="13" t="str">
        <x:v>Вторник</x:v>
      </x:c>
      <x:c r="F1097" s="13" t="str">
        <x:v>Тренировка A — техника/объём</x:v>
      </x:c>
      <x:c r="G1097" s="44" t="n">
        <x:v>0.009027777777777777</x:v>
      </x:c>
      <x:c r="H1097" s="44" t="n">
        <x:v>0.011805555555555555</x:v>
      </x:c>
      <x:c r="I1097" s="32" t="n">
        <x:f>ROUND((H1097-G1097)*1440,0)</x:f>
        <x:v>4</x:v>
      </x:c>
      <x:c r="J1097" s="13" t="str">
        <x:v>Разминка пальцев</x:v>
      </x:c>
      <x:c r="K109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097" s="13" t="str">
        <x:v>☐ Не начато</x:v>
      </x:c>
      <x:c r="M1097" s="13" t="str">
        <x:v>Обязательно</x:v>
      </x:c>
      <x:c r="N1097" s="13" t="str">
        <x:v>Очень легко</x:v>
      </x:c>
      <x:c r="O1097" s="13" t="str"/>
      <x:c r="P1097" s="13" t="str">
        <x:v>milestone_04_grip_literacy_strength/week_16_2026-12-21/02_TUESDAY.md</x:v>
      </x:c>
      <x:c r="Q1097" s="138" t="str">
        <x:v>Markdown</x:v>
      </x:c>
      <x:c r="R1097" s="20" t="str"/>
    </x:row>
    <x:row r="1098" ht="36" customHeight="1">
      <x:c r="A1098" s="19" t="str">
        <x:v>W16-20261222-1097</x:v>
      </x:c>
      <x:c r="B1098" s="13" t="n">
        <x:v>16</x:v>
      </x:c>
      <x:c r="C1098" s="13" t="str">
        <x:v>Этап 4 — Типы хвата и специфическая сила пальцев</x:v>
      </x:c>
      <x:c r="D1098" s="138" t="str">
        <x:v>2026-12-22</x:v>
      </x:c>
      <x:c r="E1098" s="13" t="str">
        <x:v>Вторник</x:v>
      </x:c>
      <x:c r="F1098" s="13" t="str">
        <x:v>Тренировка A — техника/объём</x:v>
      </x:c>
      <x:c r="G1098" s="44" t="n">
        <x:v>0.011805555555555555</x:v>
      </x:c>
      <x:c r="H1098" s="44" t="n">
        <x:v>0.014583333333333334</x:v>
      </x:c>
      <x:c r="I1098" s="32" t="n">
        <x:f>ROUND((H1098-G1098)*1440,0)</x:f>
        <x:v>4</x:v>
      </x:c>
      <x:c r="J1098" s="13" t="str">
        <x:v>Разминочное лазание</x:v>
      </x:c>
      <x:c r="K1098" s="13" t="str">
        <x:v>Пройди 2 очень лёгкие трассы уровня 1–2; двигайся медленно, спускайся по зацепам.</x:v>
      </x:c>
      <x:c r="L1098" s="13" t="str">
        <x:v>☐ Не начато</x:v>
      </x:c>
      <x:c r="M1098" s="13" t="str">
        <x:v>Обязательно</x:v>
      </x:c>
      <x:c r="N1098" s="13" t="str">
        <x:v>RPE 2–3</x:v>
      </x:c>
      <x:c r="O1098" s="13" t="str">
        <x:v>Финиш с обязательным болезненным mantle/press пропусти.</x:v>
      </x:c>
      <x:c r="P1098" s="13" t="str">
        <x:v>milestone_04_grip_literacy_strength/week_16_2026-12-21/02_TUESDAY.md</x:v>
      </x:c>
      <x:c r="Q1098" s="138" t="str">
        <x:v>Markdown</x:v>
      </x:c>
      <x:c r="R1098" s="20" t="str"/>
    </x:row>
    <x:row r="1099" ht="36" customHeight="1">
      <x:c r="A1099" s="19" t="str">
        <x:v>W16-20261222-1098</x:v>
      </x:c>
      <x:c r="B1099" s="13" t="n">
        <x:v>16</x:v>
      </x:c>
      <x:c r="C1099" s="13" t="str">
        <x:v>Этап 4 — Типы хвата и специфическая сила пальцев</x:v>
      </x:c>
      <x:c r="D1099" s="138" t="str">
        <x:v>2026-12-22</x:v>
      </x:c>
      <x:c r="E1099" s="13" t="str">
        <x:v>Вторник</x:v>
      </x:c>
      <x:c r="F1099" s="13" t="str">
        <x:v>Тренировка A — техника/объём</x:v>
      </x:c>
      <x:c r="G1099" s="44" t="n">
        <x:v>0.014583333333333334</x:v>
      </x:c>
      <x:c r="H1099" s="44" t="n">
        <x:v>0.017361111111111112</x:v>
      </x:c>
      <x:c r="I1099" s="32" t="n">
        <x:f>ROUND((H1099-G1099)*1440,0)</x:f>
        <x:v>4</x:v>
      </x:c>
      <x:c r="J1099" s="13" t="str">
        <x:v>Разминочное лазание</x:v>
      </x:c>
      <x:c r="K1099" s="13" t="str">
        <x:v>Пройди 2 трассы уровня 2–3, затем сделай 2–3 движения на комфортной четвёрке. Между ними 45–60 секунд.</x:v>
      </x:c>
      <x:c r="L1099" s="13" t="str">
        <x:v>☐ Не начато</x:v>
      </x:c>
      <x:c r="M1099" s="13" t="str">
        <x:v>Обязательно</x:v>
      </x:c>
      <x:c r="N1099" s="13" t="str">
        <x:v>RPE 3–4</x:v>
      </x:c>
      <x:c r="O1099" s="13" t="str">
        <x:v>Разминка не должна утомить пальцы.</x:v>
      </x:c>
      <x:c r="P1099" s="13" t="str">
        <x:v>milestone_04_grip_literacy_strength/week_16_2026-12-21/02_TUESDAY.md</x:v>
      </x:c>
      <x:c r="Q1099" s="138" t="str">
        <x:v>Markdown</x:v>
      </x:c>
      <x:c r="R1099" s="20" t="str"/>
    </x:row>
    <x:row r="1100" ht="36" customHeight="1">
      <x:c r="A1100" s="19" t="str">
        <x:v>W16-20261222-1099</x:v>
      </x:c>
      <x:c r="B1100" s="13" t="n">
        <x:v>16</x:v>
      </x:c>
      <x:c r="C1100" s="13" t="str">
        <x:v>Этап 4 — Типы хвата и специфическая сила пальцев</x:v>
      </x:c>
      <x:c r="D1100" s="138" t="str">
        <x:v>2026-12-22</x:v>
      </x:c>
      <x:c r="E1100" s="13" t="str">
        <x:v>Вторник</x:v>
      </x:c>
      <x:c r="F1100" s="13" t="str">
        <x:v>Тренировка A — техника/объём</x:v>
      </x:c>
      <x:c r="G1100" s="44" t="n">
        <x:v>0.017361111111111112</x:v>
      </x:c>
      <x:c r="H1100" s="44" t="n">
        <x:v>0.027777777777777776</x:v>
      </x:c>
      <x:c r="I1100" s="32" t="n">
        <x:f>ROUND((H1100-G1100)*1440,0)</x:f>
        <x:v>15</x:v>
      </x:c>
      <x:c r="J1100" s="13" t="str">
        <x:v>Техника</x:v>
      </x:c>
      <x:c r="K1100" s="13" t="str">
        <x:v>Повтори тему «Разгрузка и видеоразбор» на двух знакомых четвёрках. Сними одну с привычного ракурса.</x:v>
      </x:c>
      <x:c r="L1100" s="13" t="str">
        <x:v>☐ Не начато</x:v>
      </x:c>
      <x:c r="M1100" s="13" t="str">
        <x:v>Обязательно</x:v>
      </x:c>
      <x:c r="N1100" s="13" t="str">
        <x:v>RPE 4–5</x:v>
      </x:c>
      <x:c r="O1100" s="13" t="str">
        <x:v>Не уменьшать кромку фингерборда на разгрузке.</x:v>
      </x:c>
      <x:c r="P1100" s="13" t="str">
        <x:v>milestone_04_grip_literacy_strength/week_16_2026-12-21/02_TUESDAY.md</x:v>
      </x:c>
      <x:c r="Q1100" s="138" t="str">
        <x:v>Markdown</x:v>
      </x:c>
      <x:c r="R1100" s="20" t="str"/>
    </x:row>
    <x:row r="1101" ht="36" customHeight="1">
      <x:c r="A1101" s="19" t="str">
        <x:v>W16-20261222-1100</x:v>
      </x:c>
      <x:c r="B1101" s="13" t="n">
        <x:v>16</x:v>
      </x:c>
      <x:c r="C1101" s="13" t="str">
        <x:v>Этап 4 — Типы хвата и специфическая сила пальцев</x:v>
      </x:c>
      <x:c r="D1101" s="138" t="str">
        <x:v>2026-12-22</x:v>
      </x:c>
      <x:c r="E1101" s="13" t="str">
        <x:v>Вторник</x:v>
      </x:c>
      <x:c r="F1101" s="13" t="str">
        <x:v>Тренировка A — техника/объём</x:v>
      </x:c>
      <x:c r="G1101" s="44" t="n">
        <x:v>0.027777777777777776</x:v>
      </x:c>
      <x:c r="H1101" s="44" t="n">
        <x:v>0.04375</x:v>
      </x:c>
      <x:c r="I1101" s="32" t="n">
        <x:f>ROUND((H1101-G1101)*1440,0)</x:f>
        <x:v>23</x:v>
      </x:c>
      <x:c r="J1101" s="13" t="str">
        <x:v>Разгрузочный тест</x:v>
      </x:c>
      <x:c r="K1101" s="13" t="str">
        <x:v>Попробуй 3 четвёрки и 3 пятёрки: максимум 2/3 попытки соответственно, полные паузы. Не ищи самые жёсткие трассы сета.</x:v>
      </x:c>
      <x:c r="L1101" s="13" t="str">
        <x:v>☐ Не начато</x:v>
      </x:c>
      <x:c r="M1101" s="13" t="str">
        <x:v>Обязательно</x:v>
      </x:c>
      <x:c r="N1101" s="13" t="str">
        <x:v>RPE 6–7</x:v>
      </x:c>
      <x:c r="O1101" s="13" t="str">
        <x:v>Объём минус 35–40%. Не переходить на меньшую кромку фингерборда.</x:v>
      </x:c>
      <x:c r="P1101" s="13" t="str">
        <x:v>milestone_04_grip_literacy_strength/week_16_2026-12-21/02_TUESDAY.md</x:v>
      </x:c>
      <x:c r="Q1101" s="138" t="str">
        <x:v>Markdown</x:v>
      </x:c>
      <x:c r="R1101" s="20" t="str"/>
    </x:row>
    <x:row r="1102" ht="36" customHeight="1">
      <x:c r="A1102" s="19" t="str">
        <x:v>W16-20261222-1101</x:v>
      </x:c>
      <x:c r="B1102" s="13" t="n">
        <x:v>16</x:v>
      </x:c>
      <x:c r="C1102" s="13" t="str">
        <x:v>Этап 4 — Типы хвата и специфическая сила пальцев</x:v>
      </x:c>
      <x:c r="D1102" s="138" t="str">
        <x:v>2026-12-22</x:v>
      </x:c>
      <x:c r="E1102" s="13" t="str">
        <x:v>Вторник</x:v>
      </x:c>
      <x:c r="F1102" s="13" t="str">
        <x:v>Тренировка A — техника/объём</x:v>
      </x:c>
      <x:c r="G1102" s="44" t="n">
        <x:v>0.04375</x:v>
      </x:c>
      <x:c r="H1102" s="44" t="n">
        <x:v>0.05</x:v>
      </x:c>
      <x:c r="I1102" s="32" t="n">
        <x:f>ROUND((H1102-G1102)*1440,0)</x:f>
        <x:v>9</x:v>
      </x:c>
      <x:c r="J1102" s="13" t="str">
        <x:v>Лёгкая выносливость</x:v>
      </x:c>
      <x:c r="K1102" s="13" t="str">
        <x:v>Выполни 1 раунд × 3 очень лёгкие трассы. Выбирай только трассы 1–3; усталость предплечий максимум 4/10.</x:v>
      </x:c>
      <x:c r="L1102" s="13" t="str">
        <x:v>☐ Не начато</x:v>
      </x:c>
      <x:c r="M1102" s="13" t="str">
        <x:v>Обязательно</x:v>
      </x:c>
      <x:c r="N1102" s="13" t="str">
        <x:v>RPE 4</x:v>
      </x:c>
      <x:c r="O1102" s="13" t="str">
        <x:v>Пропусти блок, если точность ног уже ухудшилась.</x:v>
      </x:c>
      <x:c r="P1102" s="13" t="str">
        <x:v>milestone_04_grip_literacy_strength/week_16_2026-12-21/02_TUESDAY.md</x:v>
      </x:c>
      <x:c r="Q1102" s="138" t="str">
        <x:v>Markdown</x:v>
      </x:c>
      <x:c r="R1102" s="20" t="str"/>
    </x:row>
    <x:row r="1103" ht="36" customHeight="1">
      <x:c r="A1103" s="19" t="str">
        <x:v>W16-20261222-1102</x:v>
      </x:c>
      <x:c r="B1103" s="13" t="n">
        <x:v>16</x:v>
      </x:c>
      <x:c r="C1103" s="13" t="str">
        <x:v>Этап 4 — Типы хвата и специфическая сила пальцев</x:v>
      </x:c>
      <x:c r="D1103" s="138" t="str">
        <x:v>2026-12-22</x:v>
      </x:c>
      <x:c r="E1103" s="13" t="str">
        <x:v>Вторник</x:v>
      </x:c>
      <x:c r="F1103" s="13" t="str">
        <x:v>Тренировка A — техника/объём</x:v>
      </x:c>
      <x:c r="G1103" s="44" t="n">
        <x:v>0.05</x:v>
      </x:c>
      <x:c r="H1103" s="44" t="n">
        <x:v>0.05694444444444444</x:v>
      </x:c>
      <x:c r="I1103" s="32" t="n">
        <x:f>ROUND((H1103-G1103)*1440,0)</x:f>
        <x:v>10</x:v>
      </x:c>
      <x:c r="J1103" s="13" t="str">
        <x:v>Видеоразбор на месте</x:v>
      </x:c>
      <x:c r="K1103" s="13" t="str">
        <x:v>Сравни сегодняшнее видео с неделей 12: лишние стопы, положение таза, первый ранний lock-off.</x:v>
      </x:c>
      <x:c r="L1103" s="13" t="str">
        <x:v>☐ Не начато</x:v>
      </x:c>
      <x:c r="M1103" s="13" t="str">
        <x:v>Обязательно</x:v>
      </x:c>
      <x:c r="N1103" s="13" t="str">
        <x:v>Без нагрузки</x:v>
      </x:c>
      <x:c r="O1103" s="13" t="str"/>
      <x:c r="P1103" s="13" t="str">
        <x:v>milestone_04_grip_literacy_strength/week_16_2026-12-21/02_TUESDAY.md</x:v>
      </x:c>
      <x:c r="Q1103" s="138" t="str">
        <x:v>Markdown</x:v>
      </x:c>
      <x:c r="R1103" s="20" t="str"/>
    </x:row>
    <x:row r="1104" ht="36" customHeight="1">
      <x:c r="A1104" s="19" t="str">
        <x:v>W16-20261222-1103</x:v>
      </x:c>
      <x:c r="B1104" s="13" t="n">
        <x:v>16</x:v>
      </x:c>
      <x:c r="C1104" s="13" t="str">
        <x:v>Этап 4 — Типы хвата и специфическая сила пальцев</x:v>
      </x:c>
      <x:c r="D1104" s="138" t="str">
        <x:v>2026-12-22</x:v>
      </x:c>
      <x:c r="E1104" s="13" t="str">
        <x:v>Вторник</x:v>
      </x:c>
      <x:c r="F1104" s="13" t="str">
        <x:v>Тренировка A — техника/объём</x:v>
      </x:c>
      <x:c r="G1104" s="44" t="n">
        <x:v>0.05694444444444444</x:v>
      </x:c>
      <x:c r="H1104" s="44" t="n">
        <x:v>0.0625</x:v>
      </x:c>
      <x:c r="I1104" s="32" t="n">
        <x:f>ROUND((H1104-G1104)*1440,0)</x:f>
        <x:v>8</x:v>
      </x:c>
      <x:c r="J1104" s="13" t="str">
        <x:v>Журнал / завершение</x:v>
      </x:c>
      <x:c r="K1104" s="13" t="str">
        <x:v>Запиши benchmark: Тест: удерживается ли рабочее качество хвата позже, чем в неделю 1; вырос ли процент пятёрок.; затем спокойно закончи тренировку.</x:v>
      </x:c>
      <x:c r="L1104" s="13" t="str">
        <x:v>☐ Не начато</x:v>
      </x:c>
      <x:c r="M1104" s="13" t="str">
        <x:v>Обязательно</x:v>
      </x:c>
      <x:c r="N1104" s="13" t="str">
        <x:v>Очень легко</x:v>
      </x:c>
      <x:c r="O1104" s="13" t="str"/>
      <x:c r="P1104" s="13" t="str">
        <x:v>milestone_04_grip_literacy_strength/week_16_2026-12-21/02_TUESDAY.md</x:v>
      </x:c>
      <x:c r="Q1104" s="138" t="str">
        <x:v>Markdown</x:v>
      </x:c>
      <x:c r="R1104" s="20" t="str"/>
    </x:row>
    <x:row r="1105" ht="36" customHeight="1">
      <x:c r="A1105" s="19" t="str">
        <x:v>W16-20261223-1104</x:v>
      </x:c>
      <x:c r="B1105" s="13" t="n">
        <x:v>16</x:v>
      </x:c>
      <x:c r="C1105" s="13" t="str">
        <x:v>Этап 4 — Типы хвата и специфическая сила пальцев</x:v>
      </x:c>
      <x:c r="D1105" s="138" t="str">
        <x:v>2026-12-23</x:v>
      </x:c>
      <x:c r="E1105" s="13" t="str">
        <x:v>Среда</x:v>
      </x:c>
      <x:c r="F1105" s="13" t="str">
        <x:v>Восстановление / видео</x:v>
      </x:c>
      <x:c r="G1105" s="44" t="n">
        <x:v>0</x:v>
      </x:c>
      <x:c r="H1105" s="44" t="n">
        <x:v>0.006944444444444444</x:v>
      </x:c>
      <x:c r="I1105" s="32" t="n">
        <x:f>ROUND((H1105-G1105)*1440,0)</x:f>
        <x:v>10</x:v>
      </x:c>
      <x:c r="J1105" s="13" t="str">
        <x:v>Восстановление</x:v>
      </x:c>
      <x:c r="K1105" s="13" t="str">
        <x:v>10 минут спокойной ходьбы. Руки расслаблены; это не тренировка выносливости.</x:v>
      </x:c>
      <x:c r="L1105" s="13" t="str">
        <x:v>☐ Не начато</x:v>
      </x:c>
      <x:c r="M1105" s="13" t="str">
        <x:v>Обязательно</x:v>
      </x:c>
      <x:c r="N1105" s="13" t="str">
        <x:v>RPE 1–2</x:v>
      </x:c>
      <x:c r="O1105" s="13" t="str"/>
      <x:c r="P1105" s="13" t="str">
        <x:v>milestone_04_grip_literacy_strength/week_16_2026-12-21/03_WEDNESDAY.md</x:v>
      </x:c>
      <x:c r="Q1105" s="138" t="str">
        <x:v>Markdown</x:v>
      </x:c>
      <x:c r="R1105" s="20" t="str"/>
    </x:row>
    <x:row r="1106" ht="36" customHeight="1">
      <x:c r="A1106" s="19" t="str">
        <x:v>W16-20261223-1105</x:v>
      </x:c>
      <x:c r="B1106" s="13" t="n">
        <x:v>16</x:v>
      </x:c>
      <x:c r="C1106" s="13" t="str">
        <x:v>Этап 4 — Типы хвата и специфическая сила пальцев</x:v>
      </x:c>
      <x:c r="D1106" s="138" t="str">
        <x:v>2026-12-23</x:v>
      </x:c>
      <x:c r="E1106" s="13" t="str">
        <x:v>Среда</x:v>
      </x:c>
      <x:c r="F1106" s="13" t="str">
        <x:v>Восстановление / видео</x:v>
      </x:c>
      <x:c r="G1106" s="44" t="n">
        <x:v>0.006944444444444444</x:v>
      </x:c>
      <x:c r="H1106" s="44" t="n">
        <x:v>0.009027777777777777</x:v>
      </x:c>
      <x:c r="I1106" s="32" t="n">
        <x:f>ROUND((H1106-G1106)*1440,0)</x:f>
        <x:v>3</x:v>
      </x:c>
      <x:c r="J1106" s="13" t="str">
        <x:v>Самопроверка</x:v>
      </x:c>
      <x:c r="K1106" s="13" t="str">
        <x:v>Оцени реакцию после вторника: плечо, пальцы, правое колено 0–10. Запиши, что изменилось относительно вчерашнего утра.</x:v>
      </x:c>
      <x:c r="L1106" s="13" t="str">
        <x:v>☐ Не начато</x:v>
      </x:c>
      <x:c r="M1106" s="13" t="str">
        <x:v>Обязательно</x:v>
      </x:c>
      <x:c r="N1106" s="13" t="str">
        <x:v>Без нагрузки</x:v>
      </x:c>
      <x:c r="O1106" s="13" t="str">
        <x:v>Острая локальная боль пальца или ухудшение плеча = не делать четверговую пальцевую нагрузку.</x:v>
      </x:c>
      <x:c r="P1106" s="13" t="str">
        <x:v>milestone_04_grip_literacy_strength/week_16_2026-12-21/03_WEDNESDAY.md</x:v>
      </x:c>
      <x:c r="Q1106" s="138" t="str">
        <x:v>Markdown</x:v>
      </x:c>
      <x:c r="R1106" s="20" t="str"/>
    </x:row>
    <x:row r="1107" ht="36" customHeight="1">
      <x:c r="A1107" s="19" t="str">
        <x:v>W16-20261223-1106</x:v>
      </x:c>
      <x:c r="B1107" s="13" t="n">
        <x:v>16</x:v>
      </x:c>
      <x:c r="C1107" s="13" t="str">
        <x:v>Этап 4 — Типы хвата и специфическая сила пальцев</x:v>
      </x:c>
      <x:c r="D1107" s="138" t="str">
        <x:v>2026-12-23</x:v>
      </x:c>
      <x:c r="E1107" s="13" t="str">
        <x:v>Среда</x:v>
      </x:c>
      <x:c r="F1107" s="13" t="str">
        <x:v>Восстановление / видео</x:v>
      </x:c>
      <x:c r="G1107" s="44" t="n">
        <x:v>0.009027777777777777</x:v>
      </x:c>
      <x:c r="H1107" s="44" t="n">
        <x:v>0.01597222222222222</x:v>
      </x:c>
      <x:c r="I1107" s="32" t="n">
        <x:f>ROUND((H1107-G1107)*1440,0)</x:f>
        <x:v>10</x:v>
      </x:c>
      <x:c r="J1107" s="13" t="str">
        <x:v>Видеоразбор</x:v>
      </x:c>
      <x:c r="K1107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107" s="13" t="str">
        <x:v>☐ Не начато</x:v>
      </x:c>
      <x:c r="M1107" s="13" t="str">
        <x:v>Обязательно</x:v>
      </x:c>
      <x:c r="N1107" s="13" t="str">
        <x:v>Без нагрузки</x:v>
      </x:c>
      <x:c r="O1107" s="13" t="str"/>
      <x:c r="P1107" s="13" t="str">
        <x:v>milestone_04_grip_literacy_strength/week_16_2026-12-21/03_WEDNESDAY.md</x:v>
      </x:c>
      <x:c r="Q1107" s="138" t="str">
        <x:v>Markdown</x:v>
      </x:c>
      <x:c r="R1107" s="20" t="str"/>
    </x:row>
    <x:row r="1108" ht="36" customHeight="1">
      <x:c r="A1108" s="19" t="str">
        <x:v>W16-20261223-1107</x:v>
      </x:c>
      <x:c r="B1108" s="13" t="n">
        <x:v>16</x:v>
      </x:c>
      <x:c r="C1108" s="13" t="str">
        <x:v>Этап 4 — Типы хвата и специфическая сила пальцев</x:v>
      </x:c>
      <x:c r="D1108" s="138" t="str">
        <x:v>2026-12-23</x:v>
      </x:c>
      <x:c r="E1108" s="13" t="str">
        <x:v>Среда</x:v>
      </x:c>
      <x:c r="F1108" s="13" t="str">
        <x:v>Восстановление / видео</x:v>
      </x:c>
      <x:c r="G1108" s="44" t="n">
        <x:v>0.01597222222222222</x:v>
      </x:c>
      <x:c r="H1108" s="44" t="n">
        <x:v>0.01875</x:v>
      </x:c>
      <x:c r="I1108" s="32" t="n">
        <x:f>ROUND((H1108-G1108)*1440,0)</x:f>
        <x:v>4</x:v>
      </x:c>
      <x:c r="J1108" s="13" t="str">
        <x:v>Конспект</x:v>
      </x:c>
      <x:c r="K1108" s="13" t="str">
        <x:v>Запиши одну правку на четверг в формате «В следующей попытке я…». Используй cue: «Техника одинаковая в первой и последней качественной попытке.».</x:v>
      </x:c>
      <x:c r="L1108" s="13" t="str">
        <x:v>☐ Не начато</x:v>
      </x:c>
      <x:c r="M1108" s="13" t="str">
        <x:v>Обязательно</x:v>
      </x:c>
      <x:c r="N1108" s="13" t="str">
        <x:v>Без нагрузки</x:v>
      </x:c>
      <x:c r="O1108" s="13" t="str"/>
      <x:c r="P1108" s="13" t="str">
        <x:v>milestone_04_grip_literacy_strength/week_16_2026-12-21/03_WEDNESDAY.md</x:v>
      </x:c>
      <x:c r="Q1108" s="138" t="str">
        <x:v>Markdown</x:v>
      </x:c>
      <x:c r="R1108" s="20" t="str"/>
    </x:row>
    <x:row r="1109" ht="36" customHeight="1">
      <x:c r="A1109" s="19" t="str">
        <x:v>W16-20261223-1108</x:v>
      </x:c>
      <x:c r="B1109" s="13" t="n">
        <x:v>16</x:v>
      </x:c>
      <x:c r="C1109" s="13" t="str">
        <x:v>Этап 4 — Типы хвата и специфическая сила пальцев</x:v>
      </x:c>
      <x:c r="D1109" s="138" t="str">
        <x:v>2026-12-23</x:v>
      </x:c>
      <x:c r="E1109" s="13" t="str">
        <x:v>Среда</x:v>
      </x:c>
      <x:c r="F1109" s="13" t="str">
        <x:v>Восстановление / видео</x:v>
      </x:c>
      <x:c r="G1109" s="44" t="n">
        <x:v>0.01875</x:v>
      </x:c>
      <x:c r="H1109" s="44" t="n">
        <x:v>0.027083333333333334</x:v>
      </x:c>
      <x:c r="I1109" s="32" t="n">
        <x:f>ROUND((H1109-G1109)*1440,0)</x:f>
        <x:v>12</x:v>
      </x:c>
      <x:c r="J1109" s="13" t="str">
        <x:v>Домашняя мобильность</x:v>
      </x:c>
      <x:c r="K1109" s="13" t="str">
        <x:v>Выполни комплекс H2 «Баланс и опора ног», 12 минут. Ни турника, ни колец для дополнительного хвата.</x:v>
      </x:c>
      <x:c r="L1109" s="13" t="str">
        <x:v>☐ Не начато</x:v>
      </x:c>
      <x:c r="M1109" s="13" t="str">
        <x:v>Обязательно</x:v>
      </x:c>
      <x:c r="N1109" s="13" t="str">
        <x:v>RPE 2–3</x:v>
      </x:c>
      <x:c r="O1109" s="13" t="str">
        <x:v>Не уходи в глубокий присед. Стена используется как страховка; упражнение не должно провоцировать правое колено.</x:v>
      </x:c>
      <x:c r="P1109" s="13" t="str">
        <x:v>milestone_04_grip_literacy_strength/week_16_2026-12-21/03_WEDNESDAY.md</x:v>
      </x:c>
      <x:c r="Q1109" s="138" t="str">
        <x:v>Markdown</x:v>
      </x:c>
      <x:c r="R1109" s="20" t="str"/>
    </x:row>
    <x:row r="1110" ht="36" customHeight="1">
      <x:c r="A1110" s="19" t="str">
        <x:v>W16-20261223-1109</x:v>
      </x:c>
      <x:c r="B1110" s="13" t="n">
        <x:v>16</x:v>
      </x:c>
      <x:c r="C1110" s="13" t="str">
        <x:v>Этап 4 — Типы хвата и специфическая сила пальцев</x:v>
      </x:c>
      <x:c r="D1110" s="138" t="str">
        <x:v>2026-12-23</x:v>
      </x:c>
      <x:c r="E1110" s="13" t="str">
        <x:v>Среда</x:v>
      </x:c>
      <x:c r="F1110" s="13" t="str">
        <x:v>Восстановление / видео</x:v>
      </x:c>
      <x:c r="G1110" s="44" t="n">
        <x:v>0.027083333333333334</x:v>
      </x:c>
      <x:c r="H1110" s="44" t="n">
        <x:v>0.04097222222222222</x:v>
      </x:c>
      <x:c r="I1110" s="32" t="n">
        <x:f>ROUND((H1110-G1110)*1440,0)</x:f>
        <x:v>20</x:v>
      </x:c>
      <x:c r="J1110" s="13" t="str">
        <x:v>Физиотерапия</x:v>
      </x:c>
      <x:c r="K1110" s="13" t="str">
        <x:v>Выполни свой назначенный физиотерапевтом комплекс, если среда входит в его расписание.</x:v>
      </x:c>
      <x:c r="L1110" s="13" t="str">
        <x:v>☐ Не начато</x:v>
      </x:c>
      <x:c r="M1110" s="13" t="str">
        <x:v>По назначению</x:v>
      </x:c>
      <x:c r="N1110" s="13" t="str">
        <x:v>По назначению</x:v>
      </x:c>
      <x:c r="O1110" s="13" t="str">
        <x:v>Назначения физиотерапевта имеют приоритет.</x:v>
      </x:c>
      <x:c r="P1110" s="13" t="str">
        <x:v>milestone_04_grip_literacy_strength/week_16_2026-12-21/03_WEDNESDAY.md</x:v>
      </x:c>
      <x:c r="Q1110" s="138" t="str">
        <x:v>Markdown</x:v>
      </x:c>
      <x:c r="R1110" s="20" t="str"/>
    </x:row>
    <x:row r="1111" ht="36" customHeight="1">
      <x:c r="A1111" s="19" t="str">
        <x:v>W16-20261223-1110</x:v>
      </x:c>
      <x:c r="B1111" s="13" t="n">
        <x:v>16</x:v>
      </x:c>
      <x:c r="C1111" s="13" t="str">
        <x:v>Этап 4 — Типы хвата и специфическая сила пальцев</x:v>
      </x:c>
      <x:c r="D1111" s="138" t="str">
        <x:v>2026-12-23</x:v>
      </x:c>
      <x:c r="E1111" s="13" t="str">
        <x:v>Среда</x:v>
      </x:c>
      <x:c r="F1111" s="13" t="str">
        <x:v>Восстановление / видео</x:v>
      </x:c>
      <x:c r="G1111" s="44" t="n">
        <x:v>0.04097222222222222</x:v>
      </x:c>
      <x:c r="H1111" s="44" t="n">
        <x:v>0.043055555555555555</x:v>
      </x:c>
      <x:c r="I1111" s="32" t="n">
        <x:f>ROUND((H1111-G1111)*1440,0)</x:f>
        <x:v>3</x:v>
      </x:c>
      <x:c r="J1111" s="13" t="str">
        <x:v>Запрет лишней нагрузки</x:v>
      </x:c>
      <x:c r="K1111" s="13" t="str">
        <x:v>Поставь отметку: сегодня не было висов, подтягиваний «на проверку», эспандера-сжимателя или тяжёлого ношения.</x:v>
      </x:c>
      <x:c r="L1111" s="13" t="str">
        <x:v>☐ Не начато</x:v>
      </x:c>
      <x:c r="M1111" s="13" t="str">
        <x:v>Обязательно</x:v>
      </x:c>
      <x:c r="N1111" s="13" t="str">
        <x:v>Восстановление</x:v>
      </x:c>
      <x:c r="O1111" s="13" t="str"/>
      <x:c r="P1111" s="13" t="str">
        <x:v>milestone_04_grip_literacy_strength/week_16_2026-12-21/03_WEDNESDAY.md</x:v>
      </x:c>
      <x:c r="Q1111" s="138" t="str">
        <x:v>Markdown</x:v>
      </x:c>
      <x:c r="R1111" s="20" t="str"/>
    </x:row>
    <x:row r="1112" ht="36" customHeight="1">
      <x:c r="A1112" s="19" t="str">
        <x:v>W16-20261224-1111</x:v>
      </x:c>
      <x:c r="B1112" s="13" t="n">
        <x:v>16</x:v>
      </x:c>
      <x:c r="C1112" s="13" t="str">
        <x:v>Этап 4 — Типы хвата и специфическая сила пальцев</x:v>
      </x:c>
      <x:c r="D1112" s="138" t="str">
        <x:v>2026-12-24</x:v>
      </x:c>
      <x:c r="E1112" s="13" t="str">
        <x:v>Четверг</x:v>
      </x:c>
      <x:c r="F1112" s="13" t="str">
        <x:v>Тренировка B — пальцы/проект</x:v>
      </x:c>
      <x:c r="G1112" s="44" t="n">
        <x:v>0</x:v>
      </x:c>
      <x:c r="H1112" s="44" t="n">
        <x:v>0.0020833333333333333</x:v>
      </x:c>
      <x:c r="I1112" s="32" t="n">
        <x:f>ROUND((H1112-G1112)*1440,0)</x:f>
        <x:v>3</x:v>
      </x:c>
      <x:c r="J1112" s="13" t="str">
        <x:v>Самопроверка</x:v>
      </x:c>
      <x:c r="K111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112" s="13" t="str">
        <x:v>☐ Не начато</x:v>
      </x:c>
      <x:c r="M1112" s="13" t="str">
        <x:v>Обязательно</x:v>
      </x:c>
      <x:c r="N1112" s="13" t="str">
        <x:v>Без нагрузки</x:v>
      </x:c>
      <x:c r="O1112" s="13" t="str">
        <x:v>Красный флаг = не начинать пальцевую нагрузку.</x:v>
      </x:c>
      <x:c r="P1112" s="13" t="str">
        <x:v>milestone_04_grip_literacy_strength/week_16_2026-12-21/04_THURSDAY.md</x:v>
      </x:c>
      <x:c r="Q1112" s="138" t="str">
        <x:v>Markdown</x:v>
      </x:c>
      <x:c r="R1112" s="20" t="str"/>
    </x:row>
    <x:row r="1113" ht="36" customHeight="1">
      <x:c r="A1113" s="19" t="str">
        <x:v>W16-20261224-1112</x:v>
      </x:c>
      <x:c r="B1113" s="13" t="n">
        <x:v>16</x:v>
      </x:c>
      <x:c r="C1113" s="13" t="str">
        <x:v>Этап 4 — Типы хвата и специфическая сила пальцев</x:v>
      </x:c>
      <x:c r="D1113" s="138" t="str">
        <x:v>2026-12-24</x:v>
      </x:c>
      <x:c r="E1113" s="13" t="str">
        <x:v>Четверг</x:v>
      </x:c>
      <x:c r="F1113" s="13" t="str">
        <x:v>Тренировка B — пальцы/проект</x:v>
      </x:c>
      <x:c r="G1113" s="44" t="n">
        <x:v>0.0020833333333333333</x:v>
      </x:c>
      <x:c r="H1113" s="44" t="n">
        <x:v>0.005555555555555556</x:v>
      </x:c>
      <x:c r="I1113" s="32" t="n">
        <x:f>ROUND((H1113-G1113)*1440,0)</x:f>
        <x:v>5</x:v>
      </x:c>
      <x:c r="J1113" s="13" t="str">
        <x:v>Разминка</x:v>
      </x:c>
      <x:c r="K1113" s="13" t="str">
        <x:v>Подними температуру: быстрая ходьба, лестница или лёгкий велотренажёр 5 минут.</x:v>
      </x:c>
      <x:c r="L1113" s="13" t="str">
        <x:v>☐ Не начато</x:v>
      </x:c>
      <x:c r="M1113" s="13" t="str">
        <x:v>Обязательно</x:v>
      </x:c>
      <x:c r="N1113" s="13" t="str">
        <x:v>RPE 2–3</x:v>
      </x:c>
      <x:c r="O1113" s="13" t="str"/>
      <x:c r="P1113" s="13" t="str">
        <x:v>milestone_04_grip_literacy_strength/week_16_2026-12-21/04_THURSDAY.md</x:v>
      </x:c>
      <x:c r="Q1113" s="138" t="str">
        <x:v>Markdown</x:v>
      </x:c>
      <x:c r="R1113" s="20" t="str"/>
    </x:row>
    <x:row r="1114" ht="36" customHeight="1">
      <x:c r="A1114" s="19" t="str">
        <x:v>W16-20261224-1113</x:v>
      </x:c>
      <x:c r="B1114" s="13" t="n">
        <x:v>16</x:v>
      </x:c>
      <x:c r="C1114" s="13" t="str">
        <x:v>Этап 4 — Типы хвата и специфическая сила пальцев</x:v>
      </x:c>
      <x:c r="D1114" s="138" t="str">
        <x:v>2026-12-24</x:v>
      </x:c>
      <x:c r="E1114" s="13" t="str">
        <x:v>Четверг</x:v>
      </x:c>
      <x:c r="F1114" s="13" t="str">
        <x:v>Тренировка B — пальцы/проект</x:v>
      </x:c>
      <x:c r="G1114" s="44" t="n">
        <x:v>0.005555555555555556</x:v>
      </x:c>
      <x:c r="H1114" s="44" t="n">
        <x:v>0.009027777777777777</x:v>
      </x:c>
      <x:c r="I1114" s="32" t="n">
        <x:f>ROUND((H1114-G1114)*1440,0)</x:f>
        <x:v>5</x:v>
      </x:c>
      <x:c r="J1114" s="13" t="str">
        <x:v>Разминка</x:v>
      </x:c>
      <x:c r="K111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114" s="13" t="str">
        <x:v>☐ Не начато</x:v>
      </x:c>
      <x:c r="M1114" s="13" t="str">
        <x:v>Обязательно</x:v>
      </x:c>
      <x:c r="N1114" s="13" t="str">
        <x:v>Очень легко</x:v>
      </x:c>
      <x:c r="O1114" s="13" t="str">
        <x:v>Не делай press/отжимания и движения, которые раздражают плечо.</x:v>
      </x:c>
      <x:c r="P1114" s="13" t="str">
        <x:v>milestone_04_grip_literacy_strength/week_16_2026-12-21/04_THURSDAY.md</x:v>
      </x:c>
      <x:c r="Q1114" s="138" t="str">
        <x:v>Markdown</x:v>
      </x:c>
      <x:c r="R1114" s="20" t="str"/>
    </x:row>
    <x:row r="1115" ht="36" customHeight="1">
      <x:c r="A1115" s="19" t="str">
        <x:v>W16-20261224-1114</x:v>
      </x:c>
      <x:c r="B1115" s="13" t="n">
        <x:v>16</x:v>
      </x:c>
      <x:c r="C1115" s="13" t="str">
        <x:v>Этап 4 — Типы хвата и специфическая сила пальцев</x:v>
      </x:c>
      <x:c r="D1115" s="138" t="str">
        <x:v>2026-12-24</x:v>
      </x:c>
      <x:c r="E1115" s="13" t="str">
        <x:v>Четверг</x:v>
      </x:c>
      <x:c r="F1115" s="13" t="str">
        <x:v>Тренировка B — пальцы/проект</x:v>
      </x:c>
      <x:c r="G1115" s="44" t="n">
        <x:v>0.009027777777777777</x:v>
      </x:c>
      <x:c r="H1115" s="44" t="n">
        <x:v>0.011805555555555555</x:v>
      </x:c>
      <x:c r="I1115" s="32" t="n">
        <x:f>ROUND((H1115-G1115)*1440,0)</x:f>
        <x:v>4</x:v>
      </x:c>
      <x:c r="J1115" s="13" t="str">
        <x:v>Разминка пальцев</x:v>
      </x:c>
      <x:c r="K111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115" s="13" t="str">
        <x:v>☐ Не начато</x:v>
      </x:c>
      <x:c r="M1115" s="13" t="str">
        <x:v>Обязательно</x:v>
      </x:c>
      <x:c r="N1115" s="13" t="str">
        <x:v>Очень легко</x:v>
      </x:c>
      <x:c r="O1115" s="13" t="str"/>
      <x:c r="P1115" s="13" t="str">
        <x:v>milestone_04_grip_literacy_strength/week_16_2026-12-21/04_THURSDAY.md</x:v>
      </x:c>
      <x:c r="Q1115" s="138" t="str">
        <x:v>Markdown</x:v>
      </x:c>
      <x:c r="R1115" s="20" t="str"/>
    </x:row>
    <x:row r="1116" ht="36" customHeight="1">
      <x:c r="A1116" s="19" t="str">
        <x:v>W16-20261224-1115</x:v>
      </x:c>
      <x:c r="B1116" s="13" t="n">
        <x:v>16</x:v>
      </x:c>
      <x:c r="C1116" s="13" t="str">
        <x:v>Этап 4 — Типы хвата и специфическая сила пальцев</x:v>
      </x:c>
      <x:c r="D1116" s="138" t="str">
        <x:v>2026-12-24</x:v>
      </x:c>
      <x:c r="E1116" s="13" t="str">
        <x:v>Четверг</x:v>
      </x:c>
      <x:c r="F1116" s="13" t="str">
        <x:v>Тренировка B — пальцы/проект</x:v>
      </x:c>
      <x:c r="G1116" s="44" t="n">
        <x:v>0.011805555555555555</x:v>
      </x:c>
      <x:c r="H1116" s="44" t="n">
        <x:v>0.014583333333333334</x:v>
      </x:c>
      <x:c r="I1116" s="32" t="n">
        <x:f>ROUND((H1116-G1116)*1440,0)</x:f>
        <x:v>4</x:v>
      </x:c>
      <x:c r="J1116" s="13" t="str">
        <x:v>Разминочное лазание</x:v>
      </x:c>
      <x:c r="K1116" s="13" t="str">
        <x:v>Пройди 2 очень лёгкие трассы уровня 1–2; двигайся медленно, спускайся по зацепам.</x:v>
      </x:c>
      <x:c r="L1116" s="13" t="str">
        <x:v>☐ Не начато</x:v>
      </x:c>
      <x:c r="M1116" s="13" t="str">
        <x:v>Обязательно</x:v>
      </x:c>
      <x:c r="N1116" s="13" t="str">
        <x:v>RPE 2–3</x:v>
      </x:c>
      <x:c r="O1116" s="13" t="str">
        <x:v>Финиш с обязательным болезненным mantle/press пропусти.</x:v>
      </x:c>
      <x:c r="P1116" s="13" t="str">
        <x:v>milestone_04_grip_literacy_strength/week_16_2026-12-21/04_THURSDAY.md</x:v>
      </x:c>
      <x:c r="Q1116" s="138" t="str">
        <x:v>Markdown</x:v>
      </x:c>
      <x:c r="R1116" s="20" t="str"/>
    </x:row>
    <x:row r="1117" ht="36" customHeight="1">
      <x:c r="A1117" s="19" t="str">
        <x:v>W16-20261224-1116</x:v>
      </x:c>
      <x:c r="B1117" s="13" t="n">
        <x:v>16</x:v>
      </x:c>
      <x:c r="C1117" s="13" t="str">
        <x:v>Этап 4 — Типы хвата и специфическая сила пальцев</x:v>
      </x:c>
      <x:c r="D1117" s="138" t="str">
        <x:v>2026-12-24</x:v>
      </x:c>
      <x:c r="E1117" s="13" t="str">
        <x:v>Четверг</x:v>
      </x:c>
      <x:c r="F1117" s="13" t="str">
        <x:v>Тренировка B — пальцы/проект</x:v>
      </x:c>
      <x:c r="G1117" s="44" t="n">
        <x:v>0.014583333333333334</x:v>
      </x:c>
      <x:c r="H1117" s="44" t="n">
        <x:v>0.017361111111111112</x:v>
      </x:c>
      <x:c r="I1117" s="32" t="n">
        <x:f>ROUND((H1117-G1117)*1440,0)</x:f>
        <x:v>4</x:v>
      </x:c>
      <x:c r="J1117" s="13" t="str">
        <x:v>Разминочное лазание</x:v>
      </x:c>
      <x:c r="K1117" s="13" t="str">
        <x:v>Пройди 2 трассы уровня 2–3, затем сделай 2–3 движения на комфортной четвёрке. Между ними 45–60 секунд.</x:v>
      </x:c>
      <x:c r="L1117" s="13" t="str">
        <x:v>☐ Не начато</x:v>
      </x:c>
      <x:c r="M1117" s="13" t="str">
        <x:v>Обязательно</x:v>
      </x:c>
      <x:c r="N1117" s="13" t="str">
        <x:v>RPE 3–4</x:v>
      </x:c>
      <x:c r="O1117" s="13" t="str">
        <x:v>Разминка не должна утомить пальцы.</x:v>
      </x:c>
      <x:c r="P1117" s="13" t="str">
        <x:v>milestone_04_grip_literacy_strength/week_16_2026-12-21/04_THURSDAY.md</x:v>
      </x:c>
      <x:c r="Q1117" s="138" t="str">
        <x:v>Markdown</x:v>
      </x:c>
      <x:c r="R1117" s="20" t="str"/>
    </x:row>
    <x:row r="1118" ht="36" customHeight="1">
      <x:c r="A1118" s="19" t="str">
        <x:v>W16-20261224-1117</x:v>
      </x:c>
      <x:c r="B1118" s="13" t="n">
        <x:v>16</x:v>
      </x:c>
      <x:c r="C1118" s="13" t="str">
        <x:v>Этап 4 — Типы хвата и специфическая сила пальцев</x:v>
      </x:c>
      <x:c r="D1118" s="138" t="str">
        <x:v>2026-12-24</x:v>
      </x:c>
      <x:c r="E1118" s="13" t="str">
        <x:v>Четверг</x:v>
      </x:c>
      <x:c r="F1118" s="13" t="str">
        <x:v>Тренировка B — пальцы/проект</x:v>
      </x:c>
      <x:c r="G1118" s="44" t="n">
        <x:v>0.017361111111111112</x:v>
      </x:c>
      <x:c r="H1118" s="44" t="n">
        <x:v>0.019444444444444445</x:v>
      </x:c>
      <x:c r="I1118" s="32" t="n">
        <x:f>ROUND((H1118-G1118)*1440,0)</x:f>
        <x:v>3</x:v>
      </x:c>
      <x:c r="J1118" s="13" t="str">
        <x:v>Фингерборд — готовность</x:v>
      </x:c>
      <x:c r="K1118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118" s="13" t="str">
        <x:v>☐ Не начато</x:v>
      </x:c>
      <x:c r="M1118" s="13" t="str">
        <x:v>Обязательно</x:v>
      </x:c>
      <x:c r="N1118" s="13" t="str">
        <x:v>Подготовка</x:v>
      </x:c>
      <x:c r="O1118" s="13" t="str">
        <x:v>Плечо полностью спокойно; full crimp, карманы, одна рука и допвес запрещены.</x:v>
      </x:c>
      <x:c r="P1118" s="13" t="str">
        <x:v>milestone_04_grip_literacy_strength/week_16_2026-12-21/04_THURSDAY.md</x:v>
      </x:c>
      <x:c r="Q1118" s="138" t="str">
        <x:v>Markdown</x:v>
      </x:c>
      <x:c r="R1118" s="20" t="str"/>
    </x:row>
    <x:row r="1119" ht="36" customHeight="1">
      <x:c r="A1119" s="19" t="str">
        <x:v>W16-20261224-1118</x:v>
      </x:c>
      <x:c r="B1119" s="13" t="n">
        <x:v>16</x:v>
      </x:c>
      <x:c r="C1119" s="13" t="str">
        <x:v>Этап 4 — Типы хвата и специфическая сила пальцев</x:v>
      </x:c>
      <x:c r="D1119" s="138" t="str">
        <x:v>2026-12-24</x:v>
      </x:c>
      <x:c r="E1119" s="13" t="str">
        <x:v>Четверг</x:v>
      </x:c>
      <x:c r="F1119" s="13" t="str">
        <x:v>Тренировка B — пальцы/проект</x:v>
      </x:c>
      <x:c r="G1119" s="44" t="n">
        <x:v>0.019444444444444445</x:v>
      </x:c>
      <x:c r="H1119" s="44" t="n">
        <x:v>0.029861111111111113</x:v>
      </x:c>
      <x:c r="I1119" s="32" t="n">
        <x:f>ROUND((H1119-G1119)*1440,0)</x:f>
        <x:v>15</x:v>
      </x:c>
      <x:c r="J1119" s="13" t="str">
        <x:v>Фингерборд</x:v>
      </x:c>
      <x:c r="K1119" s="13" t="str">
        <x:v>Выполни протокол: 3 × 7 сек, ноги помогают, RPE 6, отдых 2:00. Запусти таймер. Каждый вис прекращай с указанным запасом; форма кисти не меняется.</x:v>
      </x:c>
      <x:c r="L1119" s="13" t="str">
        <x:v>☐ Не начато</x:v>
      </x:c>
      <x:c r="M1119" s="13" t="str">
        <x:v>Обязательно</x:v>
      </x:c>
      <x:c r="N1119" s="13" t="str">
        <x:v>3 × 7 сек, ноги помогают, RPE 6, отдых 2:00</x:v>
      </x:c>
      <x:c r="O1119" s="13" t="str">
        <x:v>Острая боль, дрожь формы, падение RPE-контроля или боль плеча = закончить блок.</x:v>
      </x:c>
      <x:c r="P1119" s="13" t="str">
        <x:v>milestone_04_grip_literacy_strength/week_16_2026-12-21/04_THURSDAY.md</x:v>
      </x:c>
      <x:c r="Q1119" s="138" t="str">
        <x:v>Markdown</x:v>
      </x:c>
      <x:c r="R1119" s="20" t="str"/>
    </x:row>
    <x:row r="1120" ht="36" customHeight="1">
      <x:c r="A1120" s="19" t="str">
        <x:v>W16-20261224-1119</x:v>
      </x:c>
      <x:c r="B1120" s="13" t="n">
        <x:v>16</x:v>
      </x:c>
      <x:c r="C1120" s="13" t="str">
        <x:v>Этап 4 — Типы хвата и специфическая сила пальцев</x:v>
      </x:c>
      <x:c r="D1120" s="138" t="str">
        <x:v>2026-12-24</x:v>
      </x:c>
      <x:c r="E1120" s="13" t="str">
        <x:v>Четверг</x:v>
      </x:c>
      <x:c r="F1120" s="13" t="str">
        <x:v>Тренировка B — пальцы/проект</x:v>
      </x:c>
      <x:c r="G1120" s="44" t="n">
        <x:v>0.029861111111111113</x:v>
      </x:c>
      <x:c r="H1120" s="44" t="n">
        <x:v>0.03194444444444444</x:v>
      </x:c>
      <x:c r="I1120" s="32" t="n">
        <x:f>ROUND((H1120-G1120)*1440,0)</x:f>
        <x:v>3</x:v>
      </x:c>
      <x:c r="J1120" s="13" t="str">
        <x:v>Фингерборд — запись</x:v>
      </x:c>
      <x:c r="K1120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120" s="13" t="str">
        <x:v>☐ Не начато</x:v>
      </x:c>
      <x:c r="M1120" s="13" t="str">
        <x:v>Обязательно</x:v>
      </x:c>
      <x:c r="N1120" s="13" t="str">
        <x:v>Без нагрузки</x:v>
      </x:c>
      <x:c r="O1120" s="13" t="str"/>
      <x:c r="P1120" s="13" t="str">
        <x:v>milestone_04_grip_literacy_strength/week_16_2026-12-21/04_THURSDAY.md</x:v>
      </x:c>
      <x:c r="Q1120" s="138" t="str">
        <x:v>Markdown</x:v>
      </x:c>
      <x:c r="R1120" s="20" t="str"/>
    </x:row>
    <x:row r="1121" ht="36" customHeight="1">
      <x:c r="A1121" s="19" t="str">
        <x:v>W16-20261224-1120</x:v>
      </x:c>
      <x:c r="B1121" s="13" t="n">
        <x:v>16</x:v>
      </x:c>
      <x:c r="C1121" s="13" t="str">
        <x:v>Этап 4 — Типы хвата и специфическая сила пальцев</x:v>
      </x:c>
      <x:c r="D1121" s="138" t="str">
        <x:v>2026-12-24</x:v>
      </x:c>
      <x:c r="E1121" s="13" t="str">
        <x:v>Четверг</x:v>
      </x:c>
      <x:c r="F1121" s="13" t="str">
        <x:v>Тренировка B — пальцы/проект</x:v>
      </x:c>
      <x:c r="G1121" s="44" t="n">
        <x:v>0.03194444444444444</x:v>
      </x:c>
      <x:c r="H1121" s="44" t="n">
        <x:v>0.035416666666666666</x:v>
      </x:c>
      <x:c r="I1121" s="32" t="n">
        <x:f>ROUND((H1121-G1121)*1440,0)</x:f>
        <x:v>5</x:v>
      </x:c>
      <x:c r="J1121" s="13" t="str">
        <x:v>Отдых</x:v>
      </x:c>
      <x:c r="K1121" s="13" t="str">
        <x:v>5 минут полного отдыха: ходьба, вода, без лазания и без тестового виса.</x:v>
      </x:c>
      <x:c r="L1121" s="13" t="str">
        <x:v>☐ Не начато</x:v>
      </x:c>
      <x:c r="M1121" s="13" t="str">
        <x:v>Обязательно</x:v>
      </x:c>
      <x:c r="N1121" s="13" t="str">
        <x:v>Восстановление</x:v>
      </x:c>
      <x:c r="O1121" s="13" t="str"/>
      <x:c r="P1121" s="13" t="str">
        <x:v>milestone_04_grip_literacy_strength/week_16_2026-12-21/04_THURSDAY.md</x:v>
      </x:c>
      <x:c r="Q1121" s="138" t="str">
        <x:v>Markdown</x:v>
      </x:c>
      <x:c r="R1121" s="20" t="str"/>
    </x:row>
    <x:row r="1122" ht="36" customHeight="1">
      <x:c r="A1122" s="19" t="str">
        <x:v>W16-20261224-1121</x:v>
      </x:c>
      <x:c r="B1122" s="13" t="n">
        <x:v>16</x:v>
      </x:c>
      <x:c r="C1122" s="13" t="str">
        <x:v>Этап 4 — Типы хвата и специфическая сила пальцев</x:v>
      </x:c>
      <x:c r="D1122" s="138" t="str">
        <x:v>2026-12-24</x:v>
      </x:c>
      <x:c r="E1122" s="13" t="str">
        <x:v>Четверг</x:v>
      </x:c>
      <x:c r="F1122" s="13" t="str">
        <x:v>Тренировка B — пальцы/проект</x:v>
      </x:c>
      <x:c r="G1122" s="44" t="n">
        <x:v>0.035416666666666666</x:v>
      </x:c>
      <x:c r="H1122" s="44" t="n">
        <x:v>0.03819444444444445</x:v>
      </x:c>
      <x:c r="I1122" s="32" t="n">
        <x:f>ROUND((H1122-G1122)*1440,0)</x:f>
        <x:v>4</x:v>
      </x:c>
      <x:c r="J1122" s="13" t="str">
        <x:v>Выбор проекта</x:v>
      </x:c>
      <x:c r="K1122" s="13" t="str">
        <x:v>Выбери трассу по критериям недели: Одна шестёрка, максимум 3 попытки. После этого сравнить видео недель 12 и 16.</x:v>
      </x:c>
      <x:c r="L1122" s="13" t="str">
        <x:v>☐ Не начато</x:v>
      </x:c>
      <x:c r="M1122" s="13" t="str">
        <x:v>Обязательно</x:v>
      </x:c>
      <x:c r="N1122" s="13" t="str">
        <x:v>Без нагрузки</x:v>
      </x:c>
      <x:c r="O1122" s="13" t="str">
        <x:v>Объём минус 35–40%. Не переходить на меньшую кромку фингерборда.</x:v>
      </x:c>
      <x:c r="P1122" s="13" t="str">
        <x:v>milestone_04_grip_literacy_strength/week_16_2026-12-21/04_THURSDAY.md</x:v>
      </x:c>
      <x:c r="Q1122" s="138" t="str">
        <x:v>Markdown</x:v>
      </x:c>
      <x:c r="R1122" s="20" t="str"/>
    </x:row>
    <x:row r="1123" ht="36" customHeight="1">
      <x:c r="A1123" s="19" t="str">
        <x:v>W16-20261224-1122</x:v>
      </x:c>
      <x:c r="B1123" s="13" t="n">
        <x:v>16</x:v>
      </x:c>
      <x:c r="C1123" s="13" t="str">
        <x:v>Этап 4 — Типы хвата и специфическая сила пальцев</x:v>
      </x:c>
      <x:c r="D1123" s="138" t="str">
        <x:v>2026-12-24</x:v>
      </x:c>
      <x:c r="E1123" s="13" t="str">
        <x:v>Четверг</x:v>
      </x:c>
      <x:c r="F1123" s="13" t="str">
        <x:v>Тренировка B — пальцы/проект</x:v>
      </x:c>
      <x:c r="G1123" s="44" t="n">
        <x:v>0.03819444444444445</x:v>
      </x:c>
      <x:c r="H1123" s="44" t="n">
        <x:v>0.041666666666666664</x:v>
      </x:c>
      <x:c r="I1123" s="32" t="n">
        <x:f>ROUND((H1123-G1123)*1440,0)</x:f>
        <x:v>5</x:v>
      </x:c>
      <x:c r="J1123" s="13" t="str">
        <x:v>Проект — попытка 1</x:v>
      </x:c>
      <x:c r="K1123" s="13" t="str">
        <x:v>Сделай первую полную диагностическую попытку. После падения не повторяй сразу: назови точную причину.</x:v>
      </x:c>
      <x:c r="L1123" s="13" t="str">
        <x:v>☐ Не начато</x:v>
      </x:c>
      <x:c r="M1123" s="13" t="str">
        <x:v>Обязательно</x:v>
      </x:c>
      <x:c r="N1123" s="13" t="str">
        <x:v>RPE 7–8</x:v>
      </x:c>
      <x:c r="O1123" s="13" t="str">
        <x:v>Прекратить движение при боли, а не после падения.</x:v>
      </x:c>
      <x:c r="P1123" s="13" t="str">
        <x:v>milestone_04_grip_literacy_strength/week_16_2026-12-21/04_THURSDAY.md</x:v>
      </x:c>
      <x:c r="Q1123" s="138" t="str">
        <x:v>Markdown</x:v>
      </x:c>
      <x:c r="R1123" s="20" t="str"/>
    </x:row>
    <x:row r="1124" ht="36" customHeight="1">
      <x:c r="A1124" s="19" t="str">
        <x:v>W16-20261224-1123</x:v>
      </x:c>
      <x:c r="B1124" s="13" t="n">
        <x:v>16</x:v>
      </x:c>
      <x:c r="C1124" s="13" t="str">
        <x:v>Этап 4 — Типы хвата и специфическая сила пальцев</x:v>
      </x:c>
      <x:c r="D1124" s="138" t="str">
        <x:v>2026-12-24</x:v>
      </x:c>
      <x:c r="E1124" s="13" t="str">
        <x:v>Четверг</x:v>
      </x:c>
      <x:c r="F1124" s="13" t="str">
        <x:v>Тренировка B — пальцы/проект</x:v>
      </x:c>
      <x:c r="G1124" s="44" t="n">
        <x:v>0.041666666666666664</x:v>
      </x:c>
      <x:c r="H1124" s="44" t="n">
        <x:v>0.04513888888888889</x:v>
      </x:c>
      <x:c r="I1124" s="32" t="n">
        <x:f>ROUND((H1124-G1124)*1440,0)</x:f>
        <x:v>5</x:v>
      </x:c>
      <x:c r="J1124" s="13" t="str">
        <x:v>Отдых / гипотеза</x:v>
      </x:c>
      <x:c r="K1124" s="13" t="str">
        <x:v>Отдых 4–5 минут. Запиши одну гипотезу: стопа, положение таза, хват или темп.</x:v>
      </x:c>
      <x:c r="L1124" s="13" t="str">
        <x:v>☐ Не начато</x:v>
      </x:c>
      <x:c r="M1124" s="13" t="str">
        <x:v>Обязательно</x:v>
      </x:c>
      <x:c r="N1124" s="13" t="str">
        <x:v>Восстановление</x:v>
      </x:c>
      <x:c r="O1124" s="13" t="str"/>
      <x:c r="P1124" s="13" t="str">
        <x:v>milestone_04_grip_literacy_strength/week_16_2026-12-21/04_THURSDAY.md</x:v>
      </x:c>
      <x:c r="Q1124" s="138" t="str">
        <x:v>Markdown</x:v>
      </x:c>
      <x:c r="R1124" s="20" t="str"/>
    </x:row>
    <x:row r="1125" ht="36" customHeight="1">
      <x:c r="A1125" s="19" t="str">
        <x:v>W16-20261224-1124</x:v>
      </x:c>
      <x:c r="B1125" s="13" t="n">
        <x:v>16</x:v>
      </x:c>
      <x:c r="C1125" s="13" t="str">
        <x:v>Этап 4 — Типы хвата и специфическая сила пальцев</x:v>
      </x:c>
      <x:c r="D1125" s="138" t="str">
        <x:v>2026-12-24</x:v>
      </x:c>
      <x:c r="E1125" s="13" t="str">
        <x:v>Четверг</x:v>
      </x:c>
      <x:c r="F1125" s="13" t="str">
        <x:v>Тренировка B — пальцы/проект</x:v>
      </x:c>
      <x:c r="G1125" s="44" t="n">
        <x:v>0.04513888888888889</x:v>
      </x:c>
      <x:c r="H1125" s="44" t="n">
        <x:v>0.049305555555555554</x:v>
      </x:c>
      <x:c r="I1125" s="32" t="n">
        <x:f>ROUND((H1125-G1125)*1440,0)</x:f>
        <x:v>6</x:v>
      </x:c>
      <x:c r="J1125" s="13" t="str">
        <x:v>Проект — попытки 2–3</x:v>
      </x:c>
      <x:c r="K1125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125" s="13" t="str">
        <x:v>☐ Не начато</x:v>
      </x:c>
      <x:c r="M1125" s="13" t="str">
        <x:v>Обязательно</x:v>
      </x:c>
      <x:c r="N1125" s="13" t="str">
        <x:v>RPE 7–8, без отказа</x:v>
      </x:c>
      <x:c r="O1125" s="13" t="str">
        <x:v>Не смотреть beta заранее: сначала собственная гипотеза.</x:v>
      </x:c>
      <x:c r="P1125" s="13" t="str">
        <x:v>milestone_04_grip_literacy_strength/week_16_2026-12-21/04_THURSDAY.md</x:v>
      </x:c>
      <x:c r="Q1125" s="138" t="str">
        <x:v>Markdown</x:v>
      </x:c>
      <x:c r="R1125" s="20" t="str"/>
    </x:row>
    <x:row r="1126" ht="36" customHeight="1">
      <x:c r="A1126" s="19" t="str">
        <x:v>W16-20261224-1125</x:v>
      </x:c>
      <x:c r="B1126" s="13" t="n">
        <x:v>16</x:v>
      </x:c>
      <x:c r="C1126" s="13" t="str">
        <x:v>Этап 4 — Типы хвата и специфическая сила пальцев</x:v>
      </x:c>
      <x:c r="D1126" s="138" t="str">
        <x:v>2026-12-24</x:v>
      </x:c>
      <x:c r="E1126" s="13" t="str">
        <x:v>Четверг</x:v>
      </x:c>
      <x:c r="F1126" s="13" t="str">
        <x:v>Тренировка B — пальцы/проект</x:v>
      </x:c>
      <x:c r="G1126" s="44" t="n">
        <x:v>0.049305555555555554</x:v>
      </x:c>
      <x:c r="H1126" s="44" t="n">
        <x:v>0.05277777777777778</x:v>
      </x:c>
      <x:c r="I1126" s="32" t="n">
        <x:f>ROUND((H1126-G1126)*1440,0)</x:f>
        <x:v>5</x:v>
      </x:c>
      <x:c r="J1126" s="13" t="str">
        <x:v>Проект — заключительная попытка</x:v>
      </x:c>
      <x:c r="K1126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126" s="13" t="str">
        <x:v>☐ Не начато</x:v>
      </x:c>
      <x:c r="M1126" s="13" t="str">
        <x:v>Обязательно</x:v>
      </x:c>
      <x:c r="N1126" s="13" t="str">
        <x:v>RPE 8, с запасом</x:v>
      </x:c>
      <x:c r="O1126" s="13" t="str">
        <x:v>Объём минус 35–40%. Не переходить на меньшую кромку фингерборда.</x:v>
      </x:c>
      <x:c r="P1126" s="13" t="str">
        <x:v>milestone_04_grip_literacy_strength/week_16_2026-12-21/04_THURSDAY.md</x:v>
      </x:c>
      <x:c r="Q1126" s="138" t="str">
        <x:v>Markdown</x:v>
      </x:c>
      <x:c r="R1126" s="20" t="str"/>
    </x:row>
    <x:row r="1127" ht="36" customHeight="1">
      <x:c r="A1127" s="19" t="str">
        <x:v>W16-20261224-1126</x:v>
      </x:c>
      <x:c r="B1127" s="13" t="n">
        <x:v>16</x:v>
      </x:c>
      <x:c r="C1127" s="13" t="str">
        <x:v>Этап 4 — Типы хвата и специфическая сила пальцев</x:v>
      </x:c>
      <x:c r="D1127" s="138" t="str">
        <x:v>2026-12-24</x:v>
      </x:c>
      <x:c r="E1127" s="13" t="str">
        <x:v>Четверг</x:v>
      </x:c>
      <x:c r="F1127" s="13" t="str">
        <x:v>Тренировка B — пальцы/проект</x:v>
      </x:c>
      <x:c r="G1127" s="44" t="n">
        <x:v>0.05277777777777778</x:v>
      </x:c>
      <x:c r="H1127" s="44" t="n">
        <x:v>0.05763888888888889</x:v>
      </x:c>
      <x:c r="I1127" s="32" t="n">
        <x:f>ROUND((H1127-G1127)*1440,0)</x:f>
        <x:v>7</x:v>
      </x:c>
      <x:c r="J1127" s="13" t="str">
        <x:v>Вторичная трасса</x:v>
      </x:c>
      <x:c r="K1127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127" s="13" t="str">
        <x:v>☐ Не начато</x:v>
      </x:c>
      <x:c r="M1127" s="13" t="str">
        <x:v>Обязательно</x:v>
      </x:c>
      <x:c r="N1127" s="13" t="str">
        <x:v>RPE 5–7</x:v>
      </x:c>
      <x:c r="O1127" s="13" t="str">
        <x:v>Пропустить, если хват уже просел.</x:v>
      </x:c>
      <x:c r="P1127" s="13" t="str">
        <x:v>milestone_04_grip_literacy_strength/week_16_2026-12-21/04_THURSDAY.md</x:v>
      </x:c>
      <x:c r="Q1127" s="138" t="str">
        <x:v>Markdown</x:v>
      </x:c>
      <x:c r="R1127" s="20" t="str"/>
    </x:row>
    <x:row r="1128" ht="36" customHeight="1">
      <x:c r="A1128" s="19" t="str">
        <x:v>W16-20261224-1127</x:v>
      </x:c>
      <x:c r="B1128" s="13" t="n">
        <x:v>16</x:v>
      </x:c>
      <x:c r="C1128" s="13" t="str">
        <x:v>Этап 4 — Типы хвата и специфическая сила пальцев</x:v>
      </x:c>
      <x:c r="D1128" s="138" t="str">
        <x:v>2026-12-24</x:v>
      </x:c>
      <x:c r="E1128" s="13" t="str">
        <x:v>Четверг</x:v>
      </x:c>
      <x:c r="F1128" s="13" t="str">
        <x:v>Тренировка B — пальцы/проект</x:v>
      </x:c>
      <x:c r="G1128" s="44" t="n">
        <x:v>0.05763888888888889</x:v>
      </x:c>
      <x:c r="H1128" s="44" t="n">
        <x:v>0.06041666666666667</x:v>
      </x:c>
      <x:c r="I1128" s="32" t="n">
        <x:f>ROUND((H1128-G1128)*1440,0)</x:f>
        <x:v>4</x:v>
      </x:c>
      <x:c r="J1128" s="13" t="str">
        <x:v>Завершение</x:v>
      </x:c>
      <x:c r="K1128" s="13" t="str">
        <x:v>Очень лёгкий спуск/ходьба, вода, никаких финишных висов.</x:v>
      </x:c>
      <x:c r="L1128" s="13" t="str">
        <x:v>☐ Не начато</x:v>
      </x:c>
      <x:c r="M1128" s="13" t="str">
        <x:v>Обязательно</x:v>
      </x:c>
      <x:c r="N1128" s="13" t="str">
        <x:v>RPE 1–2</x:v>
      </x:c>
      <x:c r="O1128" s="13" t="str"/>
      <x:c r="P1128" s="13" t="str">
        <x:v>milestone_04_grip_literacy_strength/week_16_2026-12-21/04_THURSDAY.md</x:v>
      </x:c>
      <x:c r="Q1128" s="138" t="str">
        <x:v>Markdown</x:v>
      </x:c>
      <x:c r="R1128" s="20" t="str"/>
    </x:row>
    <x:row r="1129" ht="36" customHeight="1">
      <x:c r="A1129" s="19" t="str">
        <x:v>W16-20261224-1128</x:v>
      </x:c>
      <x:c r="B1129" s="13" t="n">
        <x:v>16</x:v>
      </x:c>
      <x:c r="C1129" s="13" t="str">
        <x:v>Этап 4 — Типы хвата и специфическая сила пальцев</x:v>
      </x:c>
      <x:c r="D1129" s="138" t="str">
        <x:v>2026-12-24</x:v>
      </x:c>
      <x:c r="E1129" s="13" t="str">
        <x:v>Четверг</x:v>
      </x:c>
      <x:c r="F1129" s="13" t="str">
        <x:v>Тренировка B — пальцы/проект</x:v>
      </x:c>
      <x:c r="G1129" s="44" t="n">
        <x:v>0.06041666666666667</x:v>
      </x:c>
      <x:c r="H1129" s="44" t="n">
        <x:v>0.0625</x:v>
      </x:c>
      <x:c r="I1129" s="32" t="n">
        <x:f>ROUND((H1129-G1129)*1440,0)</x:f>
        <x:v>3</x:v>
      </x:c>
      <x:c r="J1129" s="13" t="str">
        <x:v>Журнал</x:v>
      </x:c>
      <x:c r="K1129" s="13" t="str">
        <x:v>Запиши попытки, лучшую связку, одну правку и benchmark: Тест: удерживается ли рабочее качество хвата позже, чем в неделю 1; вырос ли процент пятёрок.</x:v>
      </x:c>
      <x:c r="L1129" s="13" t="str">
        <x:v>☐ Не начато</x:v>
      </x:c>
      <x:c r="M1129" s="13" t="str">
        <x:v>Обязательно</x:v>
      </x:c>
      <x:c r="N1129" s="13" t="str">
        <x:v>Без нагрузки</x:v>
      </x:c>
      <x:c r="O1129" s="13" t="str"/>
      <x:c r="P1129" s="13" t="str">
        <x:v>milestone_04_grip_literacy_strength/week_16_2026-12-21/04_THURSDAY.md</x:v>
      </x:c>
      <x:c r="Q1129" s="138" t="str">
        <x:v>Markdown</x:v>
      </x:c>
      <x:c r="R1129" s="20" t="str"/>
    </x:row>
    <x:row r="1130" ht="36" customHeight="1">
      <x:c r="A1130" s="19" t="str">
        <x:v>W16-20261225-1129</x:v>
      </x:c>
      <x:c r="B1130" s="13" t="n">
        <x:v>16</x:v>
      </x:c>
      <x:c r="C1130" s="13" t="str">
        <x:v>Этап 4 — Типы хвата и специфическая сила пальцев</x:v>
      </x:c>
      <x:c r="D1130" s="138" t="str">
        <x:v>2026-12-25</x:v>
      </x:c>
      <x:c r="E1130" s="13" t="str">
        <x:v>Пятница</x:v>
      </x:c>
      <x:c r="F1130" s="13" t="str">
        <x:v>Дом / теория</x:v>
      </x:c>
      <x:c r="G1130" s="44" t="n">
        <x:v>0</x:v>
      </x:c>
      <x:c r="H1130" s="44" t="n">
        <x:v>0.0020833333333333333</x:v>
      </x:c>
      <x:c r="I1130" s="32" t="n">
        <x:f>ROUND((H1130-G1130)*1440,0)</x:f>
        <x:v>3</x:v>
      </x:c>
      <x:c r="J1130" s="13" t="str">
        <x:v>Самопроверка</x:v>
      </x:c>
      <x:c r="K1130" s="13" t="str">
        <x:v>Оцени утреннюю реакцию после четверга: пальцы/плечо/колено 0–10. Запиши, восстановилась ли обычная сила кисти.</x:v>
      </x:c>
      <x:c r="L1130" s="13" t="str">
        <x:v>☐ Не начато</x:v>
      </x:c>
      <x:c r="M1130" s="13" t="str">
        <x:v>Обязательно</x:v>
      </x:c>
      <x:c r="N1130" s="13" t="str">
        <x:v>Без нагрузки</x:v>
      </x:c>
      <x:c r="O1130" s="13" t="str">
        <x:v>Острая локальная боль пальца или усилившаяся боль плеча = воскресенье только восстановительное.</x:v>
      </x:c>
      <x:c r="P1130" s="13" t="str">
        <x:v>milestone_04_grip_literacy_strength/week_16_2026-12-21/05_FRIDAY.md</x:v>
      </x:c>
      <x:c r="Q1130" s="138" t="str">
        <x:v>Markdown</x:v>
      </x:c>
      <x:c r="R1130" s="20" t="str"/>
    </x:row>
    <x:row r="1131" ht="36" customHeight="1">
      <x:c r="A1131" s="19" t="str">
        <x:v>W16-20261225-1130</x:v>
      </x:c>
      <x:c r="B1131" s="13" t="n">
        <x:v>16</x:v>
      </x:c>
      <x:c r="C1131" s="13" t="str">
        <x:v>Этап 4 — Типы хвата и специфическая сила пальцев</x:v>
      </x:c>
      <x:c r="D1131" s="138" t="str">
        <x:v>2026-12-25</x:v>
      </x:c>
      <x:c r="E1131" s="13" t="str">
        <x:v>Пятница</x:v>
      </x:c>
      <x:c r="F1131" s="13" t="str">
        <x:v>Дом / теория</x:v>
      </x:c>
      <x:c r="G1131" s="44" t="n">
        <x:v>0.0020833333333333333</x:v>
      </x:c>
      <x:c r="H1131" s="44" t="n">
        <x:v>0.010416666666666666</x:v>
      </x:c>
      <x:c r="I1131" s="32" t="n">
        <x:f>ROUND((H1131-G1131)*1440,0)</x:f>
        <x:v>12</x:v>
      </x:c>
      <x:c r="J1131" s="13" t="str">
        <x:v>Теория</x:v>
      </x:c>
      <x:c r="K1131" s="13" t="str">
        <x:v>Посмотри/прочитай второй ресурс недели: [R22: Hermans et al. (2022) — 10 weeks of hangboard training](https://www.frontiersin.org/journals/sports-and-active-living/articles/10.3389/fspor.2022.888158/full). Задача: Обоснование отдельного блока пальцев: сила может улучшаться, но перенос в лазание не автоматический.</x:v>
      </x:c>
      <x:c r="L1131" s="13" t="str">
        <x:v>☐ Не начато</x:v>
      </x:c>
      <x:c r="M1131" s="13" t="str">
        <x:v>Обязательно</x:v>
      </x:c>
      <x:c r="N1131" s="13" t="str">
        <x:v>Без нагрузки</x:v>
      </x:c>
      <x:c r="O1131" s="13" t="str"/>
      <x:c r="P1131" s="13" t="str">
        <x:v>milestone_04_grip_literacy_strength/week_16_2026-12-21/05_FRIDAY.md</x:v>
      </x:c>
      <x:c r="Q1131" s="138" t="str">
        <x:v>Markdown</x:v>
      </x:c>
      <x:c r="R1131" s="20" t="str"/>
    </x:row>
    <x:row r="1132" ht="36" customHeight="1">
      <x:c r="A1132" s="19" t="str">
        <x:v>W16-20261225-1131</x:v>
      </x:c>
      <x:c r="B1132" s="13" t="n">
        <x:v>16</x:v>
      </x:c>
      <x:c r="C1132" s="13" t="str">
        <x:v>Этап 4 — Типы хвата и специфическая сила пальцев</x:v>
      </x:c>
      <x:c r="D1132" s="138" t="str">
        <x:v>2026-12-25</x:v>
      </x:c>
      <x:c r="E1132" s="13" t="str">
        <x:v>Пятница</x:v>
      </x:c>
      <x:c r="F1132" s="13" t="str">
        <x:v>Дом / теория</x:v>
      </x:c>
      <x:c r="G1132" s="44" t="n">
        <x:v>0.010416666666666666</x:v>
      </x:c>
      <x:c r="H1132" s="44" t="n">
        <x:v>0.014583333333333334</x:v>
      </x:c>
      <x:c r="I1132" s="32" t="n">
        <x:f>ROUND((H1132-G1132)*1440,0)</x:f>
        <x:v>6</x:v>
      </x:c>
      <x:c r="J1132" s="13" t="str">
        <x:v>Ментальная репетиция</x:v>
      </x:c>
      <x:c r="K1132" s="13" t="str">
        <x:v>Закрой глаза и 3 раза мысленно пройди одну рабочую трассу: руки → ноги → положение таза → дыхание. Визуализируй cue «Техника одинаковая в первой и последней качественной попытке.».</x:v>
      </x:c>
      <x:c r="L1132" s="13" t="str">
        <x:v>☐ Не начато</x:v>
      </x:c>
      <x:c r="M1132" s="13" t="str">
        <x:v>Обязательно</x:v>
      </x:c>
      <x:c r="N1132" s="13" t="str">
        <x:v>Без нагрузки</x:v>
      </x:c>
      <x:c r="O1132" s="13" t="str"/>
      <x:c r="P1132" s="13" t="str">
        <x:v>milestone_04_grip_literacy_strength/week_16_2026-12-21/05_FRIDAY.md</x:v>
      </x:c>
      <x:c r="Q1132" s="138" t="str">
        <x:v>Markdown</x:v>
      </x:c>
      <x:c r="R1132" s="20" t="str"/>
    </x:row>
    <x:row r="1133" ht="36" customHeight="1">
      <x:c r="A1133" s="19" t="str">
        <x:v>W16-20261225-1132</x:v>
      </x:c>
      <x:c r="B1133" s="13" t="n">
        <x:v>16</x:v>
      </x:c>
      <x:c r="C1133" s="13" t="str">
        <x:v>Этап 4 — Типы хвата и специфическая сила пальцев</x:v>
      </x:c>
      <x:c r="D1133" s="138" t="str">
        <x:v>2026-12-25</x:v>
      </x:c>
      <x:c r="E1133" s="13" t="str">
        <x:v>Пятница</x:v>
      </x:c>
      <x:c r="F1133" s="13" t="str">
        <x:v>Дом / теория</x:v>
      </x:c>
      <x:c r="G1133" s="44" t="n">
        <x:v>0.014583333333333334</x:v>
      </x:c>
      <x:c r="H1133" s="44" t="n">
        <x:v>0.022916666666666665</x:v>
      </x:c>
      <x:c r="I1133" s="32" t="n">
        <x:f>ROUND((H1133-G1133)*1440,0)</x:f>
        <x:v>12</x:v>
      </x:c>
      <x:c r="J1133" s="13" t="str">
        <x:v>Домашняя мобильность</x:v>
      </x:c>
      <x:c r="K1133" s="13" t="str">
        <x:v>Выполни H3 «Мобильность таза и контроль корпуса» — 12 минут.</x:v>
      </x:c>
      <x:c r="L1133" s="13" t="str">
        <x:v>☐ Не начато</x:v>
      </x:c>
      <x:c r="M1133" s="13" t="str">
        <x:v>Обязательно</x:v>
      </x:c>
      <x:c r="N1133" s="13" t="str">
        <x:v>RPE 2–3</x:v>
      </x:c>
      <x:c r="O1133" s="13" t="str">
        <x:v>Никаких скручиваний через боль. Плечом не отталкивайся от стены; касание только для равновесия.</x:v>
      </x:c>
      <x:c r="P1133" s="13" t="str">
        <x:v>milestone_04_grip_literacy_strength/week_16_2026-12-21/05_FRIDAY.md</x:v>
      </x:c>
      <x:c r="Q1133" s="138" t="str">
        <x:v>Markdown</x:v>
      </x:c>
      <x:c r="R1133" s="20" t="str"/>
    </x:row>
    <x:row r="1134" ht="36" customHeight="1">
      <x:c r="A1134" s="19" t="str">
        <x:v>W16-20261225-1133</x:v>
      </x:c>
      <x:c r="B1134" s="13" t="n">
        <x:v>16</x:v>
      </x:c>
      <x:c r="C1134" s="13" t="str">
        <x:v>Этап 4 — Типы хвата и специфическая сила пальцев</x:v>
      </x:c>
      <x:c r="D1134" s="138" t="str">
        <x:v>2026-12-25</x:v>
      </x:c>
      <x:c r="E1134" s="13" t="str">
        <x:v>Пятница</x:v>
      </x:c>
      <x:c r="F1134" s="13" t="str">
        <x:v>Дом / теория</x:v>
      </x:c>
      <x:c r="G1134" s="44" t="n">
        <x:v>0.022916666666666665</x:v>
      </x:c>
      <x:c r="H1134" s="44" t="n">
        <x:v>0.03680555555555556</x:v>
      </x:c>
      <x:c r="I1134" s="32" t="n">
        <x:f>ROUND((H1134-G1134)*1440,0)</x:f>
        <x:v>20</x:v>
      </x:c>
      <x:c r="J1134" s="13" t="str">
        <x:v>Физиотерапия</x:v>
      </x:c>
      <x:c r="K1134" s="13" t="str">
        <x:v>Выполни свой назначенный комплекс, если пятница входит в расписание физиотерапевта.</x:v>
      </x:c>
      <x:c r="L1134" s="13" t="str">
        <x:v>☐ Не начато</x:v>
      </x:c>
      <x:c r="M1134" s="13" t="str">
        <x:v>По назначению</x:v>
      </x:c>
      <x:c r="N1134" s="13" t="str">
        <x:v>По назначению</x:v>
      </x:c>
      <x:c r="O1134" s="13" t="str">
        <x:v>Не добавляй упражнения из интернета поверх назначений.</x:v>
      </x:c>
      <x:c r="P1134" s="13" t="str">
        <x:v>milestone_04_grip_literacy_strength/week_16_2026-12-21/05_FRIDAY.md</x:v>
      </x:c>
      <x:c r="Q1134" s="138" t="str">
        <x:v>Markdown</x:v>
      </x:c>
      <x:c r="R1134" s="20" t="str"/>
    </x:row>
    <x:row r="1135" ht="36" customHeight="1">
      <x:c r="A1135" s="19" t="str">
        <x:v>W16-20261225-1134</x:v>
      </x:c>
      <x:c r="B1135" s="13" t="n">
        <x:v>16</x:v>
      </x:c>
      <x:c r="C1135" s="13" t="str">
        <x:v>Этап 4 — Типы хвата и специфическая сила пальцев</x:v>
      </x:c>
      <x:c r="D1135" s="138" t="str">
        <x:v>2026-12-25</x:v>
      </x:c>
      <x:c r="E1135" s="13" t="str">
        <x:v>Пятница</x:v>
      </x:c>
      <x:c r="F1135" s="13" t="str">
        <x:v>Дом / теория</x:v>
      </x:c>
      <x:c r="G1135" s="44" t="n">
        <x:v>0.03680555555555556</x:v>
      </x:c>
      <x:c r="H1135" s="44" t="n">
        <x:v>0.03958333333333333</x:v>
      </x:c>
      <x:c r="I1135" s="32" t="n">
        <x:f>ROUND((H1135-G1135)*1440,0)</x:f>
        <x:v>4</x:v>
      </x:c>
      <x:c r="J1135" s="13" t="str">
        <x:v>Журнал</x:v>
      </x:c>
      <x:c r="K1135" s="13" t="str">
        <x:v>Запиши одну вещь, которая сработала на этой неделе, и одну, которую повторишь в воскресенье на лёгкой трассе.</x:v>
      </x:c>
      <x:c r="L1135" s="13" t="str">
        <x:v>☐ Не начато</x:v>
      </x:c>
      <x:c r="M1135" s="13" t="str">
        <x:v>Обязательно</x:v>
      </x:c>
      <x:c r="N1135" s="13" t="str">
        <x:v>Без нагрузки</x:v>
      </x:c>
      <x:c r="O1135" s="13" t="str"/>
      <x:c r="P1135" s="13" t="str">
        <x:v>milestone_04_grip_literacy_strength/week_16_2026-12-21/05_FRIDAY.md</x:v>
      </x:c>
      <x:c r="Q1135" s="138" t="str">
        <x:v>Markdown</x:v>
      </x:c>
      <x:c r="R1135" s="20" t="str"/>
    </x:row>
    <x:row r="1136" ht="36" customHeight="1">
      <x:c r="A1136" s="19" t="str">
        <x:v>W16-20261225-1135</x:v>
      </x:c>
      <x:c r="B1136" s="13" t="n">
        <x:v>16</x:v>
      </x:c>
      <x:c r="C1136" s="13" t="str">
        <x:v>Этап 4 — Типы хвата и специфическая сила пальцев</x:v>
      </x:c>
      <x:c r="D1136" s="138" t="str">
        <x:v>2026-12-25</x:v>
      </x:c>
      <x:c r="E1136" s="13" t="str">
        <x:v>Пятница</x:v>
      </x:c>
      <x:c r="F1136" s="13" t="str">
        <x:v>Дом / теория</x:v>
      </x:c>
      <x:c r="G1136" s="44" t="n">
        <x:v>0.03958333333333333</x:v>
      </x:c>
      <x:c r="H1136" s="44" t="n">
        <x:v>0.041666666666666664</x:v>
      </x:c>
      <x:c r="I1136" s="32" t="n">
        <x:f>ROUND((H1136-G1136)*1440,0)</x:f>
        <x:v>3</x:v>
      </x:c>
      <x:c r="J1136" s="13" t="str">
        <x:v>Запрет лишней нагрузки</x:v>
      </x:c>
      <x:c r="K1136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136" s="13" t="str">
        <x:v>☐ Не начато</x:v>
      </x:c>
      <x:c r="M1136" s="13" t="str">
        <x:v>Обязательно</x:v>
      </x:c>
      <x:c r="N1136" s="13" t="str">
        <x:v>Восстановление</x:v>
      </x:c>
      <x:c r="O1136" s="13" t="str">
        <x:v>Общая пальцевая нагрузка уже получена в четверг.</x:v>
      </x:c>
      <x:c r="P1136" s="13" t="str">
        <x:v>milestone_04_grip_literacy_strength/week_16_2026-12-21/05_FRIDAY.md</x:v>
      </x:c>
      <x:c r="Q1136" s="138" t="str">
        <x:v>Markdown</x:v>
      </x:c>
      <x:c r="R1136" s="20" t="str"/>
    </x:row>
    <x:row r="1137" ht="36" customHeight="1">
      <x:c r="A1137" s="19" t="str">
        <x:v>W16-20261226-1136</x:v>
      </x:c>
      <x:c r="B1137" s="13" t="n">
        <x:v>16</x:v>
      </x:c>
      <x:c r="C1137" s="13" t="str">
        <x:v>Этап 4 — Типы хвата и специфическая сила пальцев</x:v>
      </x:c>
      <x:c r="D1137" s="138" t="str">
        <x:v>2026-12-26</x:v>
      </x:c>
      <x:c r="E1137" s="13" t="str">
        <x:v>Суббота</x:v>
      </x:c>
      <x:c r="F1137" s="13" t="str">
        <x:v>Отдых / подготовка</x:v>
      </x:c>
      <x:c r="G1137" s="44" t="n">
        <x:v>0</x:v>
      </x:c>
      <x:c r="H1137" s="44" t="n">
        <x:v>0.003472222222222222</x:v>
      </x:c>
      <x:c r="I1137" s="32" t="n">
        <x:f>ROUND((H1137-G1137)*1440,0)</x:f>
        <x:v>5</x:v>
      </x:c>
      <x:c r="J1137" s="13" t="str">
        <x:v>Самопроверка</x:v>
      </x:c>
      <x:c r="K1137" s="13" t="str">
        <x:v>Проверь кожу пальцев, ногти, плечо и колено. Никаких тестовых висов.</x:v>
      </x:c>
      <x:c r="L1137" s="13" t="str">
        <x:v>☐ Не начато</x:v>
      </x:c>
      <x:c r="M1137" s="13" t="str">
        <x:v>Обязательно</x:v>
      </x:c>
      <x:c r="N1137" s="13" t="str">
        <x:v>Восстановление</x:v>
      </x:c>
      <x:c r="O1137" s="13" t="str"/>
      <x:c r="P1137" s="13" t="str">
        <x:v>milestone_04_grip_literacy_strength/week_16_2026-12-21/06_SATURDAY.md</x:v>
      </x:c>
      <x:c r="Q1137" s="138" t="str">
        <x:v>Markdown</x:v>
      </x:c>
      <x:c r="R1137" s="20" t="str"/>
    </x:row>
    <x:row r="1138" ht="36" customHeight="1">
      <x:c r="A1138" s="19" t="str">
        <x:v>W16-20261226-1137</x:v>
      </x:c>
      <x:c r="B1138" s="13" t="n">
        <x:v>16</x:v>
      </x:c>
      <x:c r="C1138" s="13" t="str">
        <x:v>Этап 4 — Типы хвата и специфическая сила пальцев</x:v>
      </x:c>
      <x:c r="D1138" s="138" t="str">
        <x:v>2026-12-26</x:v>
      </x:c>
      <x:c r="E1138" s="13" t="str">
        <x:v>Суббота</x:v>
      </x:c>
      <x:c r="F1138" s="13" t="str">
        <x:v>Отдых / подготовка</x:v>
      </x:c>
      <x:c r="G1138" s="44" t="n">
        <x:v>0.003472222222222222</x:v>
      </x:c>
      <x:c r="H1138" s="44" t="n">
        <x:v>0.010416666666666666</x:v>
      </x:c>
      <x:c r="I1138" s="32" t="n">
        <x:f>ROUND((H1138-G1138)*1440,0)</x:f>
        <x:v>10</x:v>
      </x:c>
      <x:c r="J1138" s="13" t="str">
        <x:v>Активное восстановление</x:v>
      </x:c>
      <x:c r="K1138" s="13" t="str">
        <x:v>10 минут лёгкой прогулки или бытовой активности. Цель — восстановление, не тренировка.</x:v>
      </x:c>
      <x:c r="L1138" s="13" t="str">
        <x:v>☐ Не начато</x:v>
      </x:c>
      <x:c r="M1138" s="13" t="str">
        <x:v>Обязательно</x:v>
      </x:c>
      <x:c r="N1138" s="13" t="str">
        <x:v>RPE 1–2</x:v>
      </x:c>
      <x:c r="O1138" s="13" t="str"/>
      <x:c r="P1138" s="13" t="str">
        <x:v>milestone_04_grip_literacy_strength/week_16_2026-12-21/06_SATURDAY.md</x:v>
      </x:c>
      <x:c r="Q1138" s="138" t="str">
        <x:v>Markdown</x:v>
      </x:c>
      <x:c r="R1138" s="20" t="str"/>
    </x:row>
    <x:row r="1139" ht="36" customHeight="1">
      <x:c r="A1139" s="19" t="str">
        <x:v>W16-20261226-1138</x:v>
      </x:c>
      <x:c r="B1139" s="13" t="n">
        <x:v>16</x:v>
      </x:c>
      <x:c r="C1139" s="13" t="str">
        <x:v>Этап 4 — Типы хвата и специфическая сила пальцев</x:v>
      </x:c>
      <x:c r="D1139" s="138" t="str">
        <x:v>2026-12-26</x:v>
      </x:c>
      <x:c r="E1139" s="13" t="str">
        <x:v>Суббота</x:v>
      </x:c>
      <x:c r="F1139" s="13" t="str">
        <x:v>Отдых / подготовка</x:v>
      </x:c>
      <x:c r="G1139" s="44" t="n">
        <x:v>0.010416666666666666</x:v>
      </x:c>
      <x:c r="H1139" s="44" t="n">
        <x:v>0.013888888888888888</x:v>
      </x:c>
      <x:c r="I1139" s="32" t="n">
        <x:f>ROUND((H1139-G1139)*1440,0)</x:f>
        <x:v>5</x:v>
      </x:c>
      <x:c r="J1139" s="13" t="str">
        <x:v>Уход за кожей</x:v>
      </x:c>
      <x:c r="K1139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139" s="13" t="str">
        <x:v>☐ Не начато</x:v>
      </x:c>
      <x:c r="M1139" s="13" t="str">
        <x:v>Опционально</x:v>
      </x:c>
      <x:c r="N1139" s="13" t="str">
        <x:v>Без нагрузки</x:v>
      </x:c>
      <x:c r="O1139" s="13" t="str">
        <x:v>Повреждённую/болезненную кожу не шлифовать.</x:v>
      </x:c>
      <x:c r="P1139" s="13" t="str">
        <x:v>milestone_04_grip_literacy_strength/week_16_2026-12-21/06_SATURDAY.md</x:v>
      </x:c>
      <x:c r="Q1139" s="138" t="str">
        <x:v>Markdown</x:v>
      </x:c>
      <x:c r="R1139" s="20" t="str"/>
    </x:row>
    <x:row r="1140" ht="36" customHeight="1">
      <x:c r="A1140" s="19" t="str">
        <x:v>W16-20261226-1139</x:v>
      </x:c>
      <x:c r="B1140" s="13" t="n">
        <x:v>16</x:v>
      </x:c>
      <x:c r="C1140" s="13" t="str">
        <x:v>Этап 4 — Типы хвата и специфическая сила пальцев</x:v>
      </x:c>
      <x:c r="D1140" s="138" t="str">
        <x:v>2026-12-26</x:v>
      </x:c>
      <x:c r="E1140" s="13" t="str">
        <x:v>Суббота</x:v>
      </x:c>
      <x:c r="F1140" s="13" t="str">
        <x:v>Отдых / подготовка</x:v>
      </x:c>
      <x:c r="G1140" s="44" t="n">
        <x:v>0.013888888888888888</x:v>
      </x:c>
      <x:c r="H1140" s="44" t="n">
        <x:v>0.016666666666666666</x:v>
      </x:c>
      <x:c r="I1140" s="32" t="n">
        <x:f>ROUND((H1140-G1140)*1440,0)</x:f>
        <x:v>4</x:v>
      </x:c>
      <x:c r="J1140" s="13" t="str">
        <x:v>Подготовка</x:v>
      </x:c>
      <x:c r="K1140" s="13" t="str">
        <x:v>Заряди телефон, освободи память для одного видео, положи щётку и магнезию.</x:v>
      </x:c>
      <x:c r="L1140" s="13" t="str">
        <x:v>☐ Не начато</x:v>
      </x:c>
      <x:c r="M1140" s="13" t="str">
        <x:v>Обязательно</x:v>
      </x:c>
      <x:c r="N1140" s="13" t="str">
        <x:v>Без нагрузки</x:v>
      </x:c>
      <x:c r="O1140" s="13" t="str"/>
      <x:c r="P1140" s="13" t="str">
        <x:v>milestone_04_grip_literacy_strength/week_16_2026-12-21/06_SATURDAY.md</x:v>
      </x:c>
      <x:c r="Q1140" s="138" t="str">
        <x:v>Markdown</x:v>
      </x:c>
      <x:c r="R1140" s="20" t="str"/>
    </x:row>
    <x:row r="1141" ht="36" customHeight="1">
      <x:c r="A1141" s="19" t="str">
        <x:v>W16-20261226-1140</x:v>
      </x:c>
      <x:c r="B1141" s="13" t="n">
        <x:v>16</x:v>
      </x:c>
      <x:c r="C1141" s="13" t="str">
        <x:v>Этап 4 — Типы хвата и специфическая сила пальцев</x:v>
      </x:c>
      <x:c r="D1141" s="138" t="str">
        <x:v>2026-12-26</x:v>
      </x:c>
      <x:c r="E1141" s="13" t="str">
        <x:v>Суббота</x:v>
      </x:c>
      <x:c r="F1141" s="13" t="str">
        <x:v>Отдых / подготовка</x:v>
      </x:c>
      <x:c r="G1141" s="44" t="n">
        <x:v>0.016666666666666666</x:v>
      </x:c>
      <x:c r="H1141" s="44" t="n">
        <x:v>0.01875</x:v>
      </x:c>
      <x:c r="I1141" s="32" t="n">
        <x:f>ROUND((H1141-G1141)*1440,0)</x:f>
        <x:v>3</x:v>
      </x:c>
      <x:c r="J1141" s="13" t="str">
        <x:v>План воскресенья</x:v>
      </x:c>
      <x:c r="K1141" s="13" t="str">
        <x:v>Выбери заранее одну лёгкую трассу под тему «Разгрузка и видеоразбор». Воскресенье остаётся развлечением, не третьим тяжёлым днём.</x:v>
      </x:c>
      <x:c r="L1141" s="13" t="str">
        <x:v>☐ Не начато</x:v>
      </x:c>
      <x:c r="M1141" s="13" t="str">
        <x:v>Обязательно</x:v>
      </x:c>
      <x:c r="N1141" s="13" t="str">
        <x:v>Без нагрузки</x:v>
      </x:c>
      <x:c r="O1141" s="13" t="str"/>
      <x:c r="P1141" s="13" t="str">
        <x:v>milestone_04_grip_literacy_strength/week_16_2026-12-21/06_SATURDAY.md</x:v>
      </x:c>
      <x:c r="Q1141" s="138" t="str">
        <x:v>Markdown</x:v>
      </x:c>
      <x:c r="R1141" s="20" t="str"/>
    </x:row>
    <x:row r="1142" ht="36" customHeight="1">
      <x:c r="A1142" s="19" t="str">
        <x:v>W16-20261226-1141</x:v>
      </x:c>
      <x:c r="B1142" s="13" t="n">
        <x:v>16</x:v>
      </x:c>
      <x:c r="C1142" s="13" t="str">
        <x:v>Этап 4 — Типы хвата и специфическая сила пальцев</x:v>
      </x:c>
      <x:c r="D1142" s="138" t="str">
        <x:v>2026-12-26</x:v>
      </x:c>
      <x:c r="E1142" s="13" t="str">
        <x:v>Суббота</x:v>
      </x:c>
      <x:c r="F1142" s="13" t="str">
        <x:v>Отдых / подготовка</x:v>
      </x:c>
      <x:c r="G1142" s="44" t="n">
        <x:v>0.01875</x:v>
      </x:c>
      <x:c r="H1142" s="44" t="n">
        <x:v>0.020833333333333332</x:v>
      </x:c>
      <x:c r="I1142" s="32" t="n">
        <x:f>ROUND((H1142-G1142)*1440,0)</x:f>
        <x:v>3</x:v>
      </x:c>
      <x:c r="J1142" s="13" t="str">
        <x:v>Сон / восстановление</x:v>
      </x:c>
      <x:c r="K1142" s="13" t="str">
        <x:v>Запланируй обычный сон и нормальный приём пищи; не пытайся «разбудить хват» вечером.</x:v>
      </x:c>
      <x:c r="L1142" s="13" t="str">
        <x:v>☐ Не начато</x:v>
      </x:c>
      <x:c r="M1142" s="13" t="str">
        <x:v>Обязательно</x:v>
      </x:c>
      <x:c r="N1142" s="13" t="str">
        <x:v>Восстановление</x:v>
      </x:c>
      <x:c r="O1142" s="13" t="str"/>
      <x:c r="P1142" s="13" t="str">
        <x:v>milestone_04_grip_literacy_strength/week_16_2026-12-21/06_SATURDAY.md</x:v>
      </x:c>
      <x:c r="Q1142" s="138" t="str">
        <x:v>Markdown</x:v>
      </x:c>
      <x:c r="R1142" s="20" t="str"/>
    </x:row>
    <x:row r="1143" ht="36" customHeight="1">
      <x:c r="A1143" s="19" t="str">
        <x:v>W16-20261227-1142</x:v>
      </x:c>
      <x:c r="B1143" s="13" t="n">
        <x:v>16</x:v>
      </x:c>
      <x:c r="C1143" s="13" t="str">
        <x:v>Этап 4 — Типы хвата и специфическая сила пальцев</x:v>
      </x:c>
      <x:c r="D1143" s="138" t="str">
        <x:v>2026-12-27</x:v>
      </x:c>
      <x:c r="E1143" s="13" t="str">
        <x:v>Воскресенье</x:v>
      </x:c>
      <x:c r="F1143" s="13" t="str">
        <x:v>Тренировка C — fun / опционально</x:v>
      </x:c>
      <x:c r="G1143" s="44" t="n">
        <x:v>0</x:v>
      </x:c>
      <x:c r="H1143" s="44" t="n">
        <x:v>0.0020833333333333333</x:v>
      </x:c>
      <x:c r="I1143" s="32" t="n">
        <x:f>ROUND((H1143-G1143)*1440,0)</x:f>
        <x:v>3</x:v>
      </x:c>
      <x:c r="J1143" s="13" t="str">
        <x:v>Выбор сценария</x:v>
      </x:c>
      <x:c r="K1143" s="13" t="str">
        <x:v>Выбери один сценарий: (A) fun-сессия 75 минут в зале или (B) восстановительный день дома 25 минут. Не выполнять оба.</x:v>
      </x:c>
      <x:c r="L1143" s="13" t="str">
        <x:v>☐ Не начато</x:v>
      </x:c>
      <x:c r="M1143" s="13" t="str">
        <x:v>Выбрать один сценарий</x:v>
      </x:c>
      <x:c r="N1143" s="13" t="str">
        <x:v>По состоянию</x:v>
      </x:c>
      <x:c r="O1143" s="13" t="str"/>
      <x:c r="P1143" s="13" t="str">
        <x:v>milestone_04_grip_literacy_strength/week_16_2026-12-21/07_SUNDAY.md</x:v>
      </x:c>
      <x:c r="Q1143" s="138" t="str">
        <x:v>Markdown</x:v>
      </x:c>
      <x:c r="R1143" s="20" t="str"/>
    </x:row>
    <x:row r="1144" ht="36" customHeight="1">
      <x:c r="A1144" s="19" t="str">
        <x:v>W16-20261227-1143</x:v>
      </x:c>
      <x:c r="B1144" s="13" t="n">
        <x:v>16</x:v>
      </x:c>
      <x:c r="C1144" s="13" t="str">
        <x:v>Этап 4 — Типы хвата и специфическая сила пальцев</x:v>
      </x:c>
      <x:c r="D1144" s="138" t="str">
        <x:v>2026-12-27</x:v>
      </x:c>
      <x:c r="E1144" s="13" t="str">
        <x:v>Воскресенье</x:v>
      </x:c>
      <x:c r="F1144" s="13" t="str">
        <x:v>Тренировка C — fun / опционально</x:v>
      </x:c>
      <x:c r="G1144" s="44" t="n">
        <x:v>0.0020833333333333333</x:v>
      </x:c>
      <x:c r="H1144" s="44" t="n">
        <x:v>0.005555555555555556</x:v>
      </x:c>
      <x:c r="I1144" s="32" t="n">
        <x:f>ROUND((H1144-G1144)*1440,0)</x:f>
        <x:v>5</x:v>
      </x:c>
      <x:c r="J1144" s="13" t="str">
        <x:v>Разминка A</x:v>
      </x:c>
      <x:c r="K1144" s="13" t="str">
        <x:v>Если идёшь в зал: 5 минут поднятия температуры.</x:v>
      </x:c>
      <x:c r="L1144" s="13" t="str">
        <x:v>☐ Не начато</x:v>
      </x:c>
      <x:c r="M1144" s="13" t="str">
        <x:v>Опционально</x:v>
      </x:c>
      <x:c r="N1144" s="13" t="str">
        <x:v>RPE 2–3</x:v>
      </x:c>
      <x:c r="O1144" s="13" t="str"/>
      <x:c r="P1144" s="13" t="str">
        <x:v>milestone_04_grip_literacy_strength/week_16_2026-12-21/07_SUNDAY.md</x:v>
      </x:c>
      <x:c r="Q1144" s="138" t="str">
        <x:v>Markdown</x:v>
      </x:c>
      <x:c r="R1144" s="20" t="str"/>
    </x:row>
    <x:row r="1145" ht="36" customHeight="1">
      <x:c r="A1145" s="19" t="str">
        <x:v>W16-20261227-1144</x:v>
      </x:c>
      <x:c r="B1145" s="13" t="n">
        <x:v>16</x:v>
      </x:c>
      <x:c r="C1145" s="13" t="str">
        <x:v>Этап 4 — Типы хвата и специфическая сила пальцев</x:v>
      </x:c>
      <x:c r="D1145" s="138" t="str">
        <x:v>2026-12-27</x:v>
      </x:c>
      <x:c r="E1145" s="13" t="str">
        <x:v>Воскресенье</x:v>
      </x:c>
      <x:c r="F1145" s="13" t="str">
        <x:v>Тренировка C — fun / опционально</x:v>
      </x:c>
      <x:c r="G1145" s="44" t="n">
        <x:v>0.005555555555555556</x:v>
      </x:c>
      <x:c r="H1145" s="44" t="n">
        <x:v>0.009027777777777777</x:v>
      </x:c>
      <x:c r="I1145" s="32" t="n">
        <x:f>ROUND((H1145-G1145)*1440,0)</x:f>
        <x:v>5</x:v>
      </x:c>
      <x:c r="J1145" s="13" t="str">
        <x:v>Разминка A</x:v>
      </x:c>
      <x:c r="K1145" s="13" t="str">
        <x:v>Динамическая суставная разминка в безболезненном диапазоне; без отжиманий/press.</x:v>
      </x:c>
      <x:c r="L1145" s="13" t="str">
        <x:v>☐ Не начато</x:v>
      </x:c>
      <x:c r="M1145" s="13" t="str">
        <x:v>Опционально</x:v>
      </x:c>
      <x:c r="N1145" s="13" t="str">
        <x:v>Очень легко</x:v>
      </x:c>
      <x:c r="O1145" s="13" t="str">
        <x:v>Объём минус 35–40%. Не переходить на меньшую кромку фингерборда.</x:v>
      </x:c>
      <x:c r="P1145" s="13" t="str">
        <x:v>milestone_04_grip_literacy_strength/week_16_2026-12-21/07_SUNDAY.md</x:v>
      </x:c>
      <x:c r="Q1145" s="138" t="str">
        <x:v>Markdown</x:v>
      </x:c>
      <x:c r="R1145" s="20" t="str"/>
    </x:row>
    <x:row r="1146" ht="36" customHeight="1">
      <x:c r="A1146" s="19" t="str">
        <x:v>W16-20261227-1145</x:v>
      </x:c>
      <x:c r="B1146" s="13" t="n">
        <x:v>16</x:v>
      </x:c>
      <x:c r="C1146" s="13" t="str">
        <x:v>Этап 4 — Типы хвата и специфическая сила пальцев</x:v>
      </x:c>
      <x:c r="D1146" s="138" t="str">
        <x:v>2026-12-27</x:v>
      </x:c>
      <x:c r="E1146" s="13" t="str">
        <x:v>Воскресенье</x:v>
      </x:c>
      <x:c r="F1146" s="13" t="str">
        <x:v>Тренировка C — fun / опционально</x:v>
      </x:c>
      <x:c r="G1146" s="44" t="n">
        <x:v>0.009027777777777777</x:v>
      </x:c>
      <x:c r="H1146" s="44" t="n">
        <x:v>0.013888888888888888</x:v>
      </x:c>
      <x:c r="I1146" s="32" t="n">
        <x:f>ROUND((H1146-G1146)*1440,0)</x:f>
        <x:v>7</x:v>
      </x:c>
      <x:c r="J1146" s="13" t="str">
        <x:v>Лёгкое лазание A</x:v>
      </x:c>
      <x:c r="K1146" s="13" t="str">
        <x:v>3 очень лёгкие трассы 1–3 с постепенным увеличением сложности.</x:v>
      </x:c>
      <x:c r="L1146" s="13" t="str">
        <x:v>☐ Не начато</x:v>
      </x:c>
      <x:c r="M1146" s="13" t="str">
        <x:v>Опционально</x:v>
      </x:c>
      <x:c r="N1146" s="13" t="str">
        <x:v>RPE 2–4</x:v>
      </x:c>
      <x:c r="O1146" s="13" t="str"/>
      <x:c r="P1146" s="13" t="str">
        <x:v>milestone_04_grip_literacy_strength/week_16_2026-12-21/07_SUNDAY.md</x:v>
      </x:c>
      <x:c r="Q1146" s="138" t="str">
        <x:v>Markdown</x:v>
      </x:c>
      <x:c r="R1146" s="20" t="str"/>
    </x:row>
    <x:row r="1147" ht="36" customHeight="1">
      <x:c r="A1147" s="19" t="str">
        <x:v>W16-20261227-1146</x:v>
      </x:c>
      <x:c r="B1147" s="13" t="n">
        <x:v>16</x:v>
      </x:c>
      <x:c r="C1147" s="13" t="str">
        <x:v>Этап 4 — Типы хвата и специфическая сила пальцев</x:v>
      </x:c>
      <x:c r="D1147" s="138" t="str">
        <x:v>2026-12-27</x:v>
      </x:c>
      <x:c r="E1147" s="13" t="str">
        <x:v>Воскресенье</x:v>
      </x:c>
      <x:c r="F1147" s="13" t="str">
        <x:v>Тренировка C — fun / опционально</x:v>
      </x:c>
      <x:c r="G1147" s="44" t="n">
        <x:v>0.013888888888888888</x:v>
      </x:c>
      <x:c r="H1147" s="44" t="n">
        <x:v>0.020833333333333332</x:v>
      </x:c>
      <x:c r="I1147" s="32" t="n">
        <x:f>ROUND((H1147-G1147)*1440,0)</x:f>
        <x:v>10</x:v>
      </x:c>
      <x:c r="J1147" s="13" t="str">
        <x:v>Технический праймер A</x:v>
      </x:c>
      <x:c r="K1147" s="13" t="str">
        <x:v>На одной лёгкой трассе дважды повтори «Разгрузка и видеоразбор». Критерий: Есть объективное сравнение, а тренировка заканчивается до распада техники.</x:v>
      </x:c>
      <x:c r="L1147" s="13" t="str">
        <x:v>☐ Не начато</x:v>
      </x:c>
      <x:c r="M1147" s="13" t="str">
        <x:v>Опционально</x:v>
      </x:c>
      <x:c r="N1147" s="13" t="str">
        <x:v>RPE 3–4</x:v>
      </x:c>
      <x:c r="O1147" s="13" t="str">
        <x:v>Не уменьшать кромку фингерборда на разгрузке.</x:v>
      </x:c>
      <x:c r="P1147" s="13" t="str">
        <x:v>milestone_04_grip_literacy_strength/week_16_2026-12-21/07_SUNDAY.md</x:v>
      </x:c>
      <x:c r="Q1147" s="138" t="str">
        <x:v>Markdown</x:v>
      </x:c>
      <x:c r="R1147" s="20" t="str"/>
    </x:row>
    <x:row r="1148" ht="36" customHeight="1">
      <x:c r="A1148" s="19" t="str">
        <x:v>W16-20261227-1147</x:v>
      </x:c>
      <x:c r="B1148" s="13" t="n">
        <x:v>16</x:v>
      </x:c>
      <x:c r="C1148" s="13" t="str">
        <x:v>Этап 4 — Типы хвата и специфическая сила пальцев</x:v>
      </x:c>
      <x:c r="D1148" s="138" t="str">
        <x:v>2026-12-27</x:v>
      </x:c>
      <x:c r="E1148" s="13" t="str">
        <x:v>Воскресенье</x:v>
      </x:c>
      <x:c r="F1148" s="13" t="str">
        <x:v>Тренировка C — fun / опционально</x:v>
      </x:c>
      <x:c r="G1148" s="44" t="n">
        <x:v>0.020833333333333332</x:v>
      </x:c>
      <x:c r="H1148" s="44" t="n">
        <x:v>0.03819444444444445</x:v>
      </x:c>
      <x:c r="I1148" s="32" t="n">
        <x:f>ROUND((H1148-G1148)*1440,0)</x:f>
        <x:v>25</x:v>
      </x:c>
      <x:c r="J1148" s="13" t="str">
        <x:v>Свободное лазание A</x:v>
      </x:c>
      <x:c r="K1148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148" s="13" t="str">
        <x:v>☐ Не начато</x:v>
      </x:c>
      <x:c r="M1148" s="13" t="str">
        <x:v>Опционально</x:v>
      </x:c>
      <x:c r="N1148" s="13" t="str">
        <x:v>RPE 4–7</x:v>
      </x:c>
      <x:c r="O1148" s="13" t="str">
        <x:v>Не превращать блок в круг на выносливость.</x:v>
      </x:c>
      <x:c r="P1148" s="13" t="str">
        <x:v>milestone_04_grip_literacy_strength/week_16_2026-12-21/07_SUNDAY.md</x:v>
      </x:c>
      <x:c r="Q1148" s="138" t="str">
        <x:v>Markdown</x:v>
      </x:c>
      <x:c r="R1148" s="20" t="str"/>
    </x:row>
    <x:row r="1149" ht="36" customHeight="1">
      <x:c r="A1149" s="19" t="str">
        <x:v>W16-20261227-1148</x:v>
      </x:c>
      <x:c r="B1149" s="13" t="n">
        <x:v>16</x:v>
      </x:c>
      <x:c r="C1149" s="13" t="str">
        <x:v>Этап 4 — Типы хвата и специфическая сила пальцев</x:v>
      </x:c>
      <x:c r="D1149" s="138" t="str">
        <x:v>2026-12-27</x:v>
      </x:c>
      <x:c r="E1149" s="13" t="str">
        <x:v>Воскресенье</x:v>
      </x:c>
      <x:c r="F1149" s="13" t="str">
        <x:v>Тренировка C — fun / опционально</x:v>
      </x:c>
      <x:c r="G1149" s="44" t="n">
        <x:v>0.03819444444444445</x:v>
      </x:c>
      <x:c r="H1149" s="44" t="n">
        <x:v>0.04583333333333333</x:v>
      </x:c>
      <x:c r="I1149" s="32" t="n">
        <x:f>ROUND((H1149-G1149)*1440,0)</x:f>
        <x:v>11</x:v>
      </x:c>
      <x:c r="J1149" s="13" t="str">
        <x:v>Свежая сложная попытка A</x:v>
      </x:c>
      <x:c r="K1149" s="13" t="str">
        <x:v>Только если всё зелёное: попробуй одну рабочую пятёрку или дружелюбную шестёрку по критериям недели — Одна шестёрка, максимум 3 попытки. После этого сравнить видео недель 12 и 16. Максимум 2 попытки, отдых 4 минуты.</x:v>
      </x:c>
      <x:c r="L1149" s="13" t="str">
        <x:v>☐ Не начато</x:v>
      </x:c>
      <x:c r="M1149" s="13" t="str">
        <x:v>Опционально</x:v>
      </x:c>
      <x:c r="N1149" s="13" t="str">
        <x:v>RPE 7–8, без отказа</x:v>
      </x:c>
      <x:c r="O1149" s="13" t="str">
        <x:v>Объём минус 35–40%. Не переходить на меньшую кромку фингерборда.</x:v>
      </x:c>
      <x:c r="P1149" s="13" t="str">
        <x:v>milestone_04_grip_literacy_strength/week_16_2026-12-21/07_SUNDAY.md</x:v>
      </x:c>
      <x:c r="Q1149" s="138" t="str">
        <x:v>Markdown</x:v>
      </x:c>
      <x:c r="R1149" s="20" t="str"/>
    </x:row>
    <x:row r="1150" ht="36" customHeight="1">
      <x:c r="A1150" s="19" t="str">
        <x:v>W16-20261227-1149</x:v>
      </x:c>
      <x:c r="B1150" s="13" t="n">
        <x:v>16</x:v>
      </x:c>
      <x:c r="C1150" s="13" t="str">
        <x:v>Этап 4 — Типы хвата и специфическая сила пальцев</x:v>
      </x:c>
      <x:c r="D1150" s="138" t="str">
        <x:v>2026-12-27</x:v>
      </x:c>
      <x:c r="E1150" s="13" t="str">
        <x:v>Воскресенье</x:v>
      </x:c>
      <x:c r="F1150" s="13" t="str">
        <x:v>Тренировка C — fun / опционально</x:v>
      </x:c>
      <x:c r="G1150" s="44" t="n">
        <x:v>0.04583333333333333</x:v>
      </x:c>
      <x:c r="H1150" s="44" t="n">
        <x:v>0.05</x:v>
      </x:c>
      <x:c r="I1150" s="32" t="n">
        <x:f>ROUND((H1150-G1150)*1440,0)</x:f>
        <x:v>6</x:v>
      </x:c>
      <x:c r="J1150" s="13" t="str">
        <x:v>Лёгкий финал A</x:v>
      </x:c>
      <x:c r="K1150" s="13" t="str">
        <x:v>Одна любимая лёгкая трасса или спокойный спуск. Фингерборда и capacity-круга нет.</x:v>
      </x:c>
      <x:c r="L1150" s="13" t="str">
        <x:v>☐ Не начато</x:v>
      </x:c>
      <x:c r="M1150" s="13" t="str">
        <x:v>Опционально</x:v>
      </x:c>
      <x:c r="N1150" s="13" t="str">
        <x:v>RPE 2–3</x:v>
      </x:c>
      <x:c r="O1150" s="13" t="str"/>
      <x:c r="P1150" s="13" t="str">
        <x:v>milestone_04_grip_literacy_strength/week_16_2026-12-21/07_SUNDAY.md</x:v>
      </x:c>
      <x:c r="Q1150" s="138" t="str">
        <x:v>Markdown</x:v>
      </x:c>
      <x:c r="R1150" s="20" t="str"/>
    </x:row>
    <x:row r="1151" ht="36" customHeight="1">
      <x:c r="A1151" s="19" t="str">
        <x:v>W16-20261227-1150</x:v>
      </x:c>
      <x:c r="B1151" s="13" t="n">
        <x:v>16</x:v>
      </x:c>
      <x:c r="C1151" s="13" t="str">
        <x:v>Этап 4 — Типы хвата и специфическая сила пальцев</x:v>
      </x:c>
      <x:c r="D1151" s="138" t="str">
        <x:v>2026-12-27</x:v>
      </x:c>
      <x:c r="E1151" s="13" t="str">
        <x:v>Воскресенье</x:v>
      </x:c>
      <x:c r="F1151" s="13" t="str">
        <x:v>Тренировка C — fun / опционально</x:v>
      </x:c>
      <x:c r="G1151" s="44" t="n">
        <x:v>0.05</x:v>
      </x:c>
      <x:c r="H1151" s="44" t="n">
        <x:v>0.052083333333333336</x:v>
      </x:c>
      <x:c r="I1151" s="32" t="n">
        <x:f>ROUND((H1151-G1151)*1440,0)</x:f>
        <x:v>3</x:v>
      </x:c>
      <x:c r="J1151" s="13" t="str">
        <x:v>Журнал A</x:v>
      </x:c>
      <x:c r="K1151" s="13" t="str">
        <x:v>Запиши только 3 вещи: что было весело, один удачный технический момент, состояние пальцев после сессии.</x:v>
      </x:c>
      <x:c r="L1151" s="13" t="str">
        <x:v>☐ Не начато</x:v>
      </x:c>
      <x:c r="M1151" s="13" t="str">
        <x:v>Опционально</x:v>
      </x:c>
      <x:c r="N1151" s="13" t="str">
        <x:v>Без нагрузки</x:v>
      </x:c>
      <x:c r="O1151" s="13" t="str"/>
      <x:c r="P1151" s="13" t="str">
        <x:v>milestone_04_grip_literacy_strength/week_16_2026-12-21/07_SUNDAY.md</x:v>
      </x:c>
      <x:c r="Q1151" s="138" t="str">
        <x:v>Markdown</x:v>
      </x:c>
      <x:c r="R1151" s="20" t="str"/>
    </x:row>
    <x:row r="1152" ht="36" customHeight="1">
      <x:c r="A1152" s="19" t="str">
        <x:v>W16-20261227-1151</x:v>
      </x:c>
      <x:c r="B1152" s="13" t="n">
        <x:v>16</x:v>
      </x:c>
      <x:c r="C1152" s="13" t="str">
        <x:v>Этап 4 — Типы хвата и специфическая сила пальцев</x:v>
      </x:c>
      <x:c r="D1152" s="138" t="str">
        <x:v>2026-12-27</x:v>
      </x:c>
      <x:c r="E1152" s="13" t="str">
        <x:v>Воскресенье</x:v>
      </x:c>
      <x:c r="F1152" s="13" t="str">
        <x:v>Восстановление B — дома</x:v>
      </x:c>
      <x:c r="G1152" s="44" t="n">
        <x:v>0</x:v>
      </x:c>
      <x:c r="H1152" s="44" t="n">
        <x:v>0.010416666666666666</x:v>
      </x:c>
      <x:c r="I1152" s="32" t="n">
        <x:f>ROUND((H1152-G1152)*1440,0)</x:f>
        <x:v>15</x:v>
      </x:c>
      <x:c r="J1152" s="13" t="str">
        <x:v>Прогулка B</x:v>
      </x:c>
      <x:c r="K1152" s="13" t="str">
        <x:v>Если не идёшь в зал: 15 минут спокойной прогулки.</x:v>
      </x:c>
      <x:c r="L1152" s="13" t="str">
        <x:v>☐ Не начато</x:v>
      </x:c>
      <x:c r="M1152" s="13" t="str">
        <x:v>Опционально</x:v>
      </x:c>
      <x:c r="N1152" s="13" t="str">
        <x:v>RPE 1–2</x:v>
      </x:c>
      <x:c r="O1152" s="13" t="str"/>
      <x:c r="P1152" s="13" t="str">
        <x:v>milestone_04_grip_literacy_strength/week_16_2026-12-21/07_SUNDAY.md</x:v>
      </x:c>
      <x:c r="Q1152" s="138" t="str">
        <x:v>Markdown</x:v>
      </x:c>
      <x:c r="R1152" s="20" t="str"/>
    </x:row>
    <x:row r="1153" ht="36" customHeight="1">
      <x:c r="A1153" s="19" t="str">
        <x:v>W16-20261227-1152</x:v>
      </x:c>
      <x:c r="B1153" s="13" t="n">
        <x:v>16</x:v>
      </x:c>
      <x:c r="C1153" s="13" t="str">
        <x:v>Этап 4 — Типы хвата и специфическая сила пальцев</x:v>
      </x:c>
      <x:c r="D1153" s="138" t="str">
        <x:v>2026-12-27</x:v>
      </x:c>
      <x:c r="E1153" s="13" t="str">
        <x:v>Воскресенье</x:v>
      </x:c>
      <x:c r="F1153" s="13" t="str">
        <x:v>Восстановление B — дома</x:v>
      </x:c>
      <x:c r="G1153" s="44" t="n">
        <x:v>0.010416666666666666</x:v>
      </x:c>
      <x:c r="H1153" s="44" t="n">
        <x:v>0.015277777777777777</x:v>
      </x:c>
      <x:c r="I1153" s="32" t="n">
        <x:f>ROUND((H1153-G1153)*1440,0)</x:f>
        <x:v>7</x:v>
      </x:c>
      <x:c r="J1153" s="13" t="str">
        <x:v>Визуализация B</x:v>
      </x:c>
      <x:c r="K1153" s="13" t="str">
        <x:v>7 минут: мысленно повтори тему недели «Разгрузка и видеоразбор» и одну трассу четверга.</x:v>
      </x:c>
      <x:c r="L1153" s="13" t="str">
        <x:v>☐ Не начато</x:v>
      </x:c>
      <x:c r="M1153" s="13" t="str">
        <x:v>Опционально</x:v>
      </x:c>
      <x:c r="N1153" s="13" t="str">
        <x:v>Без нагрузки</x:v>
      </x:c>
      <x:c r="O1153" s="13" t="str"/>
      <x:c r="P1153" s="13" t="str">
        <x:v>milestone_04_grip_literacy_strength/week_16_2026-12-21/07_SUNDAY.md</x:v>
      </x:c>
      <x:c r="Q1153" s="138" t="str">
        <x:v>Markdown</x:v>
      </x:c>
      <x:c r="R1153" s="20" t="str"/>
    </x:row>
    <x:row r="1154" ht="36" customHeight="1">
      <x:c r="A1154" s="19" t="str">
        <x:v>W16-20261227-1153</x:v>
      </x:c>
      <x:c r="B1154" s="13" t="n">
        <x:v>16</x:v>
      </x:c>
      <x:c r="C1154" s="13" t="str">
        <x:v>Этап 4 — Типы хвата и специфическая сила пальцев</x:v>
      </x:c>
      <x:c r="D1154" s="138" t="str">
        <x:v>2026-12-27</x:v>
      </x:c>
      <x:c r="E1154" s="13" t="str">
        <x:v>Воскресенье</x:v>
      </x:c>
      <x:c r="F1154" s="13" t="str">
        <x:v>Восстановление B — дома</x:v>
      </x:c>
      <x:c r="G1154" s="44" t="n">
        <x:v>0.015277777777777777</x:v>
      </x:c>
      <x:c r="H1154" s="44" t="n">
        <x:v>0.017361111111111112</x:v>
      </x:c>
      <x:c r="I1154" s="32" t="n">
        <x:f>ROUND((H1154-G1154)*1440,0)</x:f>
        <x:v>3</x:v>
      </x:c>
      <x:c r="J1154" s="13" t="str">
        <x:v>Итог недели B</x:v>
      </x:c>
      <x:c r="K1154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154" s="13" t="str">
        <x:v>☐ Не начато</x:v>
      </x:c>
      <x:c r="M1154" s="13" t="str">
        <x:v>Опционально</x:v>
      </x:c>
      <x:c r="N1154" s="13" t="str">
        <x:v>Без нагрузки</x:v>
      </x:c>
      <x:c r="O1154" s="13" t="str"/>
      <x:c r="P1154" s="13" t="str">
        <x:v>milestone_04_grip_literacy_strength/week_16_2026-12-21/07_SUNDAY.md</x:v>
      </x:c>
      <x:c r="Q1154" s="138" t="str">
        <x:v>Markdown</x:v>
      </x:c>
      <x:c r="R1154" s="20" t="str"/>
    </x:row>
    <x:row r="1155" ht="36" customHeight="1">
      <x:c r="A1155" s="19" t="str">
        <x:v>W17-20261228-1154</x:v>
      </x:c>
      <x:c r="B1155" s="13" t="n">
        <x:v>17</x:v>
      </x:c>
      <x:c r="C1155" s="13" t="str">
        <x:v>Этап 5 — Эффективность движения и работа над проектом</x:v>
      </x:c>
      <x:c r="D1155" s="138" t="str">
        <x:v>2026-12-28</x:v>
      </x:c>
      <x:c r="E1155" s="13" t="str">
        <x:v>Понедельник</x:v>
      </x:c>
      <x:c r="F1155" s="13" t="str">
        <x:v>Дом / теория</x:v>
      </x:c>
      <x:c r="G1155" s="44" t="n">
        <x:v>0</x:v>
      </x:c>
      <x:c r="H1155" s="44" t="n">
        <x:v>0.0020833333333333333</x:v>
      </x:c>
      <x:c r="I1155" s="32" t="n">
        <x:f>ROUND((H1155-G1155)*1440,0)</x:f>
        <x:v>3</x:v>
      </x:c>
      <x:c r="J1155" s="13" t="str">
        <x:v>Самопроверка</x:v>
      </x:c>
      <x:c r="K1155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155" s="13" t="str">
        <x:v>☐ Не начато</x:v>
      </x:c>
      <x:c r="M1155" s="13" t="str">
        <x:v>Обязательно</x:v>
      </x:c>
      <x:c r="N1155" s="13" t="str">
        <x:v>Очень легко</x:v>
      </x:c>
      <x:c r="O1155" s="13" t="str">
        <x:v>Не диагностируй травму самостоятельно; используй правила из документа безопасности.</x:v>
      </x:c>
      <x:c r="P1155" s="13" t="str">
        <x:v>milestone_05_efficiency_projecting/week_17_2026-12-28/01_MONDAY.md</x:v>
      </x:c>
      <x:c r="Q1155" s="138" t="str">
        <x:v>Markdown</x:v>
      </x:c>
      <x:c r="R1155" s="20" t="str"/>
    </x:row>
    <x:row r="1156" ht="36" customHeight="1">
      <x:c r="A1156" s="19" t="str">
        <x:v>W17-20261228-1155</x:v>
      </x:c>
      <x:c r="B1156" s="13" t="n">
        <x:v>17</x:v>
      </x:c>
      <x:c r="C1156" s="13" t="str">
        <x:v>Этап 5 — Эффективность движения и работа над проектом</x:v>
      </x:c>
      <x:c r="D1156" s="138" t="str">
        <x:v>2026-12-28</x:v>
      </x:c>
      <x:c r="E1156" s="13" t="str">
        <x:v>Понедельник</x:v>
      </x:c>
      <x:c r="F1156" s="13" t="str">
        <x:v>Дом / теория</x:v>
      </x:c>
      <x:c r="G1156" s="44" t="n">
        <x:v>0.0020833333333333333</x:v>
      </x:c>
      <x:c r="H1156" s="44" t="n">
        <x:v>0.005555555555555556</x:v>
      </x:c>
      <x:c r="I1156" s="32" t="n">
        <x:f>ROUND((H1156-G1156)*1440,0)</x:f>
        <x:v>5</x:v>
      </x:c>
      <x:c r="J1156" s="13" t="str">
        <x:v>Планирование</x:v>
      </x:c>
      <x:c r="K1156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«Толчок идёт ногами и тазом; зацеп берётся в момент замедления тела, без жёсткой ловли плечом.»</x:v>
      </x:c>
      <x:c r="L1156" s="13" t="str">
        <x:v>☐ Не начато</x:v>
      </x:c>
      <x:c r="M1156" s="13" t="str">
        <x:v>Обязательно</x:v>
      </x:c>
      <x:c r="N1156" s="13" t="str">
        <x:v>Без нагрузки</x:v>
      </x:c>
      <x:c r="O1156" s="13" t="str"/>
      <x:c r="P1156" s="13" t="str">
        <x:v>milestone_05_efficiency_projecting/week_17_2026-12-28/01_MONDAY.md</x:v>
      </x:c>
      <x:c r="Q1156" s="138" t="str">
        <x:v>Markdown</x:v>
      </x:c>
      <x:c r="R1156" s="20" t="str"/>
    </x:row>
    <x:row r="1157" ht="36" customHeight="1">
      <x:c r="A1157" s="19" t="str">
        <x:v>W17-20261228-1156</x:v>
      </x:c>
      <x:c r="B1157" s="13" t="n">
        <x:v>17</x:v>
      </x:c>
      <x:c r="C1157" s="13" t="str">
        <x:v>Этап 5 — Эффективность движения и работа над проектом</x:v>
      </x:c>
      <x:c r="D1157" s="138" t="str">
        <x:v>2026-12-28</x:v>
      </x:c>
      <x:c r="E1157" s="13" t="str">
        <x:v>Понедельник</x:v>
      </x:c>
      <x:c r="F1157" s="13" t="str">
        <x:v>Дом / теория</x:v>
      </x:c>
      <x:c r="G1157" s="44" t="n">
        <x:v>0.005555555555555556</x:v>
      </x:c>
      <x:c r="H1157" s="44" t="n">
        <x:v>0.011111111111111112</x:v>
      </x:c>
      <x:c r="I1157" s="32" t="n">
        <x:f>ROUND((H1157-G1157)*1440,0)</x:f>
        <x:v>8</x:v>
      </x:c>
      <x:c r="J1157" s="13" t="str">
        <x:v>Теория</x:v>
      </x:c>
      <x:c r="K1157" s="13" t="str">
        <x:v>Посмотри/прочитай [R17: BMC — How to do dynamic movements when climbing](https://www.thebmc.co.uk/en/how-to-do-dynamic-movements-when-climbing-video). Задача: Контролируемый deadpoint. Большие dyno и жёсткие ловли исключены, пока плечо не готово.</x:v>
      </x:c>
      <x:c r="L1157" s="13" t="str">
        <x:v>☐ Не начато</x:v>
      </x:c>
      <x:c r="M1157" s="13" t="str">
        <x:v>Обязательно</x:v>
      </x:c>
      <x:c r="N1157" s="13" t="str">
        <x:v>Без нагрузки</x:v>
      </x:c>
      <x:c r="O1157" s="13" t="str"/>
      <x:c r="P1157" s="13" t="str">
        <x:v>milestone_05_efficiency_projecting/week_17_2026-12-28/01_MONDAY.md</x:v>
      </x:c>
      <x:c r="Q1157" s="138" t="str">
        <x:v>Markdown</x:v>
      </x:c>
      <x:c r="R1157" s="20" t="str"/>
    </x:row>
    <x:row r="1158" ht="36" customHeight="1">
      <x:c r="A1158" s="19" t="str">
        <x:v>W17-20261228-1157</x:v>
      </x:c>
      <x:c r="B1158" s="13" t="n">
        <x:v>17</x:v>
      </x:c>
      <x:c r="C1158" s="13" t="str">
        <x:v>Этап 5 — Эффективность движения и работа над проектом</x:v>
      </x:c>
      <x:c r="D1158" s="138" t="str">
        <x:v>2026-12-28</x:v>
      </x:c>
      <x:c r="E1158" s="13" t="str">
        <x:v>Понедельник</x:v>
      </x:c>
      <x:c r="F1158" s="13" t="str">
        <x:v>Дом / теория</x:v>
      </x:c>
      <x:c r="G1158" s="44" t="n">
        <x:v>0.011111111111111112</x:v>
      </x:c>
      <x:c r="H1158" s="44" t="n">
        <x:v>0.014583333333333334</x:v>
      </x:c>
      <x:c r="I1158" s="32" t="n">
        <x:f>ROUND((H1158-G1158)*1440,0)</x:f>
        <x:v>5</x:v>
      </x:c>
      <x:c r="J1158" s="13" t="str">
        <x:v>Конспект</x:v>
      </x:c>
      <x:c r="K1158" s="13" t="str">
        <x:v>Запиши ровно 3 пункта: (1) что делать ногами/тазом; (2) что не делать руками; (3) какой признак успеха проверишь на стене для темы «Контролируемый deadpoint».</x:v>
      </x:c>
      <x:c r="L1158" s="13" t="str">
        <x:v>☐ Не начато</x:v>
      </x:c>
      <x:c r="M1158" s="13" t="str">
        <x:v>Обязательно</x:v>
      </x:c>
      <x:c r="N1158" s="13" t="str">
        <x:v>Без нагрузки</x:v>
      </x:c>
      <x:c r="O1158" s="13" t="str"/>
      <x:c r="P1158" s="13" t="str">
        <x:v>milestone_05_efficiency_projecting/week_17_2026-12-28/01_MONDAY.md</x:v>
      </x:c>
      <x:c r="Q1158" s="138" t="str">
        <x:v>Markdown</x:v>
      </x:c>
      <x:c r="R1158" s="20" t="str"/>
    </x:row>
    <x:row r="1159" ht="36" customHeight="1">
      <x:c r="A1159" s="19" t="str">
        <x:v>W17-20261228-1158</x:v>
      </x:c>
      <x:c r="B1159" s="13" t="n">
        <x:v>17</x:v>
      </x:c>
      <x:c r="C1159" s="13" t="str">
        <x:v>Этап 5 — Эффективность движения и работа над проектом</x:v>
      </x:c>
      <x:c r="D1159" s="138" t="str">
        <x:v>2026-12-28</x:v>
      </x:c>
      <x:c r="E1159" s="13" t="str">
        <x:v>Понедельник</x:v>
      </x:c>
      <x:c r="F1159" s="13" t="str">
        <x:v>Дом / теория</x:v>
      </x:c>
      <x:c r="G1159" s="44" t="n">
        <x:v>0.014583333333333334</x:v>
      </x:c>
      <x:c r="H1159" s="44" t="n">
        <x:v>0.022916666666666665</x:v>
      </x:c>
      <x:c r="I1159" s="32" t="n">
        <x:f>ROUND((H1159-G1159)*1440,0)</x:f>
        <x:v>12</x:v>
      </x:c>
      <x:c r="J1159" s="13" t="str">
        <x:v>Домашняя мобильность</x:v>
      </x:c>
      <x:c r="K1159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159" s="13" t="str">
        <x:v>☐ Не начато</x:v>
      </x:c>
      <x:c r="M1159" s="13" t="str">
        <x:v>Обязательно</x:v>
      </x:c>
      <x:c r="N1159" s="13" t="str">
        <x:v>RPE 2–3</x:v>
      </x:c>
      <x:c r="O1159" s="13" t="str">
        <x:v>Никаких скручиваний через боль. Плечом не отталкивайся от стены; касание только для равновесия.</x:v>
      </x:c>
      <x:c r="P1159" s="13" t="str">
        <x:v>milestone_05_efficiency_projecting/week_17_2026-12-28/01_MONDAY.md</x:v>
      </x:c>
      <x:c r="Q1159" s="138" t="str">
        <x:v>Markdown</x:v>
      </x:c>
      <x:c r="R1159" s="20" t="str"/>
    </x:row>
    <x:row r="1160" ht="36" customHeight="1">
      <x:c r="A1160" s="19" t="str">
        <x:v>W17-20261228-1159</x:v>
      </x:c>
      <x:c r="B1160" s="13" t="n">
        <x:v>17</x:v>
      </x:c>
      <x:c r="C1160" s="13" t="str">
        <x:v>Этап 5 — Эффективность движения и работа над проектом</x:v>
      </x:c>
      <x:c r="D1160" s="138" t="str">
        <x:v>2026-12-28</x:v>
      </x:c>
      <x:c r="E1160" s="13" t="str">
        <x:v>Понедельник</x:v>
      </x:c>
      <x:c r="F1160" s="13" t="str">
        <x:v>Дом / теория</x:v>
      </x:c>
      <x:c r="G1160" s="44" t="n">
        <x:v>0.022916666666666665</x:v>
      </x:c>
      <x:c r="H1160" s="44" t="n">
        <x:v>0.03680555555555556</x:v>
      </x:c>
      <x:c r="I1160" s="32" t="n">
        <x:f>ROUND((H1160-G1160)*1440,0)</x:f>
        <x:v>20</x:v>
      </x:c>
      <x:c r="J1160" s="13" t="str">
        <x:v>Физиотерапия</x:v>
      </x:c>
      <x:c r="K1160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160" s="13" t="str">
        <x:v>☐ Не начато</x:v>
      </x:c>
      <x:c r="M1160" s="13" t="str">
        <x:v>По назначению</x:v>
      </x:c>
      <x:c r="N1160" s="13" t="str">
        <x:v>По назначению физиотерапевта</x:v>
      </x:c>
      <x:c r="O1160" s="13" t="str">
        <x:v>Любые указания физиотерапевта имеют приоритет над этим планом.</x:v>
      </x:c>
      <x:c r="P1160" s="13" t="str">
        <x:v>milestone_05_efficiency_projecting/week_17_2026-12-28/01_MONDAY.md</x:v>
      </x:c>
      <x:c r="Q1160" s="138" t="str">
        <x:v>Markdown</x:v>
      </x:c>
      <x:c r="R1160" s="20" t="str"/>
    </x:row>
    <x:row r="1161" ht="36" customHeight="1">
      <x:c r="A1161" s="19" t="str">
        <x:v>W17-20261228-1160</x:v>
      </x:c>
      <x:c r="B1161" s="13" t="n">
        <x:v>17</x:v>
      </x:c>
      <x:c r="C1161" s="13" t="str">
        <x:v>Этап 5 — Эффективность движения и работа над проектом</x:v>
      </x:c>
      <x:c r="D1161" s="138" t="str">
        <x:v>2026-12-28</x:v>
      </x:c>
      <x:c r="E1161" s="13" t="str">
        <x:v>Понедельник</x:v>
      </x:c>
      <x:c r="F1161" s="13" t="str">
        <x:v>Дом / теория</x:v>
      </x:c>
      <x:c r="G1161" s="44" t="n">
        <x:v>0.03680555555555556</x:v>
      </x:c>
      <x:c r="H1161" s="44" t="n">
        <x:v>0.03888888888888889</x:v>
      </x:c>
      <x:c r="I1161" s="32" t="n">
        <x:f>ROUND((H1161-G1161)*1440,0)</x:f>
        <x:v>3</x:v>
      </x:c>
      <x:c r="J1161" s="13" t="str">
        <x:v>Подготовка</x:v>
      </x:c>
      <x:c r="K1161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161" s="13" t="str">
        <x:v>☐ Не начато</x:v>
      </x:c>
      <x:c r="M1161" s="13" t="str">
        <x:v>Обязательно</x:v>
      </x:c>
      <x:c r="N1161" s="13" t="str">
        <x:v>Без нагрузки</x:v>
      </x:c>
      <x:c r="O1161" s="13" t="str">
        <x:v>Кольца и турник — только в рамках программы физиотерапевта.</x:v>
      </x:c>
      <x:c r="P1161" s="13" t="str">
        <x:v>milestone_05_efficiency_projecting/week_17_2026-12-28/01_MONDAY.md</x:v>
      </x:c>
      <x:c r="Q1161" s="138" t="str">
        <x:v>Markdown</x:v>
      </x:c>
      <x:c r="R1161" s="20" t="str"/>
    </x:row>
    <x:row r="1162" ht="36" customHeight="1">
      <x:c r="A1162" s="19" t="str">
        <x:v>W17-20261229-1161</x:v>
      </x:c>
      <x:c r="B1162" s="13" t="n">
        <x:v>17</x:v>
      </x:c>
      <x:c r="C1162" s="13" t="str">
        <x:v>Этап 5 — Эффективность движения и работа над проектом</x:v>
      </x:c>
      <x:c r="D1162" s="138" t="str">
        <x:v>2026-12-29</x:v>
      </x:c>
      <x:c r="E1162" s="13" t="str">
        <x:v>Вторник</x:v>
      </x:c>
      <x:c r="F1162" s="13" t="str">
        <x:v>Тренировка A — техника/объём</x:v>
      </x:c>
      <x:c r="G1162" s="44" t="n">
        <x:v>0</x:v>
      </x:c>
      <x:c r="H1162" s="44" t="n">
        <x:v>0.0020833333333333333</x:v>
      </x:c>
      <x:c r="I1162" s="32" t="n">
        <x:f>ROUND((H1162-G1162)*1440,0)</x:f>
        <x:v>3</x:v>
      </x:c>
      <x:c r="J1162" s="13" t="str">
        <x:v>Самопроверка</x:v>
      </x:c>
      <x:c r="K116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162" s="13" t="str">
        <x:v>☐ Не начато</x:v>
      </x:c>
      <x:c r="M1162" s="13" t="str">
        <x:v>Обязательно</x:v>
      </x:c>
      <x:c r="N1162" s="13" t="str">
        <x:v>Без нагрузки</x:v>
      </x:c>
      <x:c r="O1162" s="13" t="str">
        <x:v>Красный флаг = не начинать пальцевую нагрузку.</x:v>
      </x:c>
      <x:c r="P1162" s="13" t="str">
        <x:v>milestone_05_efficiency_projecting/week_17_2026-12-28/02_TUESDAY.md</x:v>
      </x:c>
      <x:c r="Q1162" s="138" t="str">
        <x:v>Markdown</x:v>
      </x:c>
      <x:c r="R1162" s="20" t="str"/>
    </x:row>
    <x:row r="1163" ht="36" customHeight="1">
      <x:c r="A1163" s="19" t="str">
        <x:v>W17-20261229-1162</x:v>
      </x:c>
      <x:c r="B1163" s="13" t="n">
        <x:v>17</x:v>
      </x:c>
      <x:c r="C1163" s="13" t="str">
        <x:v>Этап 5 — Эффективность движения и работа над проектом</x:v>
      </x:c>
      <x:c r="D1163" s="138" t="str">
        <x:v>2026-12-29</x:v>
      </x:c>
      <x:c r="E1163" s="13" t="str">
        <x:v>Вторник</x:v>
      </x:c>
      <x:c r="F1163" s="13" t="str">
        <x:v>Тренировка A — техника/объём</x:v>
      </x:c>
      <x:c r="G1163" s="44" t="n">
        <x:v>0.0020833333333333333</x:v>
      </x:c>
      <x:c r="H1163" s="44" t="n">
        <x:v>0.005555555555555556</x:v>
      </x:c>
      <x:c r="I1163" s="32" t="n">
        <x:f>ROUND((H1163-G1163)*1440,0)</x:f>
        <x:v>5</x:v>
      </x:c>
      <x:c r="J1163" s="13" t="str">
        <x:v>Разминка</x:v>
      </x:c>
      <x:c r="K1163" s="13" t="str">
        <x:v>Подними температуру: быстрая ходьба, лестница или лёгкий велотренажёр 5 минут.</x:v>
      </x:c>
      <x:c r="L1163" s="13" t="str">
        <x:v>☐ Не начато</x:v>
      </x:c>
      <x:c r="M1163" s="13" t="str">
        <x:v>Обязательно</x:v>
      </x:c>
      <x:c r="N1163" s="13" t="str">
        <x:v>RPE 2–3</x:v>
      </x:c>
      <x:c r="O1163" s="13" t="str"/>
      <x:c r="P1163" s="13" t="str">
        <x:v>milestone_05_efficiency_projecting/week_17_2026-12-28/02_TUESDAY.md</x:v>
      </x:c>
      <x:c r="Q1163" s="138" t="str">
        <x:v>Markdown</x:v>
      </x:c>
      <x:c r="R1163" s="20" t="str"/>
    </x:row>
    <x:row r="1164" ht="36" customHeight="1">
      <x:c r="A1164" s="19" t="str">
        <x:v>W17-20261229-1163</x:v>
      </x:c>
      <x:c r="B1164" s="13" t="n">
        <x:v>17</x:v>
      </x:c>
      <x:c r="C1164" s="13" t="str">
        <x:v>Этап 5 — Эффективность движения и работа над проектом</x:v>
      </x:c>
      <x:c r="D1164" s="138" t="str">
        <x:v>2026-12-29</x:v>
      </x:c>
      <x:c r="E1164" s="13" t="str">
        <x:v>Вторник</x:v>
      </x:c>
      <x:c r="F1164" s="13" t="str">
        <x:v>Тренировка A — техника/объём</x:v>
      </x:c>
      <x:c r="G1164" s="44" t="n">
        <x:v>0.005555555555555556</x:v>
      </x:c>
      <x:c r="H1164" s="44" t="n">
        <x:v>0.009027777777777777</x:v>
      </x:c>
      <x:c r="I1164" s="32" t="n">
        <x:f>ROUND((H1164-G1164)*1440,0)</x:f>
        <x:v>5</x:v>
      </x:c>
      <x:c r="J1164" s="13" t="str">
        <x:v>Разминка</x:v>
      </x:c>
      <x:c r="K116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164" s="13" t="str">
        <x:v>☐ Не начато</x:v>
      </x:c>
      <x:c r="M1164" s="13" t="str">
        <x:v>Обязательно</x:v>
      </x:c>
      <x:c r="N1164" s="13" t="str">
        <x:v>Очень легко</x:v>
      </x:c>
      <x:c r="O1164" s="13" t="str">
        <x:v>Не делай press/отжимания и движения, которые раздражают плечо.</x:v>
      </x:c>
      <x:c r="P1164" s="13" t="str">
        <x:v>milestone_05_efficiency_projecting/week_17_2026-12-28/02_TUESDAY.md</x:v>
      </x:c>
      <x:c r="Q1164" s="138" t="str">
        <x:v>Markdown</x:v>
      </x:c>
      <x:c r="R1164" s="20" t="str"/>
    </x:row>
    <x:row r="1165" ht="36" customHeight="1">
      <x:c r="A1165" s="19" t="str">
        <x:v>W17-20261229-1164</x:v>
      </x:c>
      <x:c r="B1165" s="13" t="n">
        <x:v>17</x:v>
      </x:c>
      <x:c r="C1165" s="13" t="str">
        <x:v>Этап 5 — Эффективность движения и работа над проектом</x:v>
      </x:c>
      <x:c r="D1165" s="138" t="str">
        <x:v>2026-12-29</x:v>
      </x:c>
      <x:c r="E1165" s="13" t="str">
        <x:v>Вторник</x:v>
      </x:c>
      <x:c r="F1165" s="13" t="str">
        <x:v>Тренировка A — техника/объём</x:v>
      </x:c>
      <x:c r="G1165" s="44" t="n">
        <x:v>0.009027777777777777</x:v>
      </x:c>
      <x:c r="H1165" s="44" t="n">
        <x:v>0.011805555555555555</x:v>
      </x:c>
      <x:c r="I1165" s="32" t="n">
        <x:f>ROUND((H1165-G1165)*1440,0)</x:f>
        <x:v>4</x:v>
      </x:c>
      <x:c r="J1165" s="13" t="str">
        <x:v>Разминка пальцев</x:v>
      </x:c>
      <x:c r="K116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165" s="13" t="str">
        <x:v>☐ Не начато</x:v>
      </x:c>
      <x:c r="M1165" s="13" t="str">
        <x:v>Обязательно</x:v>
      </x:c>
      <x:c r="N1165" s="13" t="str">
        <x:v>Очень легко</x:v>
      </x:c>
      <x:c r="O1165" s="13" t="str"/>
      <x:c r="P1165" s="13" t="str">
        <x:v>milestone_05_efficiency_projecting/week_17_2026-12-28/02_TUESDAY.md</x:v>
      </x:c>
      <x:c r="Q1165" s="138" t="str">
        <x:v>Markdown</x:v>
      </x:c>
      <x:c r="R1165" s="20" t="str"/>
    </x:row>
    <x:row r="1166" ht="36" customHeight="1">
      <x:c r="A1166" s="19" t="str">
        <x:v>W17-20261229-1165</x:v>
      </x:c>
      <x:c r="B1166" s="13" t="n">
        <x:v>17</x:v>
      </x:c>
      <x:c r="C1166" s="13" t="str">
        <x:v>Этап 5 — Эффективность движения и работа над проектом</x:v>
      </x:c>
      <x:c r="D1166" s="138" t="str">
        <x:v>2026-12-29</x:v>
      </x:c>
      <x:c r="E1166" s="13" t="str">
        <x:v>Вторник</x:v>
      </x:c>
      <x:c r="F1166" s="13" t="str">
        <x:v>Тренировка A — техника/объём</x:v>
      </x:c>
      <x:c r="G1166" s="44" t="n">
        <x:v>0.011805555555555555</x:v>
      </x:c>
      <x:c r="H1166" s="44" t="n">
        <x:v>0.014583333333333334</x:v>
      </x:c>
      <x:c r="I1166" s="32" t="n">
        <x:f>ROUND((H1166-G1166)*1440,0)</x:f>
        <x:v>4</x:v>
      </x:c>
      <x:c r="J1166" s="13" t="str">
        <x:v>Разминочное лазание</x:v>
      </x:c>
      <x:c r="K1166" s="13" t="str">
        <x:v>Пройди 2 очень лёгкие трассы уровня 1–2; двигайся медленно, спускайся по зацепам.</x:v>
      </x:c>
      <x:c r="L1166" s="13" t="str">
        <x:v>☐ Не начато</x:v>
      </x:c>
      <x:c r="M1166" s="13" t="str">
        <x:v>Обязательно</x:v>
      </x:c>
      <x:c r="N1166" s="13" t="str">
        <x:v>RPE 2–3</x:v>
      </x:c>
      <x:c r="O1166" s="13" t="str">
        <x:v>Финиш с обязательным болезненным mantle/press пропусти.</x:v>
      </x:c>
      <x:c r="P1166" s="13" t="str">
        <x:v>milestone_05_efficiency_projecting/week_17_2026-12-28/02_TUESDAY.md</x:v>
      </x:c>
      <x:c r="Q1166" s="138" t="str">
        <x:v>Markdown</x:v>
      </x:c>
      <x:c r="R1166" s="20" t="str"/>
    </x:row>
    <x:row r="1167" ht="36" customHeight="1">
      <x:c r="A1167" s="19" t="str">
        <x:v>W17-20261229-1166</x:v>
      </x:c>
      <x:c r="B1167" s="13" t="n">
        <x:v>17</x:v>
      </x:c>
      <x:c r="C1167" s="13" t="str">
        <x:v>Этап 5 — Эффективность движения и работа над проектом</x:v>
      </x:c>
      <x:c r="D1167" s="138" t="str">
        <x:v>2026-12-29</x:v>
      </x:c>
      <x:c r="E1167" s="13" t="str">
        <x:v>Вторник</x:v>
      </x:c>
      <x:c r="F1167" s="13" t="str">
        <x:v>Тренировка A — техника/объём</x:v>
      </x:c>
      <x:c r="G1167" s="44" t="n">
        <x:v>0.014583333333333334</x:v>
      </x:c>
      <x:c r="H1167" s="44" t="n">
        <x:v>0.017361111111111112</x:v>
      </x:c>
      <x:c r="I1167" s="32" t="n">
        <x:f>ROUND((H1167-G1167)*1440,0)</x:f>
        <x:v>4</x:v>
      </x:c>
      <x:c r="J1167" s="13" t="str">
        <x:v>Разминочное лазание</x:v>
      </x:c>
      <x:c r="K1167" s="13" t="str">
        <x:v>Пройди 2 трассы уровня 2–3, затем сделай 2–3 движения на комфортной четвёрке. Между ними 45–60 секунд.</x:v>
      </x:c>
      <x:c r="L1167" s="13" t="str">
        <x:v>☐ Не начато</x:v>
      </x:c>
      <x:c r="M1167" s="13" t="str">
        <x:v>Обязательно</x:v>
      </x:c>
      <x:c r="N1167" s="13" t="str">
        <x:v>RPE 3–4</x:v>
      </x:c>
      <x:c r="O1167" s="13" t="str">
        <x:v>Разминка не должна утомить пальцы.</x:v>
      </x:c>
      <x:c r="P1167" s="13" t="str">
        <x:v>milestone_05_efficiency_projecting/week_17_2026-12-28/02_TUESDAY.md</x:v>
      </x:c>
      <x:c r="Q1167" s="138" t="str">
        <x:v>Markdown</x:v>
      </x:c>
      <x:c r="R1167" s="20" t="str"/>
    </x:row>
    <x:row r="1168" ht="36" customHeight="1">
      <x:c r="A1168" s="19" t="str">
        <x:v>W17-20261229-1167</x:v>
      </x:c>
      <x:c r="B1168" s="13" t="n">
        <x:v>17</x:v>
      </x:c>
      <x:c r="C1168" s="13" t="str">
        <x:v>Этап 5 — Эффективность движения и работа над проектом</x:v>
      </x:c>
      <x:c r="D1168" s="138" t="str">
        <x:v>2026-12-29</x:v>
      </x:c>
      <x:c r="E1168" s="13" t="str">
        <x:v>Вторник</x:v>
      </x:c>
      <x:c r="F1168" s="13" t="str">
        <x:v>Тренировка A — техника/объём</x:v>
      </x:c>
      <x:c r="G1168" s="44" t="n">
        <x:v>0.017361111111111112</x:v>
      </x:c>
      <x:c r="H1168" s="44" t="n">
        <x:v>0.02013888888888889</x:v>
      </x:c>
      <x:c r="I1168" s="32" t="n">
        <x:f>ROUND((H1168-G1168)*1440,0)</x:f>
        <x:v>4</x:v>
      </x:c>
      <x:c r="J1168" s="13" t="str">
        <x:v>Выбор трасс</x:v>
      </x:c>
      <x:c r="K1168" s="13" t="str">
        <x:v>Найди трассы для упражнения: 3 лёгкие трассы с длинным, но контролируемым reach. Сначала статично, затем чуть динамичнее.</x:v>
      </x:c>
      <x:c r="L1168" s="13" t="str">
        <x:v>☐ Не начато</x:v>
      </x:c>
      <x:c r="M1168" s="13" t="str">
        <x:v>Обязательно</x:v>
      </x:c>
      <x:c r="N1168" s="13" t="str">
        <x:v>Без нагрузки</x:v>
      </x:c>
      <x:c r="O1168" s="13" t="str">
        <x:v>Плечо: никакой жёсткой ловли, кампуса и dyno. Колено: контролируемые приземления, лучше спускаться.</x:v>
      </x:c>
      <x:c r="P1168" s="13" t="str">
        <x:v>milestone_05_efficiency_projecting/week_17_2026-12-28/02_TUESDAY.md</x:v>
      </x:c>
      <x:c r="Q1168" s="138" t="str">
        <x:v>Markdown</x:v>
      </x:c>
      <x:c r="R1168" s="20" t="str"/>
    </x:row>
    <x:row r="1169" ht="36" customHeight="1">
      <x:c r="A1169" s="19" t="str">
        <x:v>W17-20261229-1168</x:v>
      </x:c>
      <x:c r="B1169" s="13" t="n">
        <x:v>17</x:v>
      </x:c>
      <x:c r="C1169" s="13" t="str">
        <x:v>Этап 5 — Эффективность движения и работа над проектом</x:v>
      </x:c>
      <x:c r="D1169" s="138" t="str">
        <x:v>2026-12-29</x:v>
      </x:c>
      <x:c r="E1169" s="13" t="str">
        <x:v>Вторник</x:v>
      </x:c>
      <x:c r="F1169" s="13" t="str">
        <x:v>Тренировка A — техника/объём</x:v>
      </x:c>
      <x:c r="G1169" s="44" t="n">
        <x:v>0.02013888888888889</x:v>
      </x:c>
      <x:c r="H1169" s="44" t="n">
        <x:v>0.03194444444444444</x:v>
      </x:c>
      <x:c r="I1169" s="32" t="n">
        <x:f>ROUND((H1169-G1169)*1440,0)</x:f>
        <x:v>17</x:v>
      </x:c>
      <x:c r="J1169" s="13" t="str">
        <x:v>Технический блок</x:v>
      </x:c>
      <x:c r="K1169" s="13" t="str">
        <x:v>Отработай «Контролируемый deadpoint». Шаги: Сначала попробуй движение статично. Затем начни ногами и тазом чуть быстрее. Возьми зацеп около верхней точки движения, когда скорость почти нулевая.</x:v>
      </x:c>
      <x:c r="L1169" s="13" t="str">
        <x:v>☐ Не начато</x:v>
      </x:c>
      <x:c r="M1169" s="13" t="str">
        <x:v>Обязательно</x:v>
      </x:c>
      <x:c r="N1169" s="13" t="str">
        <x:v>RPE 3–5</x:v>
      </x:c>
      <x:c r="O1169" s="13" t="str">
        <x:v>Большие dyno, кампус и жёсткие ловли исключены.</x:v>
      </x:c>
      <x:c r="P1169" s="13" t="str">
        <x:v>milestone_05_efficiency_projecting/week_17_2026-12-28/02_TUESDAY.md</x:v>
      </x:c>
      <x:c r="Q1169" s="138" t="str">
        <x:v>Markdown</x:v>
      </x:c>
      <x:c r="R1169" s="20" t="str"/>
    </x:row>
    <x:row r="1170" ht="36" customHeight="1">
      <x:c r="A1170" s="19" t="str">
        <x:v>W17-20261229-1169</x:v>
      </x:c>
      <x:c r="B1170" s="13" t="n">
        <x:v>17</x:v>
      </x:c>
      <x:c r="C1170" s="13" t="str">
        <x:v>Этап 5 — Эффективность движения и работа над проектом</x:v>
      </x:c>
      <x:c r="D1170" s="138" t="str">
        <x:v>2026-12-29</x:v>
      </x:c>
      <x:c r="E1170" s="13" t="str">
        <x:v>Вторник</x:v>
      </x:c>
      <x:c r="F1170" s="13" t="str">
        <x:v>Тренировка A — техника/объём</x:v>
      </x:c>
      <x:c r="G1170" s="44" t="n">
        <x:v>0.03194444444444444</x:v>
      </x:c>
      <x:c r="H1170" s="44" t="n">
        <x:v>0.035416666666666666</x:v>
      </x:c>
      <x:c r="I1170" s="32" t="n">
        <x:f>ROUND((H1170-G1170)*1440,0)</x:f>
        <x:v>5</x:v>
      </x:c>
      <x:c r="J1170" s="13" t="str">
        <x:v>Обратная связь</x:v>
      </x:c>
      <x:c r="K1170" s="13" t="str">
        <x:v>Повтори лучшую лёгкую трассу и проверь критерий успеха: Минимальная динамика делает движение легче, а ловля остаётся тихой и контролируемой.</x:v>
      </x:c>
      <x:c r="L1170" s="13" t="str">
        <x:v>☐ Не начато</x:v>
      </x:c>
      <x:c r="M1170" s="13" t="str">
        <x:v>Обязательно</x:v>
      </x:c>
      <x:c r="N1170" s="13" t="str">
        <x:v>RPE 4–5</x:v>
      </x:c>
      <x:c r="O1170" s="13" t="str"/>
      <x:c r="P1170" s="13" t="str">
        <x:v>milestone_05_efficiency_projecting/week_17_2026-12-28/02_TUESDAY.md</x:v>
      </x:c>
      <x:c r="Q1170" s="138" t="str">
        <x:v>Markdown</x:v>
      </x:c>
      <x:c r="R1170" s="20" t="str"/>
    </x:row>
    <x:row r="1171" ht="36" customHeight="1">
      <x:c r="A1171" s="19" t="str">
        <x:v>W17-20261229-1170</x:v>
      </x:c>
      <x:c r="B1171" s="13" t="n">
        <x:v>17</x:v>
      </x:c>
      <x:c r="C1171" s="13" t="str">
        <x:v>Этап 5 — Эффективность движения и работа над проектом</x:v>
      </x:c>
      <x:c r="D1171" s="138" t="str">
        <x:v>2026-12-29</x:v>
      </x:c>
      <x:c r="E1171" s="13" t="str">
        <x:v>Вторник</x:v>
      </x:c>
      <x:c r="F1171" s="13" t="str">
        <x:v>Тренировка A — техника/объём</x:v>
      </x:c>
      <x:c r="G1171" s="44" t="n">
        <x:v>0.035416666666666666</x:v>
      </x:c>
      <x:c r="H1171" s="44" t="n">
        <x:v>0.04583333333333333</x:v>
      </x:c>
      <x:c r="I1171" s="32" t="n">
        <x:f>ROUND((H1171-G1171)*1440,0)</x:f>
        <x:v>15</x:v>
      </x:c>
      <x:c r="J1171" s="13" t="str">
        <x:v>Качественный объём</x:v>
      </x:c>
      <x:c r="K1171" s="13" t="str">
        <x:v>Попробуй 2–3 четвёрки, максимум 2 попытки на каждую, отдых 2:00. На неудаче назови техническую причину.</x:v>
      </x:c>
      <x:c r="L1171" s="13" t="str">
        <x:v>☐ Не начато</x:v>
      </x:c>
      <x:c r="M1171" s="13" t="str">
        <x:v>Обязательно</x:v>
      </x:c>
      <x:c r="N1171" s="13" t="str">
        <x:v>RPE 6–7</x:v>
      </x:c>
      <x:c r="O1171" s="13" t="str">
        <x:v>Не выбирать подряд три трассы на одинаково маленьких кромках.</x:v>
      </x:c>
      <x:c r="P1171" s="13" t="str">
        <x:v>milestone_05_efficiency_projecting/week_17_2026-12-28/02_TUESDAY.md</x:v>
      </x:c>
      <x:c r="Q1171" s="138" t="str">
        <x:v>Markdown</x:v>
      </x:c>
      <x:c r="R1171" s="20" t="str"/>
    </x:row>
    <x:row r="1172" ht="36" customHeight="1">
      <x:c r="A1172" s="19" t="str">
        <x:v>W17-20261229-1171</x:v>
      </x:c>
      <x:c r="B1172" s="13" t="n">
        <x:v>17</x:v>
      </x:c>
      <x:c r="C1172" s="13" t="str">
        <x:v>Этап 5 — Эффективность движения и работа над проектом</x:v>
      </x:c>
      <x:c r="D1172" s="138" t="str">
        <x:v>2026-12-29</x:v>
      </x:c>
      <x:c r="E1172" s="13" t="str">
        <x:v>Вторник</x:v>
      </x:c>
      <x:c r="F1172" s="13" t="str">
        <x:v>Тренировка A — техника/объём</x:v>
      </x:c>
      <x:c r="G1172" s="44" t="n">
        <x:v>0.04583333333333333</x:v>
      </x:c>
      <x:c r="H1172" s="44" t="n">
        <x:v>0.052083333333333336</x:v>
      </x:c>
      <x:c r="I1172" s="32" t="n">
        <x:f>ROUND((H1172-G1172)*1440,0)</x:f>
        <x:v>9</x:v>
      </x:c>
      <x:c r="J1172" s="13" t="str">
        <x:v>Рабочая пятёрка</x:v>
      </x:c>
      <x:c r="K1172" s="13" t="str">
        <x:v>Одна пятёрка, максимум 2 попытки, отдых 3:00. Цель — применить тему недели, а не обязательно закрыть.</x:v>
      </x:c>
      <x:c r="L1172" s="13" t="str">
        <x:v>☐ Не начато</x:v>
      </x:c>
      <x:c r="M1172" s="13" t="str">
        <x:v>Обязательно</x:v>
      </x:c>
      <x:c r="N1172" s="13" t="str">
        <x:v>RPE 7–8</x:v>
      </x:c>
      <x:c r="O1172" s="13" t="str">
        <x:v>Плечо: никакой жёсткой ловли, кампуса и dyno. Колено: контролируемые приземления, лучше спускаться.</x:v>
      </x:c>
      <x:c r="P1172" s="13" t="str">
        <x:v>milestone_05_efficiency_projecting/week_17_2026-12-28/02_TUESDAY.md</x:v>
      </x:c>
      <x:c r="Q1172" s="138" t="str">
        <x:v>Markdown</x:v>
      </x:c>
      <x:c r="R1172" s="20" t="str"/>
    </x:row>
    <x:row r="1173" ht="36" customHeight="1">
      <x:c r="A1173" s="19" t="str">
        <x:v>W17-20261229-1172</x:v>
      </x:c>
      <x:c r="B1173" s="13" t="n">
        <x:v>17</x:v>
      </x:c>
      <x:c r="C1173" s="13" t="str">
        <x:v>Этап 5 — Эффективность движения и работа над проектом</x:v>
      </x:c>
      <x:c r="D1173" s="138" t="str">
        <x:v>2026-12-29</x:v>
      </x:c>
      <x:c r="E1173" s="13" t="str">
        <x:v>Вторник</x:v>
      </x:c>
      <x:c r="F1173" s="13" t="str">
        <x:v>Тренировка A — техника/объём</x:v>
      </x:c>
      <x:c r="G1173" s="44" t="n">
        <x:v>0.052083333333333336</x:v>
      </x:c>
      <x:c r="H1173" s="44" t="n">
        <x:v>0.058333333333333334</x:v>
      </x:c>
      <x:c r="I1173" s="32" t="n">
        <x:f>ROUND((H1173-G1173)*1440,0)</x:f>
        <x:v>9</x:v>
      </x:c>
      <x:c r="J1173" s="13" t="str">
        <x:v>Лёгкая выносливость</x:v>
      </x:c>
      <x:c r="K1173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173" s="13" t="str">
        <x:v>☐ Не начато</x:v>
      </x:c>
      <x:c r="M1173" s="13" t="str">
        <x:v>Обязательно</x:v>
      </x:c>
      <x:c r="N1173" s="13" t="str">
        <x:v>Памп максимум 4/10</x:v>
      </x:c>
      <x:c r="O1173" s="13" t="str">
        <x:v>Остановиться при неточной постановке ног или разжимании пальцев.</x:v>
      </x:c>
      <x:c r="P1173" s="13" t="str">
        <x:v>milestone_05_efficiency_projecting/week_17_2026-12-28/02_TUESDAY.md</x:v>
      </x:c>
      <x:c r="Q1173" s="138" t="str">
        <x:v>Markdown</x:v>
      </x:c>
      <x:c r="R1173" s="20" t="str"/>
    </x:row>
    <x:row r="1174" ht="36" customHeight="1">
      <x:c r="A1174" s="19" t="str">
        <x:v>W17-20261229-1173</x:v>
      </x:c>
      <x:c r="B1174" s="13" t="n">
        <x:v>17</x:v>
      </x:c>
      <x:c r="C1174" s="13" t="str">
        <x:v>Этап 5 — Эффективность движения и работа над проектом</x:v>
      </x:c>
      <x:c r="D1174" s="138" t="str">
        <x:v>2026-12-29</x:v>
      </x:c>
      <x:c r="E1174" s="13" t="str">
        <x:v>Вторник</x:v>
      </x:c>
      <x:c r="F1174" s="13" t="str">
        <x:v>Тренировка A — техника/объём</x:v>
      </x:c>
      <x:c r="G1174" s="44" t="n">
        <x:v>0.058333333333333334</x:v>
      </x:c>
      <x:c r="H1174" s="44" t="n">
        <x:v>0.06041666666666667</x:v>
      </x:c>
      <x:c r="I1174" s="32" t="n">
        <x:f>ROUND((H1174-G1174)*1440,0)</x:f>
        <x:v>3</x:v>
      </x:c>
      <x:c r="J1174" s="13" t="str">
        <x:v>Завершение</x:v>
      </x:c>
      <x:c r="K1174" s="13" t="str">
        <x:v>Очень лёгкий спуск/ходьба и спокойное встряхивание кистей.</x:v>
      </x:c>
      <x:c r="L1174" s="13" t="str">
        <x:v>☐ Не начато</x:v>
      </x:c>
      <x:c r="M1174" s="13" t="str">
        <x:v>Обязательно</x:v>
      </x:c>
      <x:c r="N1174" s="13" t="str">
        <x:v>RPE 1–2</x:v>
      </x:c>
      <x:c r="O1174" s="13" t="str"/>
      <x:c r="P1174" s="13" t="str">
        <x:v>milestone_05_efficiency_projecting/week_17_2026-12-28/02_TUESDAY.md</x:v>
      </x:c>
      <x:c r="Q1174" s="138" t="str">
        <x:v>Markdown</x:v>
      </x:c>
      <x:c r="R1174" s="20" t="str"/>
    </x:row>
    <x:row r="1175" ht="36" customHeight="1">
      <x:c r="A1175" s="19" t="str">
        <x:v>W17-20261229-1174</x:v>
      </x:c>
      <x:c r="B1175" s="13" t="n">
        <x:v>17</x:v>
      </x:c>
      <x:c r="C1175" s="13" t="str">
        <x:v>Этап 5 — Эффективность движения и работа над проектом</x:v>
      </x:c>
      <x:c r="D1175" s="138" t="str">
        <x:v>2026-12-29</x:v>
      </x:c>
      <x:c r="E1175" s="13" t="str">
        <x:v>Вторник</x:v>
      </x:c>
      <x:c r="F1175" s="13" t="str">
        <x:v>Тренировка A — техника/объём</x:v>
      </x:c>
      <x:c r="G1175" s="44" t="n">
        <x:v>0.06041666666666667</x:v>
      </x:c>
      <x:c r="H1175" s="44" t="n">
        <x:v>0.0625</x:v>
      </x:c>
      <x:c r="I1175" s="32" t="n">
        <x:f>ROUND((H1175-G1175)*1440,0)</x:f>
        <x:v>3</x:v>
      </x:c>
      <x:c r="J1175" s="13" t="str">
        <x:v>Журнал</x:v>
      </x:c>
      <x:c r="K1175" s="13" t="str">
        <x:v>Запиши: Найти минимальную динамику, при которой движение становится легче, но ловля остаётся мягкой. Также отметь минуту первой просадки хвата.</x:v>
      </x:c>
      <x:c r="L1175" s="13" t="str">
        <x:v>☐ Не начато</x:v>
      </x:c>
      <x:c r="M1175" s="13" t="str">
        <x:v>Обязательно</x:v>
      </x:c>
      <x:c r="N1175" s="13" t="str">
        <x:v>Без нагрузки</x:v>
      </x:c>
      <x:c r="O1175" s="13" t="str"/>
      <x:c r="P1175" s="13" t="str">
        <x:v>milestone_05_efficiency_projecting/week_17_2026-12-28/02_TUESDAY.md</x:v>
      </x:c>
      <x:c r="Q1175" s="138" t="str">
        <x:v>Markdown</x:v>
      </x:c>
      <x:c r="R1175" s="20" t="str"/>
    </x:row>
    <x:row r="1176" ht="36" customHeight="1">
      <x:c r="A1176" s="19" t="str">
        <x:v>W17-20261230-1175</x:v>
      </x:c>
      <x:c r="B1176" s="13" t="n">
        <x:v>17</x:v>
      </x:c>
      <x:c r="C1176" s="13" t="str">
        <x:v>Этап 5 — Эффективность движения и работа над проектом</x:v>
      </x:c>
      <x:c r="D1176" s="138" t="str">
        <x:v>2026-12-30</x:v>
      </x:c>
      <x:c r="E1176" s="13" t="str">
        <x:v>Среда</x:v>
      </x:c>
      <x:c r="F1176" s="13" t="str">
        <x:v>Восстановление / видео</x:v>
      </x:c>
      <x:c r="G1176" s="44" t="n">
        <x:v>0</x:v>
      </x:c>
      <x:c r="H1176" s="44" t="n">
        <x:v>0.006944444444444444</x:v>
      </x:c>
      <x:c r="I1176" s="32" t="n">
        <x:f>ROUND((H1176-G1176)*1440,0)</x:f>
        <x:v>10</x:v>
      </x:c>
      <x:c r="J1176" s="13" t="str">
        <x:v>Восстановление</x:v>
      </x:c>
      <x:c r="K1176" s="13" t="str">
        <x:v>10 минут спокойной ходьбы. Руки расслаблены; это не тренировка выносливости.</x:v>
      </x:c>
      <x:c r="L1176" s="13" t="str">
        <x:v>☐ Не начато</x:v>
      </x:c>
      <x:c r="M1176" s="13" t="str">
        <x:v>Обязательно</x:v>
      </x:c>
      <x:c r="N1176" s="13" t="str">
        <x:v>RPE 1–2</x:v>
      </x:c>
      <x:c r="O1176" s="13" t="str"/>
      <x:c r="P1176" s="13" t="str">
        <x:v>milestone_05_efficiency_projecting/week_17_2026-12-28/03_WEDNESDAY.md</x:v>
      </x:c>
      <x:c r="Q1176" s="138" t="str">
        <x:v>Markdown</x:v>
      </x:c>
      <x:c r="R1176" s="20" t="str"/>
    </x:row>
    <x:row r="1177" ht="36" customHeight="1">
      <x:c r="A1177" s="19" t="str">
        <x:v>W17-20261230-1176</x:v>
      </x:c>
      <x:c r="B1177" s="13" t="n">
        <x:v>17</x:v>
      </x:c>
      <x:c r="C1177" s="13" t="str">
        <x:v>Этап 5 — Эффективность движения и работа над проектом</x:v>
      </x:c>
      <x:c r="D1177" s="138" t="str">
        <x:v>2026-12-30</x:v>
      </x:c>
      <x:c r="E1177" s="13" t="str">
        <x:v>Среда</x:v>
      </x:c>
      <x:c r="F1177" s="13" t="str">
        <x:v>Восстановление / видео</x:v>
      </x:c>
      <x:c r="G1177" s="44" t="n">
        <x:v>0.006944444444444444</x:v>
      </x:c>
      <x:c r="H1177" s="44" t="n">
        <x:v>0.009027777777777777</x:v>
      </x:c>
      <x:c r="I1177" s="32" t="n">
        <x:f>ROUND((H1177-G1177)*1440,0)</x:f>
        <x:v>3</x:v>
      </x:c>
      <x:c r="J1177" s="13" t="str">
        <x:v>Самопроверка</x:v>
      </x:c>
      <x:c r="K1177" s="13" t="str">
        <x:v>Оцени реакцию после вторника: плечо, пальцы, правое колено 0–10. Запиши, что изменилось относительно вчерашнего утра.</x:v>
      </x:c>
      <x:c r="L1177" s="13" t="str">
        <x:v>☐ Не начато</x:v>
      </x:c>
      <x:c r="M1177" s="13" t="str">
        <x:v>Обязательно</x:v>
      </x:c>
      <x:c r="N1177" s="13" t="str">
        <x:v>Без нагрузки</x:v>
      </x:c>
      <x:c r="O1177" s="13" t="str">
        <x:v>Острая локальная боль пальца или ухудшение плеча = не делать четверговую пальцевую нагрузку.</x:v>
      </x:c>
      <x:c r="P1177" s="13" t="str">
        <x:v>milestone_05_efficiency_projecting/week_17_2026-12-28/03_WEDNESDAY.md</x:v>
      </x:c>
      <x:c r="Q1177" s="138" t="str">
        <x:v>Markdown</x:v>
      </x:c>
      <x:c r="R1177" s="20" t="str"/>
    </x:row>
    <x:row r="1178" ht="36" customHeight="1">
      <x:c r="A1178" s="19" t="str">
        <x:v>W17-20261230-1177</x:v>
      </x:c>
      <x:c r="B1178" s="13" t="n">
        <x:v>17</x:v>
      </x:c>
      <x:c r="C1178" s="13" t="str">
        <x:v>Этап 5 — Эффективность движения и работа над проектом</x:v>
      </x:c>
      <x:c r="D1178" s="138" t="str">
        <x:v>2026-12-30</x:v>
      </x:c>
      <x:c r="E1178" s="13" t="str">
        <x:v>Среда</x:v>
      </x:c>
      <x:c r="F1178" s="13" t="str">
        <x:v>Восстановление / видео</x:v>
      </x:c>
      <x:c r="G1178" s="44" t="n">
        <x:v>0.009027777777777777</x:v>
      </x:c>
      <x:c r="H1178" s="44" t="n">
        <x:v>0.01597222222222222</x:v>
      </x:c>
      <x:c r="I1178" s="32" t="n">
        <x:f>ROUND((H1178-G1178)*1440,0)</x:f>
        <x:v>10</x:v>
      </x:c>
      <x:c r="J1178" s="13" t="str">
        <x:v>Видеоразбор</x:v>
      </x:c>
      <x:c r="K117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178" s="13" t="str">
        <x:v>☐ Не начато</x:v>
      </x:c>
      <x:c r="M1178" s="13" t="str">
        <x:v>Обязательно</x:v>
      </x:c>
      <x:c r="N1178" s="13" t="str">
        <x:v>Без нагрузки</x:v>
      </x:c>
      <x:c r="O1178" s="13" t="str"/>
      <x:c r="P1178" s="13" t="str">
        <x:v>milestone_05_efficiency_projecting/week_17_2026-12-28/03_WEDNESDAY.md</x:v>
      </x:c>
      <x:c r="Q1178" s="138" t="str">
        <x:v>Markdown</x:v>
      </x:c>
      <x:c r="R1178" s="20" t="str"/>
    </x:row>
    <x:row r="1179" ht="36" customHeight="1">
      <x:c r="A1179" s="19" t="str">
        <x:v>W17-20261230-1178</x:v>
      </x:c>
      <x:c r="B1179" s="13" t="n">
        <x:v>17</x:v>
      </x:c>
      <x:c r="C1179" s="13" t="str">
        <x:v>Этап 5 — Эффективность движения и работа над проектом</x:v>
      </x:c>
      <x:c r="D1179" s="138" t="str">
        <x:v>2026-12-30</x:v>
      </x:c>
      <x:c r="E1179" s="13" t="str">
        <x:v>Среда</x:v>
      </x:c>
      <x:c r="F1179" s="13" t="str">
        <x:v>Восстановление / видео</x:v>
      </x:c>
      <x:c r="G1179" s="44" t="n">
        <x:v>0.01597222222222222</x:v>
      </x:c>
      <x:c r="H1179" s="44" t="n">
        <x:v>0.01875</x:v>
      </x:c>
      <x:c r="I1179" s="32" t="n">
        <x:f>ROUND((H1179-G1179)*1440,0)</x:f>
        <x:v>4</x:v>
      </x:c>
      <x:c r="J1179" s="13" t="str">
        <x:v>Конспект</x:v>
      </x:c>
      <x:c r="K1179" s="13" t="str">
        <x:v>Запиши одну правку на четверг в формате «В следующей попытке я…». Используй cue: «Толчок идёт ногами и тазом; зацеп берётся в момент замедления тела, без жёсткой ловли плечом.».</x:v>
      </x:c>
      <x:c r="L1179" s="13" t="str">
        <x:v>☐ Не начато</x:v>
      </x:c>
      <x:c r="M1179" s="13" t="str">
        <x:v>Обязательно</x:v>
      </x:c>
      <x:c r="N1179" s="13" t="str">
        <x:v>Без нагрузки</x:v>
      </x:c>
      <x:c r="O1179" s="13" t="str"/>
      <x:c r="P1179" s="13" t="str">
        <x:v>milestone_05_efficiency_projecting/week_17_2026-12-28/03_WEDNESDAY.md</x:v>
      </x:c>
      <x:c r="Q1179" s="138" t="str">
        <x:v>Markdown</x:v>
      </x:c>
      <x:c r="R1179" s="20" t="str"/>
    </x:row>
    <x:row r="1180" ht="36" customHeight="1">
      <x:c r="A1180" s="19" t="str">
        <x:v>W17-20261230-1179</x:v>
      </x:c>
      <x:c r="B1180" s="13" t="n">
        <x:v>17</x:v>
      </x:c>
      <x:c r="C1180" s="13" t="str">
        <x:v>Этап 5 — Эффективность движения и работа над проектом</x:v>
      </x:c>
      <x:c r="D1180" s="138" t="str">
        <x:v>2026-12-30</x:v>
      </x:c>
      <x:c r="E1180" s="13" t="str">
        <x:v>Среда</x:v>
      </x:c>
      <x:c r="F1180" s="13" t="str">
        <x:v>Восстановление / видео</x:v>
      </x:c>
      <x:c r="G1180" s="44" t="n">
        <x:v>0.01875</x:v>
      </x:c>
      <x:c r="H1180" s="44" t="n">
        <x:v>0.027083333333333334</x:v>
      </x:c>
      <x:c r="I1180" s="32" t="n">
        <x:f>ROUND((H1180-G1180)*1440,0)</x:f>
        <x:v>12</x:v>
      </x:c>
      <x:c r="J1180" s="13" t="str">
        <x:v>Домашняя мобильность</x:v>
      </x:c>
      <x:c r="K1180" s="13" t="str">
        <x:v>Выполни комплекс H1 «База: таз, корпус и стопы», 12 минут. Ни турника, ни колец для дополнительного хвата.</x:v>
      </x:c>
      <x:c r="L1180" s="13" t="str">
        <x:v>☐ Не начато</x:v>
      </x:c>
      <x:c r="M1180" s="13" t="str">
        <x:v>Обязательно</x:v>
      </x:c>
      <x:c r="N1180" s="13" t="str">
        <x:v>RPE 2–3</x:v>
      </x:c>
      <x:c r="O1180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180" s="13" t="str">
        <x:v>milestone_05_efficiency_projecting/week_17_2026-12-28/03_WEDNESDAY.md</x:v>
      </x:c>
      <x:c r="Q1180" s="138" t="str">
        <x:v>Markdown</x:v>
      </x:c>
      <x:c r="R1180" s="20" t="str"/>
    </x:row>
    <x:row r="1181" ht="36" customHeight="1">
      <x:c r="A1181" s="19" t="str">
        <x:v>W17-20261230-1180</x:v>
      </x:c>
      <x:c r="B1181" s="13" t="n">
        <x:v>17</x:v>
      </x:c>
      <x:c r="C1181" s="13" t="str">
        <x:v>Этап 5 — Эффективность движения и работа над проектом</x:v>
      </x:c>
      <x:c r="D1181" s="138" t="str">
        <x:v>2026-12-30</x:v>
      </x:c>
      <x:c r="E1181" s="13" t="str">
        <x:v>Среда</x:v>
      </x:c>
      <x:c r="F1181" s="13" t="str">
        <x:v>Восстановление / видео</x:v>
      </x:c>
      <x:c r="G1181" s="44" t="n">
        <x:v>0.027083333333333334</x:v>
      </x:c>
      <x:c r="H1181" s="44" t="n">
        <x:v>0.04097222222222222</x:v>
      </x:c>
      <x:c r="I1181" s="32" t="n">
        <x:f>ROUND((H1181-G1181)*1440,0)</x:f>
        <x:v>20</x:v>
      </x:c>
      <x:c r="J1181" s="13" t="str">
        <x:v>Физиотерапия</x:v>
      </x:c>
      <x:c r="K1181" s="13" t="str">
        <x:v>Выполни свой назначенный физиотерапевтом комплекс, если среда входит в его расписание.</x:v>
      </x:c>
      <x:c r="L1181" s="13" t="str">
        <x:v>☐ Не начато</x:v>
      </x:c>
      <x:c r="M1181" s="13" t="str">
        <x:v>По назначению</x:v>
      </x:c>
      <x:c r="N1181" s="13" t="str">
        <x:v>По назначению</x:v>
      </x:c>
      <x:c r="O1181" s="13" t="str">
        <x:v>Назначения физиотерапевта имеют приоритет.</x:v>
      </x:c>
      <x:c r="P1181" s="13" t="str">
        <x:v>milestone_05_efficiency_projecting/week_17_2026-12-28/03_WEDNESDAY.md</x:v>
      </x:c>
      <x:c r="Q1181" s="138" t="str">
        <x:v>Markdown</x:v>
      </x:c>
      <x:c r="R1181" s="20" t="str"/>
    </x:row>
    <x:row r="1182" ht="36" customHeight="1">
      <x:c r="A1182" s="19" t="str">
        <x:v>W17-20261230-1181</x:v>
      </x:c>
      <x:c r="B1182" s="13" t="n">
        <x:v>17</x:v>
      </x:c>
      <x:c r="C1182" s="13" t="str">
        <x:v>Этап 5 — Эффективность движения и работа над проектом</x:v>
      </x:c>
      <x:c r="D1182" s="138" t="str">
        <x:v>2026-12-30</x:v>
      </x:c>
      <x:c r="E1182" s="13" t="str">
        <x:v>Среда</x:v>
      </x:c>
      <x:c r="F1182" s="13" t="str">
        <x:v>Восстановление / видео</x:v>
      </x:c>
      <x:c r="G1182" s="44" t="n">
        <x:v>0.04097222222222222</x:v>
      </x:c>
      <x:c r="H1182" s="44" t="n">
        <x:v>0.043055555555555555</x:v>
      </x:c>
      <x:c r="I1182" s="32" t="n">
        <x:f>ROUND((H1182-G1182)*1440,0)</x:f>
        <x:v>3</x:v>
      </x:c>
      <x:c r="J1182" s="13" t="str">
        <x:v>Запрет лишней нагрузки</x:v>
      </x:c>
      <x:c r="K1182" s="13" t="str">
        <x:v>Поставь отметку: сегодня не было висов, подтягиваний «на проверку», эспандера-сжимателя или тяжёлого ношения.</x:v>
      </x:c>
      <x:c r="L1182" s="13" t="str">
        <x:v>☐ Не начато</x:v>
      </x:c>
      <x:c r="M1182" s="13" t="str">
        <x:v>Обязательно</x:v>
      </x:c>
      <x:c r="N1182" s="13" t="str">
        <x:v>Восстановление</x:v>
      </x:c>
      <x:c r="O1182" s="13" t="str"/>
      <x:c r="P1182" s="13" t="str">
        <x:v>milestone_05_efficiency_projecting/week_17_2026-12-28/03_WEDNESDAY.md</x:v>
      </x:c>
      <x:c r="Q1182" s="138" t="str">
        <x:v>Markdown</x:v>
      </x:c>
      <x:c r="R1182" s="20" t="str"/>
    </x:row>
    <x:row r="1183" ht="36" customHeight="1">
      <x:c r="A1183" s="19" t="str">
        <x:v>W17-20261231-1182</x:v>
      </x:c>
      <x:c r="B1183" s="13" t="n">
        <x:v>17</x:v>
      </x:c>
      <x:c r="C1183" s="13" t="str">
        <x:v>Этап 5 — Эффективность движения и работа над проектом</x:v>
      </x:c>
      <x:c r="D1183" s="138" t="str">
        <x:v>2026-12-31</x:v>
      </x:c>
      <x:c r="E1183" s="13" t="str">
        <x:v>Четверг</x:v>
      </x:c>
      <x:c r="F1183" s="13" t="str">
        <x:v>Тренировка B — пальцы/проект</x:v>
      </x:c>
      <x:c r="G1183" s="44" t="n">
        <x:v>0</x:v>
      </x:c>
      <x:c r="H1183" s="44" t="n">
        <x:v>0.0020833333333333333</x:v>
      </x:c>
      <x:c r="I1183" s="32" t="n">
        <x:f>ROUND((H1183-G1183)*1440,0)</x:f>
        <x:v>3</x:v>
      </x:c>
      <x:c r="J1183" s="13" t="str">
        <x:v>Самопроверка</x:v>
      </x:c>
      <x:c r="K118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183" s="13" t="str">
        <x:v>☐ Не начато</x:v>
      </x:c>
      <x:c r="M1183" s="13" t="str">
        <x:v>Обязательно</x:v>
      </x:c>
      <x:c r="N1183" s="13" t="str">
        <x:v>Без нагрузки</x:v>
      </x:c>
      <x:c r="O1183" s="13" t="str">
        <x:v>Красный флаг = не начинать пальцевую нагрузку.</x:v>
      </x:c>
      <x:c r="P1183" s="13" t="str">
        <x:v>milestone_05_efficiency_projecting/week_17_2026-12-28/04_THURSDAY.md</x:v>
      </x:c>
      <x:c r="Q1183" s="138" t="str">
        <x:v>Markdown</x:v>
      </x:c>
      <x:c r="R1183" s="20" t="str"/>
    </x:row>
    <x:row r="1184" ht="36" customHeight="1">
      <x:c r="A1184" s="19" t="str">
        <x:v>W17-20261231-1183</x:v>
      </x:c>
      <x:c r="B1184" s="13" t="n">
        <x:v>17</x:v>
      </x:c>
      <x:c r="C1184" s="13" t="str">
        <x:v>Этап 5 — Эффективность движения и работа над проектом</x:v>
      </x:c>
      <x:c r="D1184" s="138" t="str">
        <x:v>2026-12-31</x:v>
      </x:c>
      <x:c r="E1184" s="13" t="str">
        <x:v>Четверг</x:v>
      </x:c>
      <x:c r="F1184" s="13" t="str">
        <x:v>Тренировка B — пальцы/проект</x:v>
      </x:c>
      <x:c r="G1184" s="44" t="n">
        <x:v>0.0020833333333333333</x:v>
      </x:c>
      <x:c r="H1184" s="44" t="n">
        <x:v>0.005555555555555556</x:v>
      </x:c>
      <x:c r="I1184" s="32" t="n">
        <x:f>ROUND((H1184-G1184)*1440,0)</x:f>
        <x:v>5</x:v>
      </x:c>
      <x:c r="J1184" s="13" t="str">
        <x:v>Разминка</x:v>
      </x:c>
      <x:c r="K1184" s="13" t="str">
        <x:v>Подними температуру: быстрая ходьба, лестница или лёгкий велотренажёр 5 минут.</x:v>
      </x:c>
      <x:c r="L1184" s="13" t="str">
        <x:v>☐ Не начато</x:v>
      </x:c>
      <x:c r="M1184" s="13" t="str">
        <x:v>Обязательно</x:v>
      </x:c>
      <x:c r="N1184" s="13" t="str">
        <x:v>RPE 2–3</x:v>
      </x:c>
      <x:c r="O1184" s="13" t="str"/>
      <x:c r="P1184" s="13" t="str">
        <x:v>milestone_05_efficiency_projecting/week_17_2026-12-28/04_THURSDAY.md</x:v>
      </x:c>
      <x:c r="Q1184" s="138" t="str">
        <x:v>Markdown</x:v>
      </x:c>
      <x:c r="R1184" s="20" t="str"/>
    </x:row>
    <x:row r="1185" ht="36" customHeight="1">
      <x:c r="A1185" s="19" t="str">
        <x:v>W17-20261231-1184</x:v>
      </x:c>
      <x:c r="B1185" s="13" t="n">
        <x:v>17</x:v>
      </x:c>
      <x:c r="C1185" s="13" t="str">
        <x:v>Этап 5 — Эффективность движения и работа над проектом</x:v>
      </x:c>
      <x:c r="D1185" s="138" t="str">
        <x:v>2026-12-31</x:v>
      </x:c>
      <x:c r="E1185" s="13" t="str">
        <x:v>Четверг</x:v>
      </x:c>
      <x:c r="F1185" s="13" t="str">
        <x:v>Тренировка B — пальцы/проект</x:v>
      </x:c>
      <x:c r="G1185" s="44" t="n">
        <x:v>0.005555555555555556</x:v>
      </x:c>
      <x:c r="H1185" s="44" t="n">
        <x:v>0.009027777777777777</x:v>
      </x:c>
      <x:c r="I1185" s="32" t="n">
        <x:f>ROUND((H1185-G1185)*1440,0)</x:f>
        <x:v>5</x:v>
      </x:c>
      <x:c r="J1185" s="13" t="str">
        <x:v>Разминка</x:v>
      </x:c>
      <x:c r="K118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185" s="13" t="str">
        <x:v>☐ Не начато</x:v>
      </x:c>
      <x:c r="M1185" s="13" t="str">
        <x:v>Обязательно</x:v>
      </x:c>
      <x:c r="N1185" s="13" t="str">
        <x:v>Очень легко</x:v>
      </x:c>
      <x:c r="O1185" s="13" t="str">
        <x:v>Не делай press/отжимания и движения, которые раздражают плечо.</x:v>
      </x:c>
      <x:c r="P1185" s="13" t="str">
        <x:v>milestone_05_efficiency_projecting/week_17_2026-12-28/04_THURSDAY.md</x:v>
      </x:c>
      <x:c r="Q1185" s="138" t="str">
        <x:v>Markdown</x:v>
      </x:c>
      <x:c r="R1185" s="20" t="str"/>
    </x:row>
    <x:row r="1186" ht="36" customHeight="1">
      <x:c r="A1186" s="19" t="str">
        <x:v>W17-20261231-1185</x:v>
      </x:c>
      <x:c r="B1186" s="13" t="n">
        <x:v>17</x:v>
      </x:c>
      <x:c r="C1186" s="13" t="str">
        <x:v>Этап 5 — Эффективность движения и работа над проектом</x:v>
      </x:c>
      <x:c r="D1186" s="138" t="str">
        <x:v>2026-12-31</x:v>
      </x:c>
      <x:c r="E1186" s="13" t="str">
        <x:v>Четверг</x:v>
      </x:c>
      <x:c r="F1186" s="13" t="str">
        <x:v>Тренировка B — пальцы/проект</x:v>
      </x:c>
      <x:c r="G1186" s="44" t="n">
        <x:v>0.009027777777777777</x:v>
      </x:c>
      <x:c r="H1186" s="44" t="n">
        <x:v>0.011805555555555555</x:v>
      </x:c>
      <x:c r="I1186" s="32" t="n">
        <x:f>ROUND((H1186-G1186)*1440,0)</x:f>
        <x:v>4</x:v>
      </x:c>
      <x:c r="J1186" s="13" t="str">
        <x:v>Разминка пальцев</x:v>
      </x:c>
      <x:c r="K118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186" s="13" t="str">
        <x:v>☐ Не начато</x:v>
      </x:c>
      <x:c r="M1186" s="13" t="str">
        <x:v>Обязательно</x:v>
      </x:c>
      <x:c r="N1186" s="13" t="str">
        <x:v>Очень легко</x:v>
      </x:c>
      <x:c r="O1186" s="13" t="str"/>
      <x:c r="P1186" s="13" t="str">
        <x:v>milestone_05_efficiency_projecting/week_17_2026-12-28/04_THURSDAY.md</x:v>
      </x:c>
      <x:c r="Q1186" s="138" t="str">
        <x:v>Markdown</x:v>
      </x:c>
      <x:c r="R1186" s="20" t="str"/>
    </x:row>
    <x:row r="1187" ht="36" customHeight="1">
      <x:c r="A1187" s="19" t="str">
        <x:v>W17-20261231-1186</x:v>
      </x:c>
      <x:c r="B1187" s="13" t="n">
        <x:v>17</x:v>
      </x:c>
      <x:c r="C1187" s="13" t="str">
        <x:v>Этап 5 — Эффективность движения и работа над проектом</x:v>
      </x:c>
      <x:c r="D1187" s="138" t="str">
        <x:v>2026-12-31</x:v>
      </x:c>
      <x:c r="E1187" s="13" t="str">
        <x:v>Четверг</x:v>
      </x:c>
      <x:c r="F1187" s="13" t="str">
        <x:v>Тренировка B — пальцы/проект</x:v>
      </x:c>
      <x:c r="G1187" s="44" t="n">
        <x:v>0.011805555555555555</x:v>
      </x:c>
      <x:c r="H1187" s="44" t="n">
        <x:v>0.014583333333333334</x:v>
      </x:c>
      <x:c r="I1187" s="32" t="n">
        <x:f>ROUND((H1187-G1187)*1440,0)</x:f>
        <x:v>4</x:v>
      </x:c>
      <x:c r="J1187" s="13" t="str">
        <x:v>Разминочное лазание</x:v>
      </x:c>
      <x:c r="K1187" s="13" t="str">
        <x:v>Пройди 2 очень лёгкие трассы уровня 1–2; двигайся медленно, спускайся по зацепам.</x:v>
      </x:c>
      <x:c r="L1187" s="13" t="str">
        <x:v>☐ Не начато</x:v>
      </x:c>
      <x:c r="M1187" s="13" t="str">
        <x:v>Обязательно</x:v>
      </x:c>
      <x:c r="N1187" s="13" t="str">
        <x:v>RPE 2–3</x:v>
      </x:c>
      <x:c r="O1187" s="13" t="str">
        <x:v>Финиш с обязательным болезненным mantle/press пропусти.</x:v>
      </x:c>
      <x:c r="P1187" s="13" t="str">
        <x:v>milestone_05_efficiency_projecting/week_17_2026-12-28/04_THURSDAY.md</x:v>
      </x:c>
      <x:c r="Q1187" s="138" t="str">
        <x:v>Markdown</x:v>
      </x:c>
      <x:c r="R1187" s="20" t="str"/>
    </x:row>
    <x:row r="1188" ht="36" customHeight="1">
      <x:c r="A1188" s="19" t="str">
        <x:v>W17-20261231-1187</x:v>
      </x:c>
      <x:c r="B1188" s="13" t="n">
        <x:v>17</x:v>
      </x:c>
      <x:c r="C1188" s="13" t="str">
        <x:v>Этап 5 — Эффективность движения и работа над проектом</x:v>
      </x:c>
      <x:c r="D1188" s="138" t="str">
        <x:v>2026-12-31</x:v>
      </x:c>
      <x:c r="E1188" s="13" t="str">
        <x:v>Четверг</x:v>
      </x:c>
      <x:c r="F1188" s="13" t="str">
        <x:v>Тренировка B — пальцы/проект</x:v>
      </x:c>
      <x:c r="G1188" s="44" t="n">
        <x:v>0.014583333333333334</x:v>
      </x:c>
      <x:c r="H1188" s="44" t="n">
        <x:v>0.017361111111111112</x:v>
      </x:c>
      <x:c r="I1188" s="32" t="n">
        <x:f>ROUND((H1188-G1188)*1440,0)</x:f>
        <x:v>4</x:v>
      </x:c>
      <x:c r="J1188" s="13" t="str">
        <x:v>Разминочное лазание</x:v>
      </x:c>
      <x:c r="K1188" s="13" t="str">
        <x:v>Пройди 2 трассы уровня 2–3, затем сделай 2–3 движения на комфортной четвёрке. Между ними 45–60 секунд.</x:v>
      </x:c>
      <x:c r="L1188" s="13" t="str">
        <x:v>☐ Не начато</x:v>
      </x:c>
      <x:c r="M1188" s="13" t="str">
        <x:v>Обязательно</x:v>
      </x:c>
      <x:c r="N1188" s="13" t="str">
        <x:v>RPE 3–4</x:v>
      </x:c>
      <x:c r="O1188" s="13" t="str">
        <x:v>Разминка не должна утомить пальцы.</x:v>
      </x:c>
      <x:c r="P1188" s="13" t="str">
        <x:v>milestone_05_efficiency_projecting/week_17_2026-12-28/04_THURSDAY.md</x:v>
      </x:c>
      <x:c r="Q1188" s="138" t="str">
        <x:v>Markdown</x:v>
      </x:c>
      <x:c r="R1188" s="20" t="str"/>
    </x:row>
    <x:row r="1189" ht="36" customHeight="1">
      <x:c r="A1189" s="19" t="str">
        <x:v>W17-20261231-1188</x:v>
      </x:c>
      <x:c r="B1189" s="13" t="n">
        <x:v>17</x:v>
      </x:c>
      <x:c r="C1189" s="13" t="str">
        <x:v>Этап 5 — Эффективность движения и работа над проектом</x:v>
      </x:c>
      <x:c r="D1189" s="138" t="str">
        <x:v>2026-12-31</x:v>
      </x:c>
      <x:c r="E1189" s="13" t="str">
        <x:v>Четверг</x:v>
      </x:c>
      <x:c r="F1189" s="13" t="str">
        <x:v>Тренировка B — пальцы/проект</x:v>
      </x:c>
      <x:c r="G1189" s="44" t="n">
        <x:v>0.017361111111111112</x:v>
      </x:c>
      <x:c r="H1189" s="44" t="n">
        <x:v>0.019444444444444445</x:v>
      </x:c>
      <x:c r="I1189" s="32" t="n">
        <x:f>ROUND((H1189-G1189)*1440,0)</x:f>
        <x:v>3</x:v>
      </x:c>
      <x:c r="J1189" s="13" t="str">
        <x:v>Фингерборд — готовность</x:v>
      </x:c>
      <x:c r="K1189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189" s="13" t="str">
        <x:v>☐ Не начато</x:v>
      </x:c>
      <x:c r="M1189" s="13" t="str">
        <x:v>Обязательно</x:v>
      </x:c>
      <x:c r="N1189" s="13" t="str">
        <x:v>Подготовка</x:v>
      </x:c>
      <x:c r="O1189" s="13" t="str">
        <x:v>Плечо полностью спокойно; full crimp, карманы, одна рука и допвес запрещены.</x:v>
      </x:c>
      <x:c r="P1189" s="13" t="str">
        <x:v>milestone_05_efficiency_projecting/week_17_2026-12-28/04_THURSDAY.md</x:v>
      </x:c>
      <x:c r="Q1189" s="138" t="str">
        <x:v>Markdown</x:v>
      </x:c>
      <x:c r="R1189" s="20" t="str"/>
    </x:row>
    <x:row r="1190" ht="36" customHeight="1">
      <x:c r="A1190" s="19" t="str">
        <x:v>W17-20261231-1189</x:v>
      </x:c>
      <x:c r="B1190" s="13" t="n">
        <x:v>17</x:v>
      </x:c>
      <x:c r="C1190" s="13" t="str">
        <x:v>Этап 5 — Эффективность движения и работа над проектом</x:v>
      </x:c>
      <x:c r="D1190" s="138" t="str">
        <x:v>2026-12-31</x:v>
      </x:c>
      <x:c r="E1190" s="13" t="str">
        <x:v>Четверг</x:v>
      </x:c>
      <x:c r="F1190" s="13" t="str">
        <x:v>Тренировка B — пальцы/проект</x:v>
      </x:c>
      <x:c r="G1190" s="44" t="n">
        <x:v>0.019444444444444445</x:v>
      </x:c>
      <x:c r="H1190" s="44" t="n">
        <x:v>0.029861111111111113</x:v>
      </x:c>
      <x:c r="I1190" s="32" t="n">
        <x:f>ROUND((H1190-G1190)*1440,0)</x:f>
        <x:v>15</x:v>
      </x:c>
      <x:c r="J1190" s="13" t="str">
        <x:v>Фингерборд</x:v>
      </x:c>
      <x:c r="K1190" s="13" t="str">
        <x:v>Выполни протокол: 6 × 10 сек, ноги помогают, RPE 7–8, отдых 2:30. Запусти таймер. Каждый вис прекращай с указанным запасом; форма кисти не меняется.</x:v>
      </x:c>
      <x:c r="L1190" s="13" t="str">
        <x:v>☐ Не начато</x:v>
      </x:c>
      <x:c r="M1190" s="13" t="str">
        <x:v>Обязательно</x:v>
      </x:c>
      <x:c r="N1190" s="13" t="str">
        <x:v>6 × 10 сек, ноги помогают, RPE 7–8, отдых 2:30</x:v>
      </x:c>
      <x:c r="O1190" s="13" t="str">
        <x:v>Острая боль, дрожь формы, падение RPE-контроля или боль плеча = закончить блок.</x:v>
      </x:c>
      <x:c r="P1190" s="13" t="str">
        <x:v>milestone_05_efficiency_projecting/week_17_2026-12-28/04_THURSDAY.md</x:v>
      </x:c>
      <x:c r="Q1190" s="138" t="str">
        <x:v>Markdown</x:v>
      </x:c>
      <x:c r="R1190" s="20" t="str"/>
    </x:row>
    <x:row r="1191" ht="36" customHeight="1">
      <x:c r="A1191" s="19" t="str">
        <x:v>W17-20261231-1190</x:v>
      </x:c>
      <x:c r="B1191" s="13" t="n">
        <x:v>17</x:v>
      </x:c>
      <x:c r="C1191" s="13" t="str">
        <x:v>Этап 5 — Эффективность движения и работа над проектом</x:v>
      </x:c>
      <x:c r="D1191" s="138" t="str">
        <x:v>2026-12-31</x:v>
      </x:c>
      <x:c r="E1191" s="13" t="str">
        <x:v>Четверг</x:v>
      </x:c>
      <x:c r="F1191" s="13" t="str">
        <x:v>Тренировка B — пальцы/проект</x:v>
      </x:c>
      <x:c r="G1191" s="44" t="n">
        <x:v>0.029861111111111113</x:v>
      </x:c>
      <x:c r="H1191" s="44" t="n">
        <x:v>0.03194444444444444</x:v>
      </x:c>
      <x:c r="I1191" s="32" t="n">
        <x:f>ROUND((H1191-G1191)*1440,0)</x:f>
        <x:v>3</x:v>
      </x:c>
      <x:c r="J1191" s="13" t="str">
        <x:v>Фингерборд — запись</x:v>
      </x:c>
      <x:c r="K1191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191" s="13" t="str">
        <x:v>☐ Не начато</x:v>
      </x:c>
      <x:c r="M1191" s="13" t="str">
        <x:v>Обязательно</x:v>
      </x:c>
      <x:c r="N1191" s="13" t="str">
        <x:v>Без нагрузки</x:v>
      </x:c>
      <x:c r="O1191" s="13" t="str"/>
      <x:c r="P1191" s="13" t="str">
        <x:v>milestone_05_efficiency_projecting/week_17_2026-12-28/04_THURSDAY.md</x:v>
      </x:c>
      <x:c r="Q1191" s="138" t="str">
        <x:v>Markdown</x:v>
      </x:c>
      <x:c r="R1191" s="20" t="str"/>
    </x:row>
    <x:row r="1192" ht="36" customHeight="1">
      <x:c r="A1192" s="19" t="str">
        <x:v>W17-20261231-1191</x:v>
      </x:c>
      <x:c r="B1192" s="13" t="n">
        <x:v>17</x:v>
      </x:c>
      <x:c r="C1192" s="13" t="str">
        <x:v>Этап 5 — Эффективность движения и работа над проектом</x:v>
      </x:c>
      <x:c r="D1192" s="138" t="str">
        <x:v>2026-12-31</x:v>
      </x:c>
      <x:c r="E1192" s="13" t="str">
        <x:v>Четверг</x:v>
      </x:c>
      <x:c r="F1192" s="13" t="str">
        <x:v>Тренировка B — пальцы/проект</x:v>
      </x:c>
      <x:c r="G1192" s="44" t="n">
        <x:v>0.03194444444444444</x:v>
      </x:c>
      <x:c r="H1192" s="44" t="n">
        <x:v>0.035416666666666666</x:v>
      </x:c>
      <x:c r="I1192" s="32" t="n">
        <x:f>ROUND((H1192-G1192)*1440,0)</x:f>
        <x:v>5</x:v>
      </x:c>
      <x:c r="J1192" s="13" t="str">
        <x:v>Отдых</x:v>
      </x:c>
      <x:c r="K1192" s="13" t="str">
        <x:v>5 минут полного отдыха: ходьба, вода, без лазания и без тестового виса.</x:v>
      </x:c>
      <x:c r="L1192" s="13" t="str">
        <x:v>☐ Не начато</x:v>
      </x:c>
      <x:c r="M1192" s="13" t="str">
        <x:v>Обязательно</x:v>
      </x:c>
      <x:c r="N1192" s="13" t="str">
        <x:v>Восстановление</x:v>
      </x:c>
      <x:c r="O1192" s="13" t="str"/>
      <x:c r="P1192" s="13" t="str">
        <x:v>milestone_05_efficiency_projecting/week_17_2026-12-28/04_THURSDAY.md</x:v>
      </x:c>
      <x:c r="Q1192" s="138" t="str">
        <x:v>Markdown</x:v>
      </x:c>
      <x:c r="R1192" s="20" t="str"/>
    </x:row>
    <x:row r="1193" ht="36" customHeight="1">
      <x:c r="A1193" s="19" t="str">
        <x:v>W17-20261231-1192</x:v>
      </x:c>
      <x:c r="B1193" s="13" t="n">
        <x:v>17</x:v>
      </x:c>
      <x:c r="C1193" s="13" t="str">
        <x:v>Этап 5 — Эффективность движения и работа над проектом</x:v>
      </x:c>
      <x:c r="D1193" s="138" t="str">
        <x:v>2026-12-31</x:v>
      </x:c>
      <x:c r="E1193" s="13" t="str">
        <x:v>Четверг</x:v>
      </x:c>
      <x:c r="F1193" s="13" t="str">
        <x:v>Тренировка B — пальцы/проект</x:v>
      </x:c>
      <x:c r="G1193" s="44" t="n">
        <x:v>0.035416666666666666</x:v>
      </x:c>
      <x:c r="H1193" s="44" t="n">
        <x:v>0.03819444444444445</x:v>
      </x:c>
      <x:c r="I1193" s="32" t="n">
        <x:f>ROUND((H1193-G1193)*1440,0)</x:f>
        <x:v>4</x:v>
      </x:c>
      <x:c r="J1193" s="13" t="str">
        <x:v>Выбор проекта</x:v>
      </x:c>
      <x:c r="K1193" s="13" t="str">
        <x:v>Выбери трассу по критериям недели: Пятёрка с безопасным deadpoint + основная шестёрка. Большие прыжки не нужны.</x:v>
      </x:c>
      <x:c r="L1193" s="13" t="str">
        <x:v>☐ Не начато</x:v>
      </x:c>
      <x:c r="M1193" s="13" t="str">
        <x:v>Обязательно</x:v>
      </x:c>
      <x:c r="N1193" s="13" t="str">
        <x:v>Без нагрузки</x:v>
      </x:c>
      <x:c r="O1193" s="13" t="str">
        <x:v>Плечо: никакой жёсткой ловли, кампуса и dyno. Колено: контролируемые приземления, лучше спускаться.</x:v>
      </x:c>
      <x:c r="P1193" s="13" t="str">
        <x:v>milestone_05_efficiency_projecting/week_17_2026-12-28/04_THURSDAY.md</x:v>
      </x:c>
      <x:c r="Q1193" s="138" t="str">
        <x:v>Markdown</x:v>
      </x:c>
      <x:c r="R1193" s="20" t="str"/>
    </x:row>
    <x:row r="1194" ht="36" customHeight="1">
      <x:c r="A1194" s="19" t="str">
        <x:v>W17-20261231-1193</x:v>
      </x:c>
      <x:c r="B1194" s="13" t="n">
        <x:v>17</x:v>
      </x:c>
      <x:c r="C1194" s="13" t="str">
        <x:v>Этап 5 — Эффективность движения и работа над проектом</x:v>
      </x:c>
      <x:c r="D1194" s="138" t="str">
        <x:v>2026-12-31</x:v>
      </x:c>
      <x:c r="E1194" s="13" t="str">
        <x:v>Четверг</x:v>
      </x:c>
      <x:c r="F1194" s="13" t="str">
        <x:v>Тренировка B — пальцы/проект</x:v>
      </x:c>
      <x:c r="G1194" s="44" t="n">
        <x:v>0.03819444444444445</x:v>
      </x:c>
      <x:c r="H1194" s="44" t="n">
        <x:v>0.041666666666666664</x:v>
      </x:c>
      <x:c r="I1194" s="32" t="n">
        <x:f>ROUND((H1194-G1194)*1440,0)</x:f>
        <x:v>5</x:v>
      </x:c>
      <x:c r="J1194" s="13" t="str">
        <x:v>Проект — попытка 1</x:v>
      </x:c>
      <x:c r="K1194" s="13" t="str">
        <x:v>Сделай первую полную диагностическую попытку. После падения не повторяй сразу: назови точную причину.</x:v>
      </x:c>
      <x:c r="L1194" s="13" t="str">
        <x:v>☐ Не начато</x:v>
      </x:c>
      <x:c r="M1194" s="13" t="str">
        <x:v>Обязательно</x:v>
      </x:c>
      <x:c r="N1194" s="13" t="str">
        <x:v>RPE 7–8</x:v>
      </x:c>
      <x:c r="O1194" s="13" t="str">
        <x:v>Прекратить движение при боли, а не после падения.</x:v>
      </x:c>
      <x:c r="P1194" s="13" t="str">
        <x:v>milestone_05_efficiency_projecting/week_17_2026-12-28/04_THURSDAY.md</x:v>
      </x:c>
      <x:c r="Q1194" s="138" t="str">
        <x:v>Markdown</x:v>
      </x:c>
      <x:c r="R1194" s="20" t="str"/>
    </x:row>
    <x:row r="1195" ht="36" customHeight="1">
      <x:c r="A1195" s="19" t="str">
        <x:v>W17-20261231-1194</x:v>
      </x:c>
      <x:c r="B1195" s="13" t="n">
        <x:v>17</x:v>
      </x:c>
      <x:c r="C1195" s="13" t="str">
        <x:v>Этап 5 — Эффективность движения и работа над проектом</x:v>
      </x:c>
      <x:c r="D1195" s="138" t="str">
        <x:v>2026-12-31</x:v>
      </x:c>
      <x:c r="E1195" s="13" t="str">
        <x:v>Четверг</x:v>
      </x:c>
      <x:c r="F1195" s="13" t="str">
        <x:v>Тренировка B — пальцы/проект</x:v>
      </x:c>
      <x:c r="G1195" s="44" t="n">
        <x:v>0.041666666666666664</x:v>
      </x:c>
      <x:c r="H1195" s="44" t="n">
        <x:v>0.04513888888888889</x:v>
      </x:c>
      <x:c r="I1195" s="32" t="n">
        <x:f>ROUND((H1195-G1195)*1440,0)</x:f>
        <x:v>5</x:v>
      </x:c>
      <x:c r="J1195" s="13" t="str">
        <x:v>Отдых / гипотеза</x:v>
      </x:c>
      <x:c r="K1195" s="13" t="str">
        <x:v>Отдых 4–5 минут. Запиши одну гипотезу: стопа, положение таза, хват или темп.</x:v>
      </x:c>
      <x:c r="L1195" s="13" t="str">
        <x:v>☐ Не начато</x:v>
      </x:c>
      <x:c r="M1195" s="13" t="str">
        <x:v>Обязательно</x:v>
      </x:c>
      <x:c r="N1195" s="13" t="str">
        <x:v>Восстановление</x:v>
      </x:c>
      <x:c r="O1195" s="13" t="str"/>
      <x:c r="P1195" s="13" t="str">
        <x:v>milestone_05_efficiency_projecting/week_17_2026-12-28/04_THURSDAY.md</x:v>
      </x:c>
      <x:c r="Q1195" s="138" t="str">
        <x:v>Markdown</x:v>
      </x:c>
      <x:c r="R1195" s="20" t="str"/>
    </x:row>
    <x:row r="1196" ht="36" customHeight="1">
      <x:c r="A1196" s="19" t="str">
        <x:v>W17-20261231-1195</x:v>
      </x:c>
      <x:c r="B1196" s="13" t="n">
        <x:v>17</x:v>
      </x:c>
      <x:c r="C1196" s="13" t="str">
        <x:v>Этап 5 — Эффективность движения и работа над проектом</x:v>
      </x:c>
      <x:c r="D1196" s="138" t="str">
        <x:v>2026-12-31</x:v>
      </x:c>
      <x:c r="E1196" s="13" t="str">
        <x:v>Четверг</x:v>
      </x:c>
      <x:c r="F1196" s="13" t="str">
        <x:v>Тренировка B — пальцы/проект</x:v>
      </x:c>
      <x:c r="G1196" s="44" t="n">
        <x:v>0.04513888888888889</x:v>
      </x:c>
      <x:c r="H1196" s="44" t="n">
        <x:v>0.049305555555555554</x:v>
      </x:c>
      <x:c r="I1196" s="32" t="n">
        <x:f>ROUND((H1196-G1196)*1440,0)</x:f>
        <x:v>6</x:v>
      </x:c>
      <x:c r="J1196" s="13" t="str">
        <x:v>Проект — попытки 2–3</x:v>
      </x:c>
      <x:c r="K1196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196" s="13" t="str">
        <x:v>☐ Не начато</x:v>
      </x:c>
      <x:c r="M1196" s="13" t="str">
        <x:v>Обязательно</x:v>
      </x:c>
      <x:c r="N1196" s="13" t="str">
        <x:v>RPE 7–8, без отказа</x:v>
      </x:c>
      <x:c r="O1196" s="13" t="str">
        <x:v>Не смотреть beta заранее: сначала собственная гипотеза.</x:v>
      </x:c>
      <x:c r="P1196" s="13" t="str">
        <x:v>milestone_05_efficiency_projecting/week_17_2026-12-28/04_THURSDAY.md</x:v>
      </x:c>
      <x:c r="Q1196" s="138" t="str">
        <x:v>Markdown</x:v>
      </x:c>
      <x:c r="R1196" s="20" t="str"/>
    </x:row>
    <x:row r="1197" ht="36" customHeight="1">
      <x:c r="A1197" s="19" t="str">
        <x:v>W17-20261231-1196</x:v>
      </x:c>
      <x:c r="B1197" s="13" t="n">
        <x:v>17</x:v>
      </x:c>
      <x:c r="C1197" s="13" t="str">
        <x:v>Этап 5 — Эффективность движения и работа над проектом</x:v>
      </x:c>
      <x:c r="D1197" s="138" t="str">
        <x:v>2026-12-31</x:v>
      </x:c>
      <x:c r="E1197" s="13" t="str">
        <x:v>Четверг</x:v>
      </x:c>
      <x:c r="F1197" s="13" t="str">
        <x:v>Тренировка B — пальцы/проект</x:v>
      </x:c>
      <x:c r="G1197" s="44" t="n">
        <x:v>0.049305555555555554</x:v>
      </x:c>
      <x:c r="H1197" s="44" t="n">
        <x:v>0.05277777777777778</x:v>
      </x:c>
      <x:c r="I1197" s="32" t="n">
        <x:f>ROUND((H1197-G1197)*1440,0)</x:f>
        <x:v>5</x:v>
      </x:c>
      <x:c r="J1197" s="13" t="str">
        <x:v>Проект — заключительная попытка</x:v>
      </x:c>
      <x:c r="K1197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197" s="13" t="str">
        <x:v>☐ Не начато</x:v>
      </x:c>
      <x:c r="M1197" s="13" t="str">
        <x:v>Обязательно</x:v>
      </x:c>
      <x:c r="N1197" s="13" t="str">
        <x:v>RPE 8, с запасом</x:v>
      </x:c>
      <x:c r="O1197" s="13" t="str">
        <x:v>Плечо: никакой жёсткой ловли, кампуса и dyno. Колено: контролируемые приземления, лучше спускаться.</x:v>
      </x:c>
      <x:c r="P1197" s="13" t="str">
        <x:v>milestone_05_efficiency_projecting/week_17_2026-12-28/04_THURSDAY.md</x:v>
      </x:c>
      <x:c r="Q1197" s="138" t="str">
        <x:v>Markdown</x:v>
      </x:c>
      <x:c r="R1197" s="20" t="str"/>
    </x:row>
    <x:row r="1198" ht="36" customHeight="1">
      <x:c r="A1198" s="19" t="str">
        <x:v>W17-20261231-1197</x:v>
      </x:c>
      <x:c r="B1198" s="13" t="n">
        <x:v>17</x:v>
      </x:c>
      <x:c r="C1198" s="13" t="str">
        <x:v>Этап 5 — Эффективность движения и работа над проектом</x:v>
      </x:c>
      <x:c r="D1198" s="138" t="str">
        <x:v>2026-12-31</x:v>
      </x:c>
      <x:c r="E1198" s="13" t="str">
        <x:v>Четверг</x:v>
      </x:c>
      <x:c r="F1198" s="13" t="str">
        <x:v>Тренировка B — пальцы/проект</x:v>
      </x:c>
      <x:c r="G1198" s="44" t="n">
        <x:v>0.05277777777777778</x:v>
      </x:c>
      <x:c r="H1198" s="44" t="n">
        <x:v>0.05763888888888889</x:v>
      </x:c>
      <x:c r="I1198" s="32" t="n">
        <x:f>ROUND((H1198-G1198)*1440,0)</x:f>
        <x:v>7</x:v>
      </x:c>
      <x:c r="J1198" s="13" t="str">
        <x:v>Вторичная трасса</x:v>
      </x:c>
      <x:c r="K1198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198" s="13" t="str">
        <x:v>☐ Не начато</x:v>
      </x:c>
      <x:c r="M1198" s="13" t="str">
        <x:v>Обязательно</x:v>
      </x:c>
      <x:c r="N1198" s="13" t="str">
        <x:v>RPE 5–7</x:v>
      </x:c>
      <x:c r="O1198" s="13" t="str">
        <x:v>Пропустить, если хват уже просел.</x:v>
      </x:c>
      <x:c r="P1198" s="13" t="str">
        <x:v>milestone_05_efficiency_projecting/week_17_2026-12-28/04_THURSDAY.md</x:v>
      </x:c>
      <x:c r="Q1198" s="138" t="str">
        <x:v>Markdown</x:v>
      </x:c>
      <x:c r="R1198" s="20" t="str"/>
    </x:row>
    <x:row r="1199" ht="36" customHeight="1">
      <x:c r="A1199" s="19" t="str">
        <x:v>W17-20261231-1198</x:v>
      </x:c>
      <x:c r="B1199" s="13" t="n">
        <x:v>17</x:v>
      </x:c>
      <x:c r="C1199" s="13" t="str">
        <x:v>Этап 5 — Эффективность движения и работа над проектом</x:v>
      </x:c>
      <x:c r="D1199" s="138" t="str">
        <x:v>2026-12-31</x:v>
      </x:c>
      <x:c r="E1199" s="13" t="str">
        <x:v>Четверг</x:v>
      </x:c>
      <x:c r="F1199" s="13" t="str">
        <x:v>Тренировка B — пальцы/проект</x:v>
      </x:c>
      <x:c r="G1199" s="44" t="n">
        <x:v>0.05763888888888889</x:v>
      </x:c>
      <x:c r="H1199" s="44" t="n">
        <x:v>0.06041666666666667</x:v>
      </x:c>
      <x:c r="I1199" s="32" t="n">
        <x:f>ROUND((H1199-G1199)*1440,0)</x:f>
        <x:v>4</x:v>
      </x:c>
      <x:c r="J1199" s="13" t="str">
        <x:v>Завершение</x:v>
      </x:c>
      <x:c r="K1199" s="13" t="str">
        <x:v>Очень лёгкий спуск/ходьба, вода, никаких финишных висов.</x:v>
      </x:c>
      <x:c r="L1199" s="13" t="str">
        <x:v>☐ Не начато</x:v>
      </x:c>
      <x:c r="M1199" s="13" t="str">
        <x:v>Обязательно</x:v>
      </x:c>
      <x:c r="N1199" s="13" t="str">
        <x:v>RPE 1–2</x:v>
      </x:c>
      <x:c r="O1199" s="13" t="str"/>
      <x:c r="P1199" s="13" t="str">
        <x:v>milestone_05_efficiency_projecting/week_17_2026-12-28/04_THURSDAY.md</x:v>
      </x:c>
      <x:c r="Q1199" s="138" t="str">
        <x:v>Markdown</x:v>
      </x:c>
      <x:c r="R1199" s="20" t="str"/>
    </x:row>
    <x:row r="1200" ht="36" customHeight="1">
      <x:c r="A1200" s="19" t="str">
        <x:v>W17-20261231-1199</x:v>
      </x:c>
      <x:c r="B1200" s="13" t="n">
        <x:v>17</x:v>
      </x:c>
      <x:c r="C1200" s="13" t="str">
        <x:v>Этап 5 — Эффективность движения и работа над проектом</x:v>
      </x:c>
      <x:c r="D1200" s="138" t="str">
        <x:v>2026-12-31</x:v>
      </x:c>
      <x:c r="E1200" s="13" t="str">
        <x:v>Четверг</x:v>
      </x:c>
      <x:c r="F1200" s="13" t="str">
        <x:v>Тренировка B — пальцы/проект</x:v>
      </x:c>
      <x:c r="G1200" s="44" t="n">
        <x:v>0.06041666666666667</x:v>
      </x:c>
      <x:c r="H1200" s="44" t="n">
        <x:v>0.0625</x:v>
      </x:c>
      <x:c r="I1200" s="32" t="n">
        <x:f>ROUND((H1200-G1200)*1440,0)</x:f>
        <x:v>3</x:v>
      </x:c>
      <x:c r="J1200" s="13" t="str">
        <x:v>Журнал</x:v>
      </x:c>
      <x:c r="K1200" s="13" t="str">
        <x:v>Запиши попытки, лучшую связку, одну правку и benchmark: Найти минимальную динамику, при которой движение становится легче, но ловля остаётся мягкой.</x:v>
      </x:c>
      <x:c r="L1200" s="13" t="str">
        <x:v>☐ Не начато</x:v>
      </x:c>
      <x:c r="M1200" s="13" t="str">
        <x:v>Обязательно</x:v>
      </x:c>
      <x:c r="N1200" s="13" t="str">
        <x:v>Без нагрузки</x:v>
      </x:c>
      <x:c r="O1200" s="13" t="str"/>
      <x:c r="P1200" s="13" t="str">
        <x:v>milestone_05_efficiency_projecting/week_17_2026-12-28/04_THURSDAY.md</x:v>
      </x:c>
      <x:c r="Q1200" s="138" t="str">
        <x:v>Markdown</x:v>
      </x:c>
      <x:c r="R1200" s="20" t="str"/>
    </x:row>
    <x:row r="1201" ht="36" customHeight="1">
      <x:c r="A1201" s="19" t="str">
        <x:v>W17-20270101-1200</x:v>
      </x:c>
      <x:c r="B1201" s="13" t="n">
        <x:v>17</x:v>
      </x:c>
      <x:c r="C1201" s="13" t="str">
        <x:v>Этап 5 — Эффективность движения и работа над проектом</x:v>
      </x:c>
      <x:c r="D1201" s="138" t="str">
        <x:v>2027-01-01</x:v>
      </x:c>
      <x:c r="E1201" s="13" t="str">
        <x:v>Пятница</x:v>
      </x:c>
      <x:c r="F1201" s="13" t="str">
        <x:v>Дом / теория</x:v>
      </x:c>
      <x:c r="G1201" s="44" t="n">
        <x:v>0</x:v>
      </x:c>
      <x:c r="H1201" s="44" t="n">
        <x:v>0.0020833333333333333</x:v>
      </x:c>
      <x:c r="I1201" s="32" t="n">
        <x:f>ROUND((H1201-G1201)*1440,0)</x:f>
        <x:v>3</x:v>
      </x:c>
      <x:c r="J1201" s="13" t="str">
        <x:v>Самопроверка</x:v>
      </x:c>
      <x:c r="K1201" s="13" t="str">
        <x:v>Оцени утреннюю реакцию после четверга: пальцы/плечо/колено 0–10. Запиши, восстановилась ли обычная сила кисти.</x:v>
      </x:c>
      <x:c r="L1201" s="13" t="str">
        <x:v>☐ Не начато</x:v>
      </x:c>
      <x:c r="M1201" s="13" t="str">
        <x:v>Обязательно</x:v>
      </x:c>
      <x:c r="N1201" s="13" t="str">
        <x:v>Без нагрузки</x:v>
      </x:c>
      <x:c r="O1201" s="13" t="str">
        <x:v>Острая локальная боль пальца или усилившаяся боль плеча = воскресенье только восстановительное.</x:v>
      </x:c>
      <x:c r="P1201" s="13" t="str">
        <x:v>milestone_05_efficiency_projecting/week_17_2026-12-28/05_FRIDAY.md</x:v>
      </x:c>
      <x:c r="Q1201" s="138" t="str">
        <x:v>Markdown</x:v>
      </x:c>
      <x:c r="R1201" s="20" t="str"/>
    </x:row>
    <x:row r="1202" ht="36" customHeight="1">
      <x:c r="A1202" s="19" t="str">
        <x:v>W17-20270101-1201</x:v>
      </x:c>
      <x:c r="B1202" s="13" t="n">
        <x:v>17</x:v>
      </x:c>
      <x:c r="C1202" s="13" t="str">
        <x:v>Этап 5 — Эффективность движения и работа над проектом</x:v>
      </x:c>
      <x:c r="D1202" s="138" t="str">
        <x:v>2027-01-01</x:v>
      </x:c>
      <x:c r="E1202" s="13" t="str">
        <x:v>Пятница</x:v>
      </x:c>
      <x:c r="F1202" s="13" t="str">
        <x:v>Дом / теория</x:v>
      </x:c>
      <x:c r="G1202" s="44" t="n">
        <x:v>0.0020833333333333333</x:v>
      </x:c>
      <x:c r="H1202" s="44" t="n">
        <x:v>0.007638888888888889</x:v>
      </x:c>
      <x:c r="I1202" s="32" t="n">
        <x:f>ROUND((H1202-G1202)*1440,0)</x:f>
        <x:v>8</x:v>
      </x:c>
      <x:c r="J1202" s="13" t="str">
        <x:v>Теория</x:v>
      </x:c>
      <x:c r="K1202" s="13" t="str">
        <x:v>Пересмотри ключевой фрагмент ресурса недели: [R17: BMC — How to do dynamic movements when climbing](https://www.thebmc.co.uk/en/how-to-do-dynamic-movements-when-climbing-video). Задача: Контролируемый deadpoint. Большие dyno и жёсткие ловли исключены, пока плечо не готово.</x:v>
      </x:c>
      <x:c r="L1202" s="13" t="str">
        <x:v>☐ Не начато</x:v>
      </x:c>
      <x:c r="M1202" s="13" t="str">
        <x:v>Обязательно</x:v>
      </x:c>
      <x:c r="N1202" s="13" t="str">
        <x:v>Без нагрузки</x:v>
      </x:c>
      <x:c r="O1202" s="13" t="str"/>
      <x:c r="P1202" s="13" t="str">
        <x:v>milestone_05_efficiency_projecting/week_17_2026-12-28/05_FRIDAY.md</x:v>
      </x:c>
      <x:c r="Q1202" s="138" t="str">
        <x:v>Markdown</x:v>
      </x:c>
      <x:c r="R1202" s="20" t="str"/>
    </x:row>
    <x:row r="1203" ht="36" customHeight="1">
      <x:c r="A1203" s="19" t="str">
        <x:v>W17-20270101-1202</x:v>
      </x:c>
      <x:c r="B1203" s="13" t="n">
        <x:v>17</x:v>
      </x:c>
      <x:c r="C1203" s="13" t="str">
        <x:v>Этап 5 — Эффективность движения и работа над проектом</x:v>
      </x:c>
      <x:c r="D1203" s="138" t="str">
        <x:v>2027-01-01</x:v>
      </x:c>
      <x:c r="E1203" s="13" t="str">
        <x:v>Пятница</x:v>
      </x:c>
      <x:c r="F1203" s="13" t="str">
        <x:v>Дом / теория</x:v>
      </x:c>
      <x:c r="G1203" s="44" t="n">
        <x:v>0.007638888888888889</x:v>
      </x:c>
      <x:c r="H1203" s="44" t="n">
        <x:v>0.011805555555555555</x:v>
      </x:c>
      <x:c r="I1203" s="32" t="n">
        <x:f>ROUND((H1203-G1203)*1440,0)</x:f>
        <x:v>6</x:v>
      </x:c>
      <x:c r="J1203" s="13" t="str">
        <x:v>Ментальная репетиция</x:v>
      </x:c>
      <x:c r="K1203" s="13" t="str">
        <x:v>Закрой глаза и 3 раза мысленно пройди одну рабочую трассу: руки → ноги → положение таза → дыхание. Визуализируй cue «Толчок идёт ногами и тазом; зацеп берётся в момент замедления тела, без жёсткой ловли плечом.».</x:v>
      </x:c>
      <x:c r="L1203" s="13" t="str">
        <x:v>☐ Не начато</x:v>
      </x:c>
      <x:c r="M1203" s="13" t="str">
        <x:v>Обязательно</x:v>
      </x:c>
      <x:c r="N1203" s="13" t="str">
        <x:v>Без нагрузки</x:v>
      </x:c>
      <x:c r="O1203" s="13" t="str"/>
      <x:c r="P1203" s="13" t="str">
        <x:v>milestone_05_efficiency_projecting/week_17_2026-12-28/05_FRIDAY.md</x:v>
      </x:c>
      <x:c r="Q1203" s="138" t="str">
        <x:v>Markdown</x:v>
      </x:c>
      <x:c r="R1203" s="20" t="str"/>
    </x:row>
    <x:row r="1204" ht="36" customHeight="1">
      <x:c r="A1204" s="19" t="str">
        <x:v>W17-20270101-1203</x:v>
      </x:c>
      <x:c r="B1204" s="13" t="n">
        <x:v>17</x:v>
      </x:c>
      <x:c r="C1204" s="13" t="str">
        <x:v>Этап 5 — Эффективность движения и работа над проектом</x:v>
      </x:c>
      <x:c r="D1204" s="138" t="str">
        <x:v>2027-01-01</x:v>
      </x:c>
      <x:c r="E1204" s="13" t="str">
        <x:v>Пятница</x:v>
      </x:c>
      <x:c r="F1204" s="13" t="str">
        <x:v>Дом / теория</x:v>
      </x:c>
      <x:c r="G1204" s="44" t="n">
        <x:v>0.011805555555555555</x:v>
      </x:c>
      <x:c r="H1204" s="44" t="n">
        <x:v>0.02013888888888889</x:v>
      </x:c>
      <x:c r="I1204" s="32" t="n">
        <x:f>ROUND((H1204-G1204)*1440,0)</x:f>
        <x:v>12</x:v>
      </x:c>
      <x:c r="J1204" s="13" t="str">
        <x:v>Домашняя мобильность</x:v>
      </x:c>
      <x:c r="K1204" s="13" t="str">
        <x:v>Выполни H3 «Мобильность таза и контроль корпуса» — 12 минут.</x:v>
      </x:c>
      <x:c r="L1204" s="13" t="str">
        <x:v>☐ Не начато</x:v>
      </x:c>
      <x:c r="M1204" s="13" t="str">
        <x:v>Обязательно</x:v>
      </x:c>
      <x:c r="N1204" s="13" t="str">
        <x:v>RPE 2–3</x:v>
      </x:c>
      <x:c r="O1204" s="13" t="str">
        <x:v>Никаких скручиваний через боль. Плечом не отталкивайся от стены; касание только для равновесия.</x:v>
      </x:c>
      <x:c r="P1204" s="13" t="str">
        <x:v>milestone_05_efficiency_projecting/week_17_2026-12-28/05_FRIDAY.md</x:v>
      </x:c>
      <x:c r="Q1204" s="138" t="str">
        <x:v>Markdown</x:v>
      </x:c>
      <x:c r="R1204" s="20" t="str"/>
    </x:row>
    <x:row r="1205" ht="36" customHeight="1">
      <x:c r="A1205" s="19" t="str">
        <x:v>W17-20270101-1204</x:v>
      </x:c>
      <x:c r="B1205" s="13" t="n">
        <x:v>17</x:v>
      </x:c>
      <x:c r="C1205" s="13" t="str">
        <x:v>Этап 5 — Эффективность движения и работа над проектом</x:v>
      </x:c>
      <x:c r="D1205" s="138" t="str">
        <x:v>2027-01-01</x:v>
      </x:c>
      <x:c r="E1205" s="13" t="str">
        <x:v>Пятница</x:v>
      </x:c>
      <x:c r="F1205" s="13" t="str">
        <x:v>Дом / теория</x:v>
      </x:c>
      <x:c r="G1205" s="44" t="n">
        <x:v>0.02013888888888889</x:v>
      </x:c>
      <x:c r="H1205" s="44" t="n">
        <x:v>0.034027777777777775</x:v>
      </x:c>
      <x:c r="I1205" s="32" t="n">
        <x:f>ROUND((H1205-G1205)*1440,0)</x:f>
        <x:v>20</x:v>
      </x:c>
      <x:c r="J1205" s="13" t="str">
        <x:v>Физиотерапия</x:v>
      </x:c>
      <x:c r="K1205" s="13" t="str">
        <x:v>Выполни свой назначенный комплекс, если пятница входит в расписание физиотерапевта.</x:v>
      </x:c>
      <x:c r="L1205" s="13" t="str">
        <x:v>☐ Не начато</x:v>
      </x:c>
      <x:c r="M1205" s="13" t="str">
        <x:v>По назначению</x:v>
      </x:c>
      <x:c r="N1205" s="13" t="str">
        <x:v>По назначению</x:v>
      </x:c>
      <x:c r="O1205" s="13" t="str">
        <x:v>Не добавляй упражнения из интернета поверх назначений.</x:v>
      </x:c>
      <x:c r="P1205" s="13" t="str">
        <x:v>milestone_05_efficiency_projecting/week_17_2026-12-28/05_FRIDAY.md</x:v>
      </x:c>
      <x:c r="Q1205" s="138" t="str">
        <x:v>Markdown</x:v>
      </x:c>
      <x:c r="R1205" s="20" t="str"/>
    </x:row>
    <x:row r="1206" ht="36" customHeight="1">
      <x:c r="A1206" s="19" t="str">
        <x:v>W17-20270101-1205</x:v>
      </x:c>
      <x:c r="B1206" s="13" t="n">
        <x:v>17</x:v>
      </x:c>
      <x:c r="C1206" s="13" t="str">
        <x:v>Этап 5 — Эффективность движения и работа над проектом</x:v>
      </x:c>
      <x:c r="D1206" s="138" t="str">
        <x:v>2027-01-01</x:v>
      </x:c>
      <x:c r="E1206" s="13" t="str">
        <x:v>Пятница</x:v>
      </x:c>
      <x:c r="F1206" s="13" t="str">
        <x:v>Дом / теория</x:v>
      </x:c>
      <x:c r="G1206" s="44" t="n">
        <x:v>0.034027777777777775</x:v>
      </x:c>
      <x:c r="H1206" s="44" t="n">
        <x:v>0.03680555555555556</x:v>
      </x:c>
      <x:c r="I1206" s="32" t="n">
        <x:f>ROUND((H1206-G1206)*1440,0)</x:f>
        <x:v>4</x:v>
      </x:c>
      <x:c r="J1206" s="13" t="str">
        <x:v>Журнал</x:v>
      </x:c>
      <x:c r="K1206" s="13" t="str">
        <x:v>Запиши одну вещь, которая сработала на этой неделе, и одну, которую повторишь в воскресенье на лёгкой трассе.</x:v>
      </x:c>
      <x:c r="L1206" s="13" t="str">
        <x:v>☐ Не начато</x:v>
      </x:c>
      <x:c r="M1206" s="13" t="str">
        <x:v>Обязательно</x:v>
      </x:c>
      <x:c r="N1206" s="13" t="str">
        <x:v>Без нагрузки</x:v>
      </x:c>
      <x:c r="O1206" s="13" t="str"/>
      <x:c r="P1206" s="13" t="str">
        <x:v>milestone_05_efficiency_projecting/week_17_2026-12-28/05_FRIDAY.md</x:v>
      </x:c>
      <x:c r="Q1206" s="138" t="str">
        <x:v>Markdown</x:v>
      </x:c>
      <x:c r="R1206" s="20" t="str"/>
    </x:row>
    <x:row r="1207" ht="36" customHeight="1">
      <x:c r="A1207" s="19" t="str">
        <x:v>W17-20270101-1206</x:v>
      </x:c>
      <x:c r="B1207" s="13" t="n">
        <x:v>17</x:v>
      </x:c>
      <x:c r="C1207" s="13" t="str">
        <x:v>Этап 5 — Эффективность движения и работа над проектом</x:v>
      </x:c>
      <x:c r="D1207" s="138" t="str">
        <x:v>2027-01-01</x:v>
      </x:c>
      <x:c r="E1207" s="13" t="str">
        <x:v>Пятница</x:v>
      </x:c>
      <x:c r="F1207" s="13" t="str">
        <x:v>Дом / теория</x:v>
      </x:c>
      <x:c r="G1207" s="44" t="n">
        <x:v>0.03680555555555556</x:v>
      </x:c>
      <x:c r="H1207" s="44" t="n">
        <x:v>0.03888888888888889</x:v>
      </x:c>
      <x:c r="I1207" s="32" t="n">
        <x:f>ROUND((H1207-G1207)*1440,0)</x:f>
        <x:v>3</x:v>
      </x:c>
      <x:c r="J1207" s="13" t="str">
        <x:v>Запрет лишней нагрузки</x:v>
      </x:c>
      <x:c r="K1207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207" s="13" t="str">
        <x:v>☐ Не начато</x:v>
      </x:c>
      <x:c r="M1207" s="13" t="str">
        <x:v>Обязательно</x:v>
      </x:c>
      <x:c r="N1207" s="13" t="str">
        <x:v>Восстановление</x:v>
      </x:c>
      <x:c r="O1207" s="13" t="str">
        <x:v>Общая пальцевая нагрузка уже получена в четверг.</x:v>
      </x:c>
      <x:c r="P1207" s="13" t="str">
        <x:v>milestone_05_efficiency_projecting/week_17_2026-12-28/05_FRIDAY.md</x:v>
      </x:c>
      <x:c r="Q1207" s="138" t="str">
        <x:v>Markdown</x:v>
      </x:c>
      <x:c r="R1207" s="20" t="str"/>
    </x:row>
    <x:row r="1208" ht="36" customHeight="1">
      <x:c r="A1208" s="19" t="str">
        <x:v>W17-20270102-1207</x:v>
      </x:c>
      <x:c r="B1208" s="13" t="n">
        <x:v>17</x:v>
      </x:c>
      <x:c r="C1208" s="13" t="str">
        <x:v>Этап 5 — Эффективность движения и работа над проектом</x:v>
      </x:c>
      <x:c r="D1208" s="138" t="str">
        <x:v>2027-01-02</x:v>
      </x:c>
      <x:c r="E1208" s="13" t="str">
        <x:v>Суббота</x:v>
      </x:c>
      <x:c r="F1208" s="13" t="str">
        <x:v>Отдых / подготовка</x:v>
      </x:c>
      <x:c r="G1208" s="44" t="n">
        <x:v>0</x:v>
      </x:c>
      <x:c r="H1208" s="44" t="n">
        <x:v>0.003472222222222222</x:v>
      </x:c>
      <x:c r="I1208" s="32" t="n">
        <x:f>ROUND((H1208-G1208)*1440,0)</x:f>
        <x:v>5</x:v>
      </x:c>
      <x:c r="J1208" s="13" t="str">
        <x:v>Самопроверка</x:v>
      </x:c>
      <x:c r="K1208" s="13" t="str">
        <x:v>Проверь кожу пальцев, ногти, плечо и колено. Никаких тестовых висов.</x:v>
      </x:c>
      <x:c r="L1208" s="13" t="str">
        <x:v>☐ Не начато</x:v>
      </x:c>
      <x:c r="M1208" s="13" t="str">
        <x:v>Обязательно</x:v>
      </x:c>
      <x:c r="N1208" s="13" t="str">
        <x:v>Восстановление</x:v>
      </x:c>
      <x:c r="O1208" s="13" t="str"/>
      <x:c r="P1208" s="13" t="str">
        <x:v>milestone_05_efficiency_projecting/week_17_2026-12-28/06_SATURDAY.md</x:v>
      </x:c>
      <x:c r="Q1208" s="138" t="str">
        <x:v>Markdown</x:v>
      </x:c>
      <x:c r="R1208" s="20" t="str"/>
    </x:row>
    <x:row r="1209" ht="36" customHeight="1">
      <x:c r="A1209" s="19" t="str">
        <x:v>W17-20270102-1208</x:v>
      </x:c>
      <x:c r="B1209" s="13" t="n">
        <x:v>17</x:v>
      </x:c>
      <x:c r="C1209" s="13" t="str">
        <x:v>Этап 5 — Эффективность движения и работа над проектом</x:v>
      </x:c>
      <x:c r="D1209" s="138" t="str">
        <x:v>2027-01-02</x:v>
      </x:c>
      <x:c r="E1209" s="13" t="str">
        <x:v>Суббота</x:v>
      </x:c>
      <x:c r="F1209" s="13" t="str">
        <x:v>Отдых / подготовка</x:v>
      </x:c>
      <x:c r="G1209" s="44" t="n">
        <x:v>0.003472222222222222</x:v>
      </x:c>
      <x:c r="H1209" s="44" t="n">
        <x:v>0.010416666666666666</x:v>
      </x:c>
      <x:c r="I1209" s="32" t="n">
        <x:f>ROUND((H1209-G1209)*1440,0)</x:f>
        <x:v>10</x:v>
      </x:c>
      <x:c r="J1209" s="13" t="str">
        <x:v>Активное восстановление</x:v>
      </x:c>
      <x:c r="K1209" s="13" t="str">
        <x:v>10 минут лёгкой прогулки или бытовой активности. Цель — восстановление, не тренировка.</x:v>
      </x:c>
      <x:c r="L1209" s="13" t="str">
        <x:v>☐ Не начато</x:v>
      </x:c>
      <x:c r="M1209" s="13" t="str">
        <x:v>Обязательно</x:v>
      </x:c>
      <x:c r="N1209" s="13" t="str">
        <x:v>RPE 1–2</x:v>
      </x:c>
      <x:c r="O1209" s="13" t="str"/>
      <x:c r="P1209" s="13" t="str">
        <x:v>milestone_05_efficiency_projecting/week_17_2026-12-28/06_SATURDAY.md</x:v>
      </x:c>
      <x:c r="Q1209" s="138" t="str">
        <x:v>Markdown</x:v>
      </x:c>
      <x:c r="R1209" s="20" t="str"/>
    </x:row>
    <x:row r="1210" ht="36" customHeight="1">
      <x:c r="A1210" s="19" t="str">
        <x:v>W17-20270102-1209</x:v>
      </x:c>
      <x:c r="B1210" s="13" t="n">
        <x:v>17</x:v>
      </x:c>
      <x:c r="C1210" s="13" t="str">
        <x:v>Этап 5 — Эффективность движения и работа над проектом</x:v>
      </x:c>
      <x:c r="D1210" s="138" t="str">
        <x:v>2027-01-02</x:v>
      </x:c>
      <x:c r="E1210" s="13" t="str">
        <x:v>Суббота</x:v>
      </x:c>
      <x:c r="F1210" s="13" t="str">
        <x:v>Отдых / подготовка</x:v>
      </x:c>
      <x:c r="G1210" s="44" t="n">
        <x:v>0.010416666666666666</x:v>
      </x:c>
      <x:c r="H1210" s="44" t="n">
        <x:v>0.013888888888888888</x:v>
      </x:c>
      <x:c r="I1210" s="32" t="n">
        <x:f>ROUND((H1210-G1210)*1440,0)</x:f>
        <x:v>5</x:v>
      </x:c>
      <x:c r="J1210" s="13" t="str">
        <x:v>Уход за кожей</x:v>
      </x:c>
      <x:c r="K1210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210" s="13" t="str">
        <x:v>☐ Не начато</x:v>
      </x:c>
      <x:c r="M1210" s="13" t="str">
        <x:v>Опционально</x:v>
      </x:c>
      <x:c r="N1210" s="13" t="str">
        <x:v>Без нагрузки</x:v>
      </x:c>
      <x:c r="O1210" s="13" t="str">
        <x:v>Повреждённую/болезненную кожу не шлифовать.</x:v>
      </x:c>
      <x:c r="P1210" s="13" t="str">
        <x:v>milestone_05_efficiency_projecting/week_17_2026-12-28/06_SATURDAY.md</x:v>
      </x:c>
      <x:c r="Q1210" s="138" t="str">
        <x:v>Markdown</x:v>
      </x:c>
      <x:c r="R1210" s="20" t="str"/>
    </x:row>
    <x:row r="1211" ht="36" customHeight="1">
      <x:c r="A1211" s="19" t="str">
        <x:v>W17-20270102-1210</x:v>
      </x:c>
      <x:c r="B1211" s="13" t="n">
        <x:v>17</x:v>
      </x:c>
      <x:c r="C1211" s="13" t="str">
        <x:v>Этап 5 — Эффективность движения и работа над проектом</x:v>
      </x:c>
      <x:c r="D1211" s="138" t="str">
        <x:v>2027-01-02</x:v>
      </x:c>
      <x:c r="E1211" s="13" t="str">
        <x:v>Суббота</x:v>
      </x:c>
      <x:c r="F1211" s="13" t="str">
        <x:v>Отдых / подготовка</x:v>
      </x:c>
      <x:c r="G1211" s="44" t="n">
        <x:v>0.013888888888888888</x:v>
      </x:c>
      <x:c r="H1211" s="44" t="n">
        <x:v>0.016666666666666666</x:v>
      </x:c>
      <x:c r="I1211" s="32" t="n">
        <x:f>ROUND((H1211-G1211)*1440,0)</x:f>
        <x:v>4</x:v>
      </x:c>
      <x:c r="J1211" s="13" t="str">
        <x:v>Подготовка</x:v>
      </x:c>
      <x:c r="K1211" s="13" t="str">
        <x:v>Заряди телефон, освободи память для одного видео, положи щётку и магнезию.</x:v>
      </x:c>
      <x:c r="L1211" s="13" t="str">
        <x:v>☐ Не начато</x:v>
      </x:c>
      <x:c r="M1211" s="13" t="str">
        <x:v>Обязательно</x:v>
      </x:c>
      <x:c r="N1211" s="13" t="str">
        <x:v>Без нагрузки</x:v>
      </x:c>
      <x:c r="O1211" s="13" t="str"/>
      <x:c r="P1211" s="13" t="str">
        <x:v>milestone_05_efficiency_projecting/week_17_2026-12-28/06_SATURDAY.md</x:v>
      </x:c>
      <x:c r="Q1211" s="138" t="str">
        <x:v>Markdown</x:v>
      </x:c>
      <x:c r="R1211" s="20" t="str"/>
    </x:row>
    <x:row r="1212" ht="36" customHeight="1">
      <x:c r="A1212" s="19" t="str">
        <x:v>W17-20270102-1211</x:v>
      </x:c>
      <x:c r="B1212" s="13" t="n">
        <x:v>17</x:v>
      </x:c>
      <x:c r="C1212" s="13" t="str">
        <x:v>Этап 5 — Эффективность движения и работа над проектом</x:v>
      </x:c>
      <x:c r="D1212" s="138" t="str">
        <x:v>2027-01-02</x:v>
      </x:c>
      <x:c r="E1212" s="13" t="str">
        <x:v>Суббота</x:v>
      </x:c>
      <x:c r="F1212" s="13" t="str">
        <x:v>Отдых / подготовка</x:v>
      </x:c>
      <x:c r="G1212" s="44" t="n">
        <x:v>0.016666666666666666</x:v>
      </x:c>
      <x:c r="H1212" s="44" t="n">
        <x:v>0.01875</x:v>
      </x:c>
      <x:c r="I1212" s="32" t="n">
        <x:f>ROUND((H1212-G1212)*1440,0)</x:f>
        <x:v>3</x:v>
      </x:c>
      <x:c r="J1212" s="13" t="str">
        <x:v>План воскресенья</x:v>
      </x:c>
      <x:c r="K1212" s="13" t="str">
        <x:v>Выбери заранее одну лёгкую трассу под тему «Контролируемый deadpoint». Воскресенье остаётся развлечением, не третьим тяжёлым днём.</x:v>
      </x:c>
      <x:c r="L1212" s="13" t="str">
        <x:v>☐ Не начато</x:v>
      </x:c>
      <x:c r="M1212" s="13" t="str">
        <x:v>Обязательно</x:v>
      </x:c>
      <x:c r="N1212" s="13" t="str">
        <x:v>Без нагрузки</x:v>
      </x:c>
      <x:c r="O1212" s="13" t="str"/>
      <x:c r="P1212" s="13" t="str">
        <x:v>milestone_05_efficiency_projecting/week_17_2026-12-28/06_SATURDAY.md</x:v>
      </x:c>
      <x:c r="Q1212" s="138" t="str">
        <x:v>Markdown</x:v>
      </x:c>
      <x:c r="R1212" s="20" t="str"/>
    </x:row>
    <x:row r="1213" ht="36" customHeight="1">
      <x:c r="A1213" s="19" t="str">
        <x:v>W17-20270102-1212</x:v>
      </x:c>
      <x:c r="B1213" s="13" t="n">
        <x:v>17</x:v>
      </x:c>
      <x:c r="C1213" s="13" t="str">
        <x:v>Этап 5 — Эффективность движения и работа над проектом</x:v>
      </x:c>
      <x:c r="D1213" s="138" t="str">
        <x:v>2027-01-02</x:v>
      </x:c>
      <x:c r="E1213" s="13" t="str">
        <x:v>Суббота</x:v>
      </x:c>
      <x:c r="F1213" s="13" t="str">
        <x:v>Отдых / подготовка</x:v>
      </x:c>
      <x:c r="G1213" s="44" t="n">
        <x:v>0.01875</x:v>
      </x:c>
      <x:c r="H1213" s="44" t="n">
        <x:v>0.020833333333333332</x:v>
      </x:c>
      <x:c r="I1213" s="32" t="n">
        <x:f>ROUND((H1213-G1213)*1440,0)</x:f>
        <x:v>3</x:v>
      </x:c>
      <x:c r="J1213" s="13" t="str">
        <x:v>Сон / восстановление</x:v>
      </x:c>
      <x:c r="K1213" s="13" t="str">
        <x:v>Запланируй обычный сон и нормальный приём пищи; не пытайся «разбудить хват» вечером.</x:v>
      </x:c>
      <x:c r="L1213" s="13" t="str">
        <x:v>☐ Не начато</x:v>
      </x:c>
      <x:c r="M1213" s="13" t="str">
        <x:v>Обязательно</x:v>
      </x:c>
      <x:c r="N1213" s="13" t="str">
        <x:v>Восстановление</x:v>
      </x:c>
      <x:c r="O1213" s="13" t="str"/>
      <x:c r="P1213" s="13" t="str">
        <x:v>milestone_05_efficiency_projecting/week_17_2026-12-28/06_SATURDAY.md</x:v>
      </x:c>
      <x:c r="Q1213" s="138" t="str">
        <x:v>Markdown</x:v>
      </x:c>
      <x:c r="R1213" s="20" t="str"/>
    </x:row>
    <x:row r="1214" ht="36" customHeight="1">
      <x:c r="A1214" s="19" t="str">
        <x:v>W17-20270103-1213</x:v>
      </x:c>
      <x:c r="B1214" s="13" t="n">
        <x:v>17</x:v>
      </x:c>
      <x:c r="C1214" s="13" t="str">
        <x:v>Этап 5 — Эффективность движения и работа над проектом</x:v>
      </x:c>
      <x:c r="D1214" s="138" t="str">
        <x:v>2027-01-03</x:v>
      </x:c>
      <x:c r="E1214" s="13" t="str">
        <x:v>Воскресенье</x:v>
      </x:c>
      <x:c r="F1214" s="13" t="str">
        <x:v>Тренировка C — fun / опционально</x:v>
      </x:c>
      <x:c r="G1214" s="44" t="n">
        <x:v>0</x:v>
      </x:c>
      <x:c r="H1214" s="44" t="n">
        <x:v>0.0020833333333333333</x:v>
      </x:c>
      <x:c r="I1214" s="32" t="n">
        <x:f>ROUND((H1214-G1214)*1440,0)</x:f>
        <x:v>3</x:v>
      </x:c>
      <x:c r="J1214" s="13" t="str">
        <x:v>Выбор сценария</x:v>
      </x:c>
      <x:c r="K1214" s="13" t="str">
        <x:v>Выбери один сценарий: (A) fun-сессия 75 минут в зале или (B) восстановительный день дома 25 минут. Не выполнять оба.</x:v>
      </x:c>
      <x:c r="L1214" s="13" t="str">
        <x:v>☐ Не начато</x:v>
      </x:c>
      <x:c r="M1214" s="13" t="str">
        <x:v>Выбрать один сценарий</x:v>
      </x:c>
      <x:c r="N1214" s="13" t="str">
        <x:v>По состоянию</x:v>
      </x:c>
      <x:c r="O1214" s="13" t="str"/>
      <x:c r="P1214" s="13" t="str">
        <x:v>milestone_05_efficiency_projecting/week_17_2026-12-28/07_SUNDAY.md</x:v>
      </x:c>
      <x:c r="Q1214" s="138" t="str">
        <x:v>Markdown</x:v>
      </x:c>
      <x:c r="R1214" s="20" t="str"/>
    </x:row>
    <x:row r="1215" ht="36" customHeight="1">
      <x:c r="A1215" s="19" t="str">
        <x:v>W17-20270103-1214</x:v>
      </x:c>
      <x:c r="B1215" s="13" t="n">
        <x:v>17</x:v>
      </x:c>
      <x:c r="C1215" s="13" t="str">
        <x:v>Этап 5 — Эффективность движения и работа над проектом</x:v>
      </x:c>
      <x:c r="D1215" s="138" t="str">
        <x:v>2027-01-03</x:v>
      </x:c>
      <x:c r="E1215" s="13" t="str">
        <x:v>Воскресенье</x:v>
      </x:c>
      <x:c r="F1215" s="13" t="str">
        <x:v>Тренировка C — fun / опционально</x:v>
      </x:c>
      <x:c r="G1215" s="44" t="n">
        <x:v>0.0020833333333333333</x:v>
      </x:c>
      <x:c r="H1215" s="44" t="n">
        <x:v>0.005555555555555556</x:v>
      </x:c>
      <x:c r="I1215" s="32" t="n">
        <x:f>ROUND((H1215-G1215)*1440,0)</x:f>
        <x:v>5</x:v>
      </x:c>
      <x:c r="J1215" s="13" t="str">
        <x:v>Разминка A</x:v>
      </x:c>
      <x:c r="K1215" s="13" t="str">
        <x:v>Если идёшь в зал: 5 минут поднятия температуры.</x:v>
      </x:c>
      <x:c r="L1215" s="13" t="str">
        <x:v>☐ Не начато</x:v>
      </x:c>
      <x:c r="M1215" s="13" t="str">
        <x:v>Опционально</x:v>
      </x:c>
      <x:c r="N1215" s="13" t="str">
        <x:v>RPE 2–3</x:v>
      </x:c>
      <x:c r="O1215" s="13" t="str"/>
      <x:c r="P1215" s="13" t="str">
        <x:v>milestone_05_efficiency_projecting/week_17_2026-12-28/07_SUNDAY.md</x:v>
      </x:c>
      <x:c r="Q1215" s="138" t="str">
        <x:v>Markdown</x:v>
      </x:c>
      <x:c r="R1215" s="20" t="str"/>
    </x:row>
    <x:row r="1216" ht="36" customHeight="1">
      <x:c r="A1216" s="19" t="str">
        <x:v>W17-20270103-1215</x:v>
      </x:c>
      <x:c r="B1216" s="13" t="n">
        <x:v>17</x:v>
      </x:c>
      <x:c r="C1216" s="13" t="str">
        <x:v>Этап 5 — Эффективность движения и работа над проектом</x:v>
      </x:c>
      <x:c r="D1216" s="138" t="str">
        <x:v>2027-01-03</x:v>
      </x:c>
      <x:c r="E1216" s="13" t="str">
        <x:v>Воскресенье</x:v>
      </x:c>
      <x:c r="F1216" s="13" t="str">
        <x:v>Тренировка C — fun / опционально</x:v>
      </x:c>
      <x:c r="G1216" s="44" t="n">
        <x:v>0.005555555555555556</x:v>
      </x:c>
      <x:c r="H1216" s="44" t="n">
        <x:v>0.009027777777777777</x:v>
      </x:c>
      <x:c r="I1216" s="32" t="n">
        <x:f>ROUND((H1216-G1216)*1440,0)</x:f>
        <x:v>5</x:v>
      </x:c>
      <x:c r="J1216" s="13" t="str">
        <x:v>Разминка A</x:v>
      </x:c>
      <x:c r="K1216" s="13" t="str">
        <x:v>Динамическая суставная разминка в безболезненном диапазоне; без отжиманий/press.</x:v>
      </x:c>
      <x:c r="L1216" s="13" t="str">
        <x:v>☐ Не начато</x:v>
      </x:c>
      <x:c r="M1216" s="13" t="str">
        <x:v>Опционально</x:v>
      </x:c>
      <x:c r="N1216" s="13" t="str">
        <x:v>Очень легко</x:v>
      </x:c>
      <x:c r="O1216" s="13" t="str">
        <x:v>Плечо: никакой жёсткой ловли, кампуса и dyno. Колено: контролируемые приземления, лучше спускаться.</x:v>
      </x:c>
      <x:c r="P1216" s="13" t="str">
        <x:v>milestone_05_efficiency_projecting/week_17_2026-12-28/07_SUNDAY.md</x:v>
      </x:c>
      <x:c r="Q1216" s="138" t="str">
        <x:v>Markdown</x:v>
      </x:c>
      <x:c r="R1216" s="20" t="str"/>
    </x:row>
    <x:row r="1217" ht="36" customHeight="1">
      <x:c r="A1217" s="19" t="str">
        <x:v>W17-20270103-1216</x:v>
      </x:c>
      <x:c r="B1217" s="13" t="n">
        <x:v>17</x:v>
      </x:c>
      <x:c r="C1217" s="13" t="str">
        <x:v>Этап 5 — Эффективность движения и работа над проектом</x:v>
      </x:c>
      <x:c r="D1217" s="138" t="str">
        <x:v>2027-01-03</x:v>
      </x:c>
      <x:c r="E1217" s="13" t="str">
        <x:v>Воскресенье</x:v>
      </x:c>
      <x:c r="F1217" s="13" t="str">
        <x:v>Тренировка C — fun / опционально</x:v>
      </x:c>
      <x:c r="G1217" s="44" t="n">
        <x:v>0.009027777777777777</x:v>
      </x:c>
      <x:c r="H1217" s="44" t="n">
        <x:v>0.013888888888888888</x:v>
      </x:c>
      <x:c r="I1217" s="32" t="n">
        <x:f>ROUND((H1217-G1217)*1440,0)</x:f>
        <x:v>7</x:v>
      </x:c>
      <x:c r="J1217" s="13" t="str">
        <x:v>Лёгкое лазание A</x:v>
      </x:c>
      <x:c r="K1217" s="13" t="str">
        <x:v>3 очень лёгкие трассы 1–3 с постепенным увеличением сложности.</x:v>
      </x:c>
      <x:c r="L1217" s="13" t="str">
        <x:v>☐ Не начато</x:v>
      </x:c>
      <x:c r="M1217" s="13" t="str">
        <x:v>Опционально</x:v>
      </x:c>
      <x:c r="N1217" s="13" t="str">
        <x:v>RPE 2–4</x:v>
      </x:c>
      <x:c r="O1217" s="13" t="str"/>
      <x:c r="P1217" s="13" t="str">
        <x:v>milestone_05_efficiency_projecting/week_17_2026-12-28/07_SUNDAY.md</x:v>
      </x:c>
      <x:c r="Q1217" s="138" t="str">
        <x:v>Markdown</x:v>
      </x:c>
      <x:c r="R1217" s="20" t="str"/>
    </x:row>
    <x:row r="1218" ht="36" customHeight="1">
      <x:c r="A1218" s="19" t="str">
        <x:v>W17-20270103-1217</x:v>
      </x:c>
      <x:c r="B1218" s="13" t="n">
        <x:v>17</x:v>
      </x:c>
      <x:c r="C1218" s="13" t="str">
        <x:v>Этап 5 — Эффективность движения и работа над проектом</x:v>
      </x:c>
      <x:c r="D1218" s="138" t="str">
        <x:v>2027-01-03</x:v>
      </x:c>
      <x:c r="E1218" s="13" t="str">
        <x:v>Воскресенье</x:v>
      </x:c>
      <x:c r="F1218" s="13" t="str">
        <x:v>Тренировка C — fun / опционально</x:v>
      </x:c>
      <x:c r="G1218" s="44" t="n">
        <x:v>0.013888888888888888</x:v>
      </x:c>
      <x:c r="H1218" s="44" t="n">
        <x:v>0.020833333333333332</x:v>
      </x:c>
      <x:c r="I1218" s="32" t="n">
        <x:f>ROUND((H1218-G1218)*1440,0)</x:f>
        <x:v>10</x:v>
      </x:c>
      <x:c r="J1218" s="13" t="str">
        <x:v>Технический праймер A</x:v>
      </x:c>
      <x:c r="K1218" s="13" t="str">
        <x:v>На одной лёгкой трассе дважды повтори «Контролируемый deadpoint». Критерий: Минимальная динамика делает движение легче, а ловля остаётся тихой и контролируемой.</x:v>
      </x:c>
      <x:c r="L1218" s="13" t="str">
        <x:v>☐ Не начато</x:v>
      </x:c>
      <x:c r="M1218" s="13" t="str">
        <x:v>Опционально</x:v>
      </x:c>
      <x:c r="N1218" s="13" t="str">
        <x:v>RPE 3–4</x:v>
      </x:c>
      <x:c r="O1218" s="13" t="str">
        <x:v>Большие dyno, кампус и жёсткие ловли исключены.</x:v>
      </x:c>
      <x:c r="P1218" s="13" t="str">
        <x:v>milestone_05_efficiency_projecting/week_17_2026-12-28/07_SUNDAY.md</x:v>
      </x:c>
      <x:c r="Q1218" s="138" t="str">
        <x:v>Markdown</x:v>
      </x:c>
      <x:c r="R1218" s="20" t="str"/>
    </x:row>
    <x:row r="1219" ht="36" customHeight="1">
      <x:c r="A1219" s="19" t="str">
        <x:v>W17-20270103-1218</x:v>
      </x:c>
      <x:c r="B1219" s="13" t="n">
        <x:v>17</x:v>
      </x:c>
      <x:c r="C1219" s="13" t="str">
        <x:v>Этап 5 — Эффективность движения и работа над проектом</x:v>
      </x:c>
      <x:c r="D1219" s="138" t="str">
        <x:v>2027-01-03</x:v>
      </x:c>
      <x:c r="E1219" s="13" t="str">
        <x:v>Воскресенье</x:v>
      </x:c>
      <x:c r="F1219" s="13" t="str">
        <x:v>Тренировка C — fun / опционально</x:v>
      </x:c>
      <x:c r="G1219" s="44" t="n">
        <x:v>0.020833333333333332</x:v>
      </x:c>
      <x:c r="H1219" s="44" t="n">
        <x:v>0.03819444444444445</x:v>
      </x:c>
      <x:c r="I1219" s="32" t="n">
        <x:f>ROUND((H1219-G1219)*1440,0)</x:f>
        <x:v>25</x:v>
      </x:c>
      <x:c r="J1219" s="13" t="str">
        <x:v>Свободное лазание A</x:v>
      </x:c>
      <x:c r="K1219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219" s="13" t="str">
        <x:v>☐ Не начато</x:v>
      </x:c>
      <x:c r="M1219" s="13" t="str">
        <x:v>Опционально</x:v>
      </x:c>
      <x:c r="N1219" s="13" t="str">
        <x:v>RPE 4–7</x:v>
      </x:c>
      <x:c r="O1219" s="13" t="str">
        <x:v>Не превращать блок в круг на выносливость.</x:v>
      </x:c>
      <x:c r="P1219" s="13" t="str">
        <x:v>milestone_05_efficiency_projecting/week_17_2026-12-28/07_SUNDAY.md</x:v>
      </x:c>
      <x:c r="Q1219" s="138" t="str">
        <x:v>Markdown</x:v>
      </x:c>
      <x:c r="R1219" s="20" t="str"/>
    </x:row>
    <x:row r="1220" ht="36" customHeight="1">
      <x:c r="A1220" s="19" t="str">
        <x:v>W17-20270103-1219</x:v>
      </x:c>
      <x:c r="B1220" s="13" t="n">
        <x:v>17</x:v>
      </x:c>
      <x:c r="C1220" s="13" t="str">
        <x:v>Этап 5 — Эффективность движения и работа над проектом</x:v>
      </x:c>
      <x:c r="D1220" s="138" t="str">
        <x:v>2027-01-03</x:v>
      </x:c>
      <x:c r="E1220" s="13" t="str">
        <x:v>Воскресенье</x:v>
      </x:c>
      <x:c r="F1220" s="13" t="str">
        <x:v>Тренировка C — fun / опционально</x:v>
      </x:c>
      <x:c r="G1220" s="44" t="n">
        <x:v>0.03819444444444445</x:v>
      </x:c>
      <x:c r="H1220" s="44" t="n">
        <x:v>0.04583333333333333</x:v>
      </x:c>
      <x:c r="I1220" s="32" t="n">
        <x:f>ROUND((H1220-G1220)*1440,0)</x:f>
        <x:v>11</x:v>
      </x:c>
      <x:c r="J1220" s="13" t="str">
        <x:v>Свежая сложная попытка A</x:v>
      </x:c>
      <x:c r="K1220" s="13" t="str">
        <x:v>Только если всё зелёное: попробуй одну рабочую пятёрку или дружелюбную шестёрку по критериям недели — Пятёрка с безопасным deadpoint + основная шестёрка. Большие прыжки не нужны. Максимум 2 попытки, отдых 4 минуты.</x:v>
      </x:c>
      <x:c r="L1220" s="13" t="str">
        <x:v>☐ Не начато</x:v>
      </x:c>
      <x:c r="M1220" s="13" t="str">
        <x:v>Опционально</x:v>
      </x:c>
      <x:c r="N1220" s="13" t="str">
        <x:v>RPE 7–8, без отказа</x:v>
      </x:c>
      <x:c r="O1220" s="13" t="str">
        <x:v>Плечо: никакой жёсткой ловли, кампуса и dyno. Колено: контролируемые приземления, лучше спускаться.</x:v>
      </x:c>
      <x:c r="P1220" s="13" t="str">
        <x:v>milestone_05_efficiency_projecting/week_17_2026-12-28/07_SUNDAY.md</x:v>
      </x:c>
      <x:c r="Q1220" s="138" t="str">
        <x:v>Markdown</x:v>
      </x:c>
      <x:c r="R1220" s="20" t="str"/>
    </x:row>
    <x:row r="1221" ht="36" customHeight="1">
      <x:c r="A1221" s="19" t="str">
        <x:v>W17-20270103-1220</x:v>
      </x:c>
      <x:c r="B1221" s="13" t="n">
        <x:v>17</x:v>
      </x:c>
      <x:c r="C1221" s="13" t="str">
        <x:v>Этап 5 — Эффективность движения и работа над проектом</x:v>
      </x:c>
      <x:c r="D1221" s="138" t="str">
        <x:v>2027-01-03</x:v>
      </x:c>
      <x:c r="E1221" s="13" t="str">
        <x:v>Воскресенье</x:v>
      </x:c>
      <x:c r="F1221" s="13" t="str">
        <x:v>Тренировка C — fun / опционально</x:v>
      </x:c>
      <x:c r="G1221" s="44" t="n">
        <x:v>0.04583333333333333</x:v>
      </x:c>
      <x:c r="H1221" s="44" t="n">
        <x:v>0.05</x:v>
      </x:c>
      <x:c r="I1221" s="32" t="n">
        <x:f>ROUND((H1221-G1221)*1440,0)</x:f>
        <x:v>6</x:v>
      </x:c>
      <x:c r="J1221" s="13" t="str">
        <x:v>Лёгкий финал A</x:v>
      </x:c>
      <x:c r="K1221" s="13" t="str">
        <x:v>Одна любимая лёгкая трасса или спокойный спуск. Фингерборда и capacity-круга нет.</x:v>
      </x:c>
      <x:c r="L1221" s="13" t="str">
        <x:v>☐ Не начато</x:v>
      </x:c>
      <x:c r="M1221" s="13" t="str">
        <x:v>Опционально</x:v>
      </x:c>
      <x:c r="N1221" s="13" t="str">
        <x:v>RPE 2–3</x:v>
      </x:c>
      <x:c r="O1221" s="13" t="str"/>
      <x:c r="P1221" s="13" t="str">
        <x:v>milestone_05_efficiency_projecting/week_17_2026-12-28/07_SUNDAY.md</x:v>
      </x:c>
      <x:c r="Q1221" s="138" t="str">
        <x:v>Markdown</x:v>
      </x:c>
      <x:c r="R1221" s="20" t="str"/>
    </x:row>
    <x:row r="1222" ht="36" customHeight="1">
      <x:c r="A1222" s="19" t="str">
        <x:v>W17-20270103-1221</x:v>
      </x:c>
      <x:c r="B1222" s="13" t="n">
        <x:v>17</x:v>
      </x:c>
      <x:c r="C1222" s="13" t="str">
        <x:v>Этап 5 — Эффективность движения и работа над проектом</x:v>
      </x:c>
      <x:c r="D1222" s="138" t="str">
        <x:v>2027-01-03</x:v>
      </x:c>
      <x:c r="E1222" s="13" t="str">
        <x:v>Воскресенье</x:v>
      </x:c>
      <x:c r="F1222" s="13" t="str">
        <x:v>Тренировка C — fun / опционально</x:v>
      </x:c>
      <x:c r="G1222" s="44" t="n">
        <x:v>0.05</x:v>
      </x:c>
      <x:c r="H1222" s="44" t="n">
        <x:v>0.052083333333333336</x:v>
      </x:c>
      <x:c r="I1222" s="32" t="n">
        <x:f>ROUND((H1222-G1222)*1440,0)</x:f>
        <x:v>3</x:v>
      </x:c>
      <x:c r="J1222" s="13" t="str">
        <x:v>Журнал A</x:v>
      </x:c>
      <x:c r="K1222" s="13" t="str">
        <x:v>Запиши только 3 вещи: что было весело, один удачный технический момент, состояние пальцев после сессии.</x:v>
      </x:c>
      <x:c r="L1222" s="13" t="str">
        <x:v>☐ Не начато</x:v>
      </x:c>
      <x:c r="M1222" s="13" t="str">
        <x:v>Опционально</x:v>
      </x:c>
      <x:c r="N1222" s="13" t="str">
        <x:v>Без нагрузки</x:v>
      </x:c>
      <x:c r="O1222" s="13" t="str"/>
      <x:c r="P1222" s="13" t="str">
        <x:v>milestone_05_efficiency_projecting/week_17_2026-12-28/07_SUNDAY.md</x:v>
      </x:c>
      <x:c r="Q1222" s="138" t="str">
        <x:v>Markdown</x:v>
      </x:c>
      <x:c r="R1222" s="20" t="str"/>
    </x:row>
    <x:row r="1223" ht="36" customHeight="1">
      <x:c r="A1223" s="19" t="str">
        <x:v>W17-20270103-1222</x:v>
      </x:c>
      <x:c r="B1223" s="13" t="n">
        <x:v>17</x:v>
      </x:c>
      <x:c r="C1223" s="13" t="str">
        <x:v>Этап 5 — Эффективность движения и работа над проектом</x:v>
      </x:c>
      <x:c r="D1223" s="138" t="str">
        <x:v>2027-01-03</x:v>
      </x:c>
      <x:c r="E1223" s="13" t="str">
        <x:v>Воскресенье</x:v>
      </x:c>
      <x:c r="F1223" s="13" t="str">
        <x:v>Восстановление B — дома</x:v>
      </x:c>
      <x:c r="G1223" s="44" t="n">
        <x:v>0</x:v>
      </x:c>
      <x:c r="H1223" s="44" t="n">
        <x:v>0.010416666666666666</x:v>
      </x:c>
      <x:c r="I1223" s="32" t="n">
        <x:f>ROUND((H1223-G1223)*1440,0)</x:f>
        <x:v>15</x:v>
      </x:c>
      <x:c r="J1223" s="13" t="str">
        <x:v>Прогулка B</x:v>
      </x:c>
      <x:c r="K1223" s="13" t="str">
        <x:v>Если не идёшь в зал: 15 минут спокойной прогулки.</x:v>
      </x:c>
      <x:c r="L1223" s="13" t="str">
        <x:v>☐ Не начато</x:v>
      </x:c>
      <x:c r="M1223" s="13" t="str">
        <x:v>Опционально</x:v>
      </x:c>
      <x:c r="N1223" s="13" t="str">
        <x:v>RPE 1–2</x:v>
      </x:c>
      <x:c r="O1223" s="13" t="str"/>
      <x:c r="P1223" s="13" t="str">
        <x:v>milestone_05_efficiency_projecting/week_17_2026-12-28/07_SUNDAY.md</x:v>
      </x:c>
      <x:c r="Q1223" s="138" t="str">
        <x:v>Markdown</x:v>
      </x:c>
      <x:c r="R1223" s="20" t="str"/>
    </x:row>
    <x:row r="1224" ht="36" customHeight="1">
      <x:c r="A1224" s="19" t="str">
        <x:v>W17-20270103-1223</x:v>
      </x:c>
      <x:c r="B1224" s="13" t="n">
        <x:v>17</x:v>
      </x:c>
      <x:c r="C1224" s="13" t="str">
        <x:v>Этап 5 — Эффективность движения и работа над проектом</x:v>
      </x:c>
      <x:c r="D1224" s="138" t="str">
        <x:v>2027-01-03</x:v>
      </x:c>
      <x:c r="E1224" s="13" t="str">
        <x:v>Воскресенье</x:v>
      </x:c>
      <x:c r="F1224" s="13" t="str">
        <x:v>Восстановление B — дома</x:v>
      </x:c>
      <x:c r="G1224" s="44" t="n">
        <x:v>0.010416666666666666</x:v>
      </x:c>
      <x:c r="H1224" s="44" t="n">
        <x:v>0.015277777777777777</x:v>
      </x:c>
      <x:c r="I1224" s="32" t="n">
        <x:f>ROUND((H1224-G1224)*1440,0)</x:f>
        <x:v>7</x:v>
      </x:c>
      <x:c r="J1224" s="13" t="str">
        <x:v>Визуализация B</x:v>
      </x:c>
      <x:c r="K1224" s="13" t="str">
        <x:v>7 минут: мысленно повтори тему недели «Контролируемый deadpoint» и одну трассу четверга.</x:v>
      </x:c>
      <x:c r="L1224" s="13" t="str">
        <x:v>☐ Не начато</x:v>
      </x:c>
      <x:c r="M1224" s="13" t="str">
        <x:v>Опционально</x:v>
      </x:c>
      <x:c r="N1224" s="13" t="str">
        <x:v>Без нагрузки</x:v>
      </x:c>
      <x:c r="O1224" s="13" t="str"/>
      <x:c r="P1224" s="13" t="str">
        <x:v>milestone_05_efficiency_projecting/week_17_2026-12-28/07_SUNDAY.md</x:v>
      </x:c>
      <x:c r="Q1224" s="138" t="str">
        <x:v>Markdown</x:v>
      </x:c>
      <x:c r="R1224" s="20" t="str"/>
    </x:row>
    <x:row r="1225" ht="36" customHeight="1">
      <x:c r="A1225" s="19" t="str">
        <x:v>W17-20270103-1224</x:v>
      </x:c>
      <x:c r="B1225" s="13" t="n">
        <x:v>17</x:v>
      </x:c>
      <x:c r="C1225" s="13" t="str">
        <x:v>Этап 5 — Эффективность движения и работа над проектом</x:v>
      </x:c>
      <x:c r="D1225" s="138" t="str">
        <x:v>2027-01-03</x:v>
      </x:c>
      <x:c r="E1225" s="13" t="str">
        <x:v>Воскресенье</x:v>
      </x:c>
      <x:c r="F1225" s="13" t="str">
        <x:v>Восстановление B — дома</x:v>
      </x:c>
      <x:c r="G1225" s="44" t="n">
        <x:v>0.015277777777777777</x:v>
      </x:c>
      <x:c r="H1225" s="44" t="n">
        <x:v>0.017361111111111112</x:v>
      </x:c>
      <x:c r="I1225" s="32" t="n">
        <x:f>ROUND((H1225-G1225)*1440,0)</x:f>
        <x:v>3</x:v>
      </x:c>
      <x:c r="J1225" s="13" t="str">
        <x:v>Итог недели B</x:v>
      </x:c>
      <x:c r="K1225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225" s="13" t="str">
        <x:v>☐ Не начато</x:v>
      </x:c>
      <x:c r="M1225" s="13" t="str">
        <x:v>Опционально</x:v>
      </x:c>
      <x:c r="N1225" s="13" t="str">
        <x:v>Без нагрузки</x:v>
      </x:c>
      <x:c r="O1225" s="13" t="str"/>
      <x:c r="P1225" s="13" t="str">
        <x:v>milestone_05_efficiency_projecting/week_17_2026-12-28/07_SUNDAY.md</x:v>
      </x:c>
      <x:c r="Q1225" s="138" t="str">
        <x:v>Markdown</x:v>
      </x:c>
      <x:c r="R1225" s="20" t="str"/>
    </x:row>
    <x:row r="1226" ht="36" customHeight="1">
      <x:c r="A1226" s="19" t="str">
        <x:v>W18-20270104-1225</x:v>
      </x:c>
      <x:c r="B1226" s="13" t="n">
        <x:v>18</x:v>
      </x:c>
      <x:c r="C1226" s="13" t="str">
        <x:v>Этап 5 — Эффективность движения и работа над проектом</x:v>
      </x:c>
      <x:c r="D1226" s="138" t="str">
        <x:v>2027-01-04</x:v>
      </x:c>
      <x:c r="E1226" s="13" t="str">
        <x:v>Понедельник</x:v>
      </x:c>
      <x:c r="F1226" s="13" t="str">
        <x:v>Дом / теория</x:v>
      </x:c>
      <x:c r="G1226" s="44" t="n">
        <x:v>0</x:v>
      </x:c>
      <x:c r="H1226" s="44" t="n">
        <x:v>0.0020833333333333333</x:v>
      </x:c>
      <x:c r="I1226" s="32" t="n">
        <x:f>ROUND((H1226-G1226)*1440,0)</x:f>
        <x:v>3</x:v>
      </x:c>
      <x:c r="J1226" s="13" t="str">
        <x:v>Самопроверка</x:v>
      </x:c>
      <x:c r="K1226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226" s="13" t="str">
        <x:v>☐ Не начато</x:v>
      </x:c>
      <x:c r="M1226" s="13" t="str">
        <x:v>Обязательно</x:v>
      </x:c>
      <x:c r="N1226" s="13" t="str">
        <x:v>Очень легко</x:v>
      </x:c>
      <x:c r="O1226" s="13" t="str">
        <x:v>Не диагностируй травму самостоятельно; используй правила из документа безопасности.</x:v>
      </x:c>
      <x:c r="P1226" s="13" t="str">
        <x:v>milestone_05_efficiency_projecting/week_18_2027-01-04/01_MONDAY.md</x:v>
      </x:c>
      <x:c r="Q1226" s="138" t="str">
        <x:v>Markdown</x:v>
      </x:c>
      <x:c r="R1226" s="20" t="str"/>
    </x:row>
    <x:row r="1227" ht="36" customHeight="1">
      <x:c r="A1227" s="19" t="str">
        <x:v>W18-20270104-1226</x:v>
      </x:c>
      <x:c r="B1227" s="13" t="n">
        <x:v>18</x:v>
      </x:c>
      <x:c r="C1227" s="13" t="str">
        <x:v>Этап 5 — Эффективность движения и работа над проектом</x:v>
      </x:c>
      <x:c r="D1227" s="138" t="str">
        <x:v>2027-01-04</x:v>
      </x:c>
      <x:c r="E1227" s="13" t="str">
        <x:v>Понедельник</x:v>
      </x:c>
      <x:c r="F1227" s="13" t="str">
        <x:v>Дом / теория</x:v>
      </x:c>
      <x:c r="G1227" s="44" t="n">
        <x:v>0.0020833333333333333</x:v>
      </x:c>
      <x:c r="H1227" s="44" t="n">
        <x:v>0.005555555555555556</x:v>
      </x:c>
      <x:c r="I1227" s="32" t="n">
        <x:f>ROUND((H1227-G1227)*1440,0)</x:f>
        <x:v>5</x:v>
      </x:c>
      <x:c r="J1227" s="13" t="str">
        <x:v>Планирование</x:v>
      </x:c>
      <x:c r="K1227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«На хороших позициях — прямые руки и два спокойных дыхания; на плохих — двигаться без лишней паузы.»</x:v>
      </x:c>
      <x:c r="L1227" s="13" t="str">
        <x:v>☐ Не начато</x:v>
      </x:c>
      <x:c r="M1227" s="13" t="str">
        <x:v>Обязательно</x:v>
      </x:c>
      <x:c r="N1227" s="13" t="str">
        <x:v>Без нагрузки</x:v>
      </x:c>
      <x:c r="O1227" s="13" t="str"/>
      <x:c r="P1227" s="13" t="str">
        <x:v>milestone_05_efficiency_projecting/week_18_2027-01-04/01_MONDAY.md</x:v>
      </x:c>
      <x:c r="Q1227" s="138" t="str">
        <x:v>Markdown</x:v>
      </x:c>
      <x:c r="R1227" s="20" t="str"/>
    </x:row>
    <x:row r="1228" ht="36" customHeight="1">
      <x:c r="A1228" s="19" t="str">
        <x:v>W18-20270104-1227</x:v>
      </x:c>
      <x:c r="B1228" s="13" t="n">
        <x:v>18</x:v>
      </x:c>
      <x:c r="C1228" s="13" t="str">
        <x:v>Этап 5 — Эффективность движения и работа над проектом</x:v>
      </x:c>
      <x:c r="D1228" s="138" t="str">
        <x:v>2027-01-04</x:v>
      </x:c>
      <x:c r="E1228" s="13" t="str">
        <x:v>Понедельник</x:v>
      </x:c>
      <x:c r="F1228" s="13" t="str">
        <x:v>Дом / теория</x:v>
      </x:c>
      <x:c r="G1228" s="44" t="n">
        <x:v>0.005555555555555556</x:v>
      </x:c>
      <x:c r="H1228" s="44" t="n">
        <x:v>0.011111111111111112</x:v>
      </x:c>
      <x:c r="I1228" s="32" t="n">
        <x:f>ROUND((H1228-G1228)*1440,0)</x:f>
        <x:v>8</x:v>
      </x:c>
      <x:c r="J1228" s="13" t="str">
        <x:v>Теория</x:v>
      </x:c>
      <x:c r="K1228" s="13" t="str">
        <x:v>Посмотри/прочитай [R05: BMC — Listening to your body when training for climbing](https://www.thebmc.co.uk/en/listening-to-your-body-when-training-for-climbing-video). Задача: Правила остановки, различие обычной усталости и тревожных ощущений.</x:v>
      </x:c>
      <x:c r="L1228" s="13" t="str">
        <x:v>☐ Не начато</x:v>
      </x:c>
      <x:c r="M1228" s="13" t="str">
        <x:v>Обязательно</x:v>
      </x:c>
      <x:c r="N1228" s="13" t="str">
        <x:v>Без нагрузки</x:v>
      </x:c>
      <x:c r="O1228" s="13" t="str"/>
      <x:c r="P1228" s="13" t="str">
        <x:v>milestone_05_efficiency_projecting/week_18_2027-01-04/01_MONDAY.md</x:v>
      </x:c>
      <x:c r="Q1228" s="138" t="str">
        <x:v>Markdown</x:v>
      </x:c>
      <x:c r="R1228" s="20" t="str"/>
    </x:row>
    <x:row r="1229" ht="36" customHeight="1">
      <x:c r="A1229" s="19" t="str">
        <x:v>W18-20270104-1228</x:v>
      </x:c>
      <x:c r="B1229" s="13" t="n">
        <x:v>18</x:v>
      </x:c>
      <x:c r="C1229" s="13" t="str">
        <x:v>Этап 5 — Эффективность движения и работа над проектом</x:v>
      </x:c>
      <x:c r="D1229" s="138" t="str">
        <x:v>2027-01-04</x:v>
      </x:c>
      <x:c r="E1229" s="13" t="str">
        <x:v>Понедельник</x:v>
      </x:c>
      <x:c r="F1229" s="13" t="str">
        <x:v>Дом / теория</x:v>
      </x:c>
      <x:c r="G1229" s="44" t="n">
        <x:v>0.011111111111111112</x:v>
      </x:c>
      <x:c r="H1229" s="44" t="n">
        <x:v>0.014583333333333334</x:v>
      </x:c>
      <x:c r="I1229" s="32" t="n">
        <x:f>ROUND((H1229-G1229)*1440,0)</x:f>
        <x:v>5</x:v>
      </x:c>
      <x:c r="J1229" s="13" t="str">
        <x:v>Конспект</x:v>
      </x:c>
      <x:c r="K1229" s="13" t="str">
        <x:v>Запиши ровно 3 пункта: (1) что делать ногами/тазом; (2) что не делать руками; (3) какой признак успеха проверишь на стене для темы «Темп, дыхание и отдых».</x:v>
      </x:c>
      <x:c r="L1229" s="13" t="str">
        <x:v>☐ Не начато</x:v>
      </x:c>
      <x:c r="M1229" s="13" t="str">
        <x:v>Обязательно</x:v>
      </x:c>
      <x:c r="N1229" s="13" t="str">
        <x:v>Без нагрузки</x:v>
      </x:c>
      <x:c r="O1229" s="13" t="str"/>
      <x:c r="P1229" s="13" t="str">
        <x:v>milestone_05_efficiency_projecting/week_18_2027-01-04/01_MONDAY.md</x:v>
      </x:c>
      <x:c r="Q1229" s="138" t="str">
        <x:v>Markdown</x:v>
      </x:c>
      <x:c r="R1229" s="20" t="str"/>
    </x:row>
    <x:row r="1230" ht="36" customHeight="1">
      <x:c r="A1230" s="19" t="str">
        <x:v>W18-20270104-1229</x:v>
      </x:c>
      <x:c r="B1230" s="13" t="n">
        <x:v>18</x:v>
      </x:c>
      <x:c r="C1230" s="13" t="str">
        <x:v>Этап 5 — Эффективность движения и работа над проектом</x:v>
      </x:c>
      <x:c r="D1230" s="138" t="str">
        <x:v>2027-01-04</x:v>
      </x:c>
      <x:c r="E1230" s="13" t="str">
        <x:v>Понедельник</x:v>
      </x:c>
      <x:c r="F1230" s="13" t="str">
        <x:v>Дом / теория</x:v>
      </x:c>
      <x:c r="G1230" s="44" t="n">
        <x:v>0.014583333333333334</x:v>
      </x:c>
      <x:c r="H1230" s="44" t="n">
        <x:v>0.022916666666666665</x:v>
      </x:c>
      <x:c r="I1230" s="32" t="n">
        <x:f>ROUND((H1230-G1230)*1440,0)</x:f>
        <x:v>12</x:v>
      </x:c>
      <x:c r="J1230" s="13" t="str">
        <x:v>Домашняя мобильность</x:v>
      </x:c>
      <x:c r="K1230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230" s="13" t="str">
        <x:v>☐ Не начато</x:v>
      </x:c>
      <x:c r="M1230" s="13" t="str">
        <x:v>Обязательно</x:v>
      </x:c>
      <x:c r="N1230" s="13" t="str">
        <x:v>RPE 2–3</x:v>
      </x:c>
      <x:c r="O1230" s="13" t="str">
        <x:v>Никаких скручиваний через боль. Плечом не отталкивайся от стены; касание только для равновесия.</x:v>
      </x:c>
      <x:c r="P1230" s="13" t="str">
        <x:v>milestone_05_efficiency_projecting/week_18_2027-01-04/01_MONDAY.md</x:v>
      </x:c>
      <x:c r="Q1230" s="138" t="str">
        <x:v>Markdown</x:v>
      </x:c>
      <x:c r="R1230" s="20" t="str"/>
    </x:row>
    <x:row r="1231" ht="36" customHeight="1">
      <x:c r="A1231" s="19" t="str">
        <x:v>W18-20270104-1230</x:v>
      </x:c>
      <x:c r="B1231" s="13" t="n">
        <x:v>18</x:v>
      </x:c>
      <x:c r="C1231" s="13" t="str">
        <x:v>Этап 5 — Эффективность движения и работа над проектом</x:v>
      </x:c>
      <x:c r="D1231" s="138" t="str">
        <x:v>2027-01-04</x:v>
      </x:c>
      <x:c r="E1231" s="13" t="str">
        <x:v>Понедельник</x:v>
      </x:c>
      <x:c r="F1231" s="13" t="str">
        <x:v>Дом / теория</x:v>
      </x:c>
      <x:c r="G1231" s="44" t="n">
        <x:v>0.022916666666666665</x:v>
      </x:c>
      <x:c r="H1231" s="44" t="n">
        <x:v>0.03680555555555556</x:v>
      </x:c>
      <x:c r="I1231" s="32" t="n">
        <x:f>ROUND((H1231-G1231)*1440,0)</x:f>
        <x:v>20</x:v>
      </x:c>
      <x:c r="J1231" s="13" t="str">
        <x:v>Физиотерапия</x:v>
      </x:c>
      <x:c r="K1231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231" s="13" t="str">
        <x:v>☐ Не начато</x:v>
      </x:c>
      <x:c r="M1231" s="13" t="str">
        <x:v>По назначению</x:v>
      </x:c>
      <x:c r="N1231" s="13" t="str">
        <x:v>По назначению физиотерапевта</x:v>
      </x:c>
      <x:c r="O1231" s="13" t="str">
        <x:v>Любые указания физиотерапевта имеют приоритет над этим планом.</x:v>
      </x:c>
      <x:c r="P1231" s="13" t="str">
        <x:v>milestone_05_efficiency_projecting/week_18_2027-01-04/01_MONDAY.md</x:v>
      </x:c>
      <x:c r="Q1231" s="138" t="str">
        <x:v>Markdown</x:v>
      </x:c>
      <x:c r="R1231" s="20" t="str"/>
    </x:row>
    <x:row r="1232" ht="36" customHeight="1">
      <x:c r="A1232" s="19" t="str">
        <x:v>W18-20270104-1231</x:v>
      </x:c>
      <x:c r="B1232" s="13" t="n">
        <x:v>18</x:v>
      </x:c>
      <x:c r="C1232" s="13" t="str">
        <x:v>Этап 5 — Эффективность движения и работа над проектом</x:v>
      </x:c>
      <x:c r="D1232" s="138" t="str">
        <x:v>2027-01-04</x:v>
      </x:c>
      <x:c r="E1232" s="13" t="str">
        <x:v>Понедельник</x:v>
      </x:c>
      <x:c r="F1232" s="13" t="str">
        <x:v>Дом / теория</x:v>
      </x:c>
      <x:c r="G1232" s="44" t="n">
        <x:v>0.03680555555555556</x:v>
      </x:c>
      <x:c r="H1232" s="44" t="n">
        <x:v>0.03888888888888889</x:v>
      </x:c>
      <x:c r="I1232" s="32" t="n">
        <x:f>ROUND((H1232-G1232)*1440,0)</x:f>
        <x:v>3</x:v>
      </x:c>
      <x:c r="J1232" s="13" t="str">
        <x:v>Подготовка</x:v>
      </x:c>
      <x:c r="K1232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232" s="13" t="str">
        <x:v>☐ Не начато</x:v>
      </x:c>
      <x:c r="M1232" s="13" t="str">
        <x:v>Обязательно</x:v>
      </x:c>
      <x:c r="N1232" s="13" t="str">
        <x:v>Без нагрузки</x:v>
      </x:c>
      <x:c r="O1232" s="13" t="str">
        <x:v>Кольца и турник — только в рамках программы физиотерапевта.</x:v>
      </x:c>
      <x:c r="P1232" s="13" t="str">
        <x:v>milestone_05_efficiency_projecting/week_18_2027-01-04/01_MONDAY.md</x:v>
      </x:c>
      <x:c r="Q1232" s="138" t="str">
        <x:v>Markdown</x:v>
      </x:c>
      <x:c r="R1232" s="20" t="str"/>
    </x:row>
    <x:row r="1233" ht="36" customHeight="1">
      <x:c r="A1233" s="19" t="str">
        <x:v>W18-20270105-1232</x:v>
      </x:c>
      <x:c r="B1233" s="13" t="n">
        <x:v>18</x:v>
      </x:c>
      <x:c r="C1233" s="13" t="str">
        <x:v>Этап 5 — Эффективность движения и работа над проектом</x:v>
      </x:c>
      <x:c r="D1233" s="138" t="str">
        <x:v>2027-01-05</x:v>
      </x:c>
      <x:c r="E1233" s="13" t="str">
        <x:v>Вторник</x:v>
      </x:c>
      <x:c r="F1233" s="13" t="str">
        <x:v>Тренировка A — техника/объём</x:v>
      </x:c>
      <x:c r="G1233" s="44" t="n">
        <x:v>0</x:v>
      </x:c>
      <x:c r="H1233" s="44" t="n">
        <x:v>0.0020833333333333333</x:v>
      </x:c>
      <x:c r="I1233" s="32" t="n">
        <x:f>ROUND((H1233-G1233)*1440,0)</x:f>
        <x:v>3</x:v>
      </x:c>
      <x:c r="J1233" s="13" t="str">
        <x:v>Самопроверка</x:v>
      </x:c>
      <x:c r="K123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233" s="13" t="str">
        <x:v>☐ Не начато</x:v>
      </x:c>
      <x:c r="M1233" s="13" t="str">
        <x:v>Обязательно</x:v>
      </x:c>
      <x:c r="N1233" s="13" t="str">
        <x:v>Без нагрузки</x:v>
      </x:c>
      <x:c r="O1233" s="13" t="str">
        <x:v>Красный флаг = не начинать пальцевую нагрузку.</x:v>
      </x:c>
      <x:c r="P1233" s="13" t="str">
        <x:v>milestone_05_efficiency_projecting/week_18_2027-01-04/02_TUESDAY.md</x:v>
      </x:c>
      <x:c r="Q1233" s="138" t="str">
        <x:v>Markdown</x:v>
      </x:c>
      <x:c r="R1233" s="20" t="str"/>
    </x:row>
    <x:row r="1234" ht="36" customHeight="1">
      <x:c r="A1234" s="19" t="str">
        <x:v>W18-20270105-1233</x:v>
      </x:c>
      <x:c r="B1234" s="13" t="n">
        <x:v>18</x:v>
      </x:c>
      <x:c r="C1234" s="13" t="str">
        <x:v>Этап 5 — Эффективность движения и работа над проектом</x:v>
      </x:c>
      <x:c r="D1234" s="138" t="str">
        <x:v>2027-01-05</x:v>
      </x:c>
      <x:c r="E1234" s="13" t="str">
        <x:v>Вторник</x:v>
      </x:c>
      <x:c r="F1234" s="13" t="str">
        <x:v>Тренировка A — техника/объём</x:v>
      </x:c>
      <x:c r="G1234" s="44" t="n">
        <x:v>0.0020833333333333333</x:v>
      </x:c>
      <x:c r="H1234" s="44" t="n">
        <x:v>0.005555555555555556</x:v>
      </x:c>
      <x:c r="I1234" s="32" t="n">
        <x:f>ROUND((H1234-G1234)*1440,0)</x:f>
        <x:v>5</x:v>
      </x:c>
      <x:c r="J1234" s="13" t="str">
        <x:v>Разминка</x:v>
      </x:c>
      <x:c r="K1234" s="13" t="str">
        <x:v>Подними температуру: быстрая ходьба, лестница или лёгкий велотренажёр 5 минут.</x:v>
      </x:c>
      <x:c r="L1234" s="13" t="str">
        <x:v>☐ Не начато</x:v>
      </x:c>
      <x:c r="M1234" s="13" t="str">
        <x:v>Обязательно</x:v>
      </x:c>
      <x:c r="N1234" s="13" t="str">
        <x:v>RPE 2–3</x:v>
      </x:c>
      <x:c r="O1234" s="13" t="str"/>
      <x:c r="P1234" s="13" t="str">
        <x:v>milestone_05_efficiency_projecting/week_18_2027-01-04/02_TUESDAY.md</x:v>
      </x:c>
      <x:c r="Q1234" s="138" t="str">
        <x:v>Markdown</x:v>
      </x:c>
      <x:c r="R1234" s="20" t="str"/>
    </x:row>
    <x:row r="1235" ht="36" customHeight="1">
      <x:c r="A1235" s="19" t="str">
        <x:v>W18-20270105-1234</x:v>
      </x:c>
      <x:c r="B1235" s="13" t="n">
        <x:v>18</x:v>
      </x:c>
      <x:c r="C1235" s="13" t="str">
        <x:v>Этап 5 — Эффективность движения и работа над проектом</x:v>
      </x:c>
      <x:c r="D1235" s="138" t="str">
        <x:v>2027-01-05</x:v>
      </x:c>
      <x:c r="E1235" s="13" t="str">
        <x:v>Вторник</x:v>
      </x:c>
      <x:c r="F1235" s="13" t="str">
        <x:v>Тренировка A — техника/объём</x:v>
      </x:c>
      <x:c r="G1235" s="44" t="n">
        <x:v>0.005555555555555556</x:v>
      </x:c>
      <x:c r="H1235" s="44" t="n">
        <x:v>0.009027777777777777</x:v>
      </x:c>
      <x:c r="I1235" s="32" t="n">
        <x:f>ROUND((H1235-G1235)*1440,0)</x:f>
        <x:v>5</x:v>
      </x:c>
      <x:c r="J1235" s="13" t="str">
        <x:v>Разминка</x:v>
      </x:c>
      <x:c r="K123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235" s="13" t="str">
        <x:v>☐ Не начато</x:v>
      </x:c>
      <x:c r="M1235" s="13" t="str">
        <x:v>Обязательно</x:v>
      </x:c>
      <x:c r="N1235" s="13" t="str">
        <x:v>Очень легко</x:v>
      </x:c>
      <x:c r="O1235" s="13" t="str">
        <x:v>Не делай press/отжимания и движения, которые раздражают плечо.</x:v>
      </x:c>
      <x:c r="P1235" s="13" t="str">
        <x:v>milestone_05_efficiency_projecting/week_18_2027-01-04/02_TUESDAY.md</x:v>
      </x:c>
      <x:c r="Q1235" s="138" t="str">
        <x:v>Markdown</x:v>
      </x:c>
      <x:c r="R1235" s="20" t="str"/>
    </x:row>
    <x:row r="1236" ht="36" customHeight="1">
      <x:c r="A1236" s="19" t="str">
        <x:v>W18-20270105-1235</x:v>
      </x:c>
      <x:c r="B1236" s="13" t="n">
        <x:v>18</x:v>
      </x:c>
      <x:c r="C1236" s="13" t="str">
        <x:v>Этап 5 — Эффективность движения и работа над проектом</x:v>
      </x:c>
      <x:c r="D1236" s="138" t="str">
        <x:v>2027-01-05</x:v>
      </x:c>
      <x:c r="E1236" s="13" t="str">
        <x:v>Вторник</x:v>
      </x:c>
      <x:c r="F1236" s="13" t="str">
        <x:v>Тренировка A — техника/объём</x:v>
      </x:c>
      <x:c r="G1236" s="44" t="n">
        <x:v>0.009027777777777777</x:v>
      </x:c>
      <x:c r="H1236" s="44" t="n">
        <x:v>0.011805555555555555</x:v>
      </x:c>
      <x:c r="I1236" s="32" t="n">
        <x:f>ROUND((H1236-G1236)*1440,0)</x:f>
        <x:v>4</x:v>
      </x:c>
      <x:c r="J1236" s="13" t="str">
        <x:v>Разминка пальцев</x:v>
      </x:c>
      <x:c r="K123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236" s="13" t="str">
        <x:v>☐ Не начато</x:v>
      </x:c>
      <x:c r="M1236" s="13" t="str">
        <x:v>Обязательно</x:v>
      </x:c>
      <x:c r="N1236" s="13" t="str">
        <x:v>Очень легко</x:v>
      </x:c>
      <x:c r="O1236" s="13" t="str"/>
      <x:c r="P1236" s="13" t="str">
        <x:v>milestone_05_efficiency_projecting/week_18_2027-01-04/02_TUESDAY.md</x:v>
      </x:c>
      <x:c r="Q1236" s="138" t="str">
        <x:v>Markdown</x:v>
      </x:c>
      <x:c r="R1236" s="20" t="str"/>
    </x:row>
    <x:row r="1237" ht="36" customHeight="1">
      <x:c r="A1237" s="19" t="str">
        <x:v>W18-20270105-1236</x:v>
      </x:c>
      <x:c r="B1237" s="13" t="n">
        <x:v>18</x:v>
      </x:c>
      <x:c r="C1237" s="13" t="str">
        <x:v>Этап 5 — Эффективность движения и работа над проектом</x:v>
      </x:c>
      <x:c r="D1237" s="138" t="str">
        <x:v>2027-01-05</x:v>
      </x:c>
      <x:c r="E1237" s="13" t="str">
        <x:v>Вторник</x:v>
      </x:c>
      <x:c r="F1237" s="13" t="str">
        <x:v>Тренировка A — техника/объём</x:v>
      </x:c>
      <x:c r="G1237" s="44" t="n">
        <x:v>0.011805555555555555</x:v>
      </x:c>
      <x:c r="H1237" s="44" t="n">
        <x:v>0.014583333333333334</x:v>
      </x:c>
      <x:c r="I1237" s="32" t="n">
        <x:f>ROUND((H1237-G1237)*1440,0)</x:f>
        <x:v>4</x:v>
      </x:c>
      <x:c r="J1237" s="13" t="str">
        <x:v>Разминочное лазание</x:v>
      </x:c>
      <x:c r="K1237" s="13" t="str">
        <x:v>Пройди 2 очень лёгкие трассы уровня 1–2; двигайся медленно, спускайся по зацепам.</x:v>
      </x:c>
      <x:c r="L1237" s="13" t="str">
        <x:v>☐ Не начато</x:v>
      </x:c>
      <x:c r="M1237" s="13" t="str">
        <x:v>Обязательно</x:v>
      </x:c>
      <x:c r="N1237" s="13" t="str">
        <x:v>RPE 2–3</x:v>
      </x:c>
      <x:c r="O1237" s="13" t="str">
        <x:v>Финиш с обязательным болезненным mantle/press пропусти.</x:v>
      </x:c>
      <x:c r="P1237" s="13" t="str">
        <x:v>milestone_05_efficiency_projecting/week_18_2027-01-04/02_TUESDAY.md</x:v>
      </x:c>
      <x:c r="Q1237" s="138" t="str">
        <x:v>Markdown</x:v>
      </x:c>
      <x:c r="R1237" s="20" t="str"/>
    </x:row>
    <x:row r="1238" ht="36" customHeight="1">
      <x:c r="A1238" s="19" t="str">
        <x:v>W18-20270105-1237</x:v>
      </x:c>
      <x:c r="B1238" s="13" t="n">
        <x:v>18</x:v>
      </x:c>
      <x:c r="C1238" s="13" t="str">
        <x:v>Этап 5 — Эффективность движения и работа над проектом</x:v>
      </x:c>
      <x:c r="D1238" s="138" t="str">
        <x:v>2027-01-05</x:v>
      </x:c>
      <x:c r="E1238" s="13" t="str">
        <x:v>Вторник</x:v>
      </x:c>
      <x:c r="F1238" s="13" t="str">
        <x:v>Тренировка A — техника/объём</x:v>
      </x:c>
      <x:c r="G1238" s="44" t="n">
        <x:v>0.014583333333333334</x:v>
      </x:c>
      <x:c r="H1238" s="44" t="n">
        <x:v>0.017361111111111112</x:v>
      </x:c>
      <x:c r="I1238" s="32" t="n">
        <x:f>ROUND((H1238-G1238)*1440,0)</x:f>
        <x:v>4</x:v>
      </x:c>
      <x:c r="J1238" s="13" t="str">
        <x:v>Разминочное лазание</x:v>
      </x:c>
      <x:c r="K1238" s="13" t="str">
        <x:v>Пройди 2 трассы уровня 2–3, затем сделай 2–3 движения на комфортной четвёрке. Между ними 45–60 секунд.</x:v>
      </x:c>
      <x:c r="L1238" s="13" t="str">
        <x:v>☐ Не начато</x:v>
      </x:c>
      <x:c r="M1238" s="13" t="str">
        <x:v>Обязательно</x:v>
      </x:c>
      <x:c r="N1238" s="13" t="str">
        <x:v>RPE 3–4</x:v>
      </x:c>
      <x:c r="O1238" s="13" t="str">
        <x:v>Разминка не должна утомить пальцы.</x:v>
      </x:c>
      <x:c r="P1238" s="13" t="str">
        <x:v>milestone_05_efficiency_projecting/week_18_2027-01-04/02_TUESDAY.md</x:v>
      </x:c>
      <x:c r="Q1238" s="138" t="str">
        <x:v>Markdown</x:v>
      </x:c>
      <x:c r="R1238" s="20" t="str"/>
    </x:row>
    <x:row r="1239" ht="36" customHeight="1">
      <x:c r="A1239" s="19" t="str">
        <x:v>W18-20270105-1238</x:v>
      </x:c>
      <x:c r="B1239" s="13" t="n">
        <x:v>18</x:v>
      </x:c>
      <x:c r="C1239" s="13" t="str">
        <x:v>Этап 5 — Эффективность движения и работа над проектом</x:v>
      </x:c>
      <x:c r="D1239" s="138" t="str">
        <x:v>2027-01-05</x:v>
      </x:c>
      <x:c r="E1239" s="13" t="str">
        <x:v>Вторник</x:v>
      </x:c>
      <x:c r="F1239" s="13" t="str">
        <x:v>Тренировка A — техника/объём</x:v>
      </x:c>
      <x:c r="G1239" s="44" t="n">
        <x:v>0.017361111111111112</x:v>
      </x:c>
      <x:c r="H1239" s="44" t="n">
        <x:v>0.02013888888888889</x:v>
      </x:c>
      <x:c r="I1239" s="32" t="n">
        <x:f>ROUND((H1239-G1239)*1440,0)</x:f>
        <x:v>4</x:v>
      </x:c>
      <x:c r="J1239" s="13" t="str">
        <x:v>Выбор трасс</x:v>
      </x:c>
      <x:c r="K1239" s="13" t="str">
        <x:v>Найди трассы для упражнения: 3 лёгкие трассы: первую слишком медленно, вторую слишком быстро, третью — оптимальным темпом.</x:v>
      </x:c>
      <x:c r="L1239" s="13" t="str">
        <x:v>☐ Не начато</x:v>
      </x:c>
      <x:c r="M1239" s="13" t="str">
        <x:v>Обязательно</x:v>
      </x:c>
      <x:c r="N1239" s="13" t="str">
        <x:v>Без нагрузки</x:v>
      </x:c>
      <x:c r="O1239" s="13" t="str">
        <x:v>Не встряхивать руку в положении, где плечо неустойчиво. Не «досиживать» на плохом зацепе до отказа.</x:v>
      </x:c>
      <x:c r="P1239" s="13" t="str">
        <x:v>milestone_05_efficiency_projecting/week_18_2027-01-04/02_TUESDAY.md</x:v>
      </x:c>
      <x:c r="Q1239" s="138" t="str">
        <x:v>Markdown</x:v>
      </x:c>
      <x:c r="R1239" s="20" t="str"/>
    </x:row>
    <x:row r="1240" ht="36" customHeight="1">
      <x:c r="A1240" s="19" t="str">
        <x:v>W18-20270105-1239</x:v>
      </x:c>
      <x:c r="B1240" s="13" t="n">
        <x:v>18</x:v>
      </x:c>
      <x:c r="C1240" s="13" t="str">
        <x:v>Этап 5 — Эффективность движения и работа над проектом</x:v>
      </x:c>
      <x:c r="D1240" s="138" t="str">
        <x:v>2027-01-05</x:v>
      </x:c>
      <x:c r="E1240" s="13" t="str">
        <x:v>Вторник</x:v>
      </x:c>
      <x:c r="F1240" s="13" t="str">
        <x:v>Тренировка A — техника/объём</x:v>
      </x:c>
      <x:c r="G1240" s="44" t="n">
        <x:v>0.02013888888888889</x:v>
      </x:c>
      <x:c r="H1240" s="44" t="n">
        <x:v>0.03194444444444444</x:v>
      </x:c>
      <x:c r="I1240" s="32" t="n">
        <x:f>ROUND((H1240-G1240)*1440,0)</x:f>
        <x:v>17</x:v>
      </x:c>
      <x:c r="J1240" s="13" t="str">
        <x:v>Технический блок</x:v>
      </x:c>
      <x:c r="K1240" s="13" t="str">
        <x:v>Отработай «Темп, дыхание и отдых». Шаги: Первую лёгкую трассу пройди намеренно медленно. Вторую — непрерывно, но без спешки ног. На третьей выбери оптимальный темп.</x:v>
      </x:c>
      <x:c r="L1240" s="13" t="str">
        <x:v>☐ Не начато</x:v>
      </x:c>
      <x:c r="M1240" s="13" t="str">
        <x:v>Обязательно</x:v>
      </x:c>
      <x:c r="N1240" s="13" t="str">
        <x:v>RPE 3–5</x:v>
      </x:c>
      <x:c r="O1240" s="13" t="str">
        <x:v>Не встряхивать руку из неустойчивого плечевого положения.</x:v>
      </x:c>
      <x:c r="P1240" s="13" t="str">
        <x:v>milestone_05_efficiency_projecting/week_18_2027-01-04/02_TUESDAY.md</x:v>
      </x:c>
      <x:c r="Q1240" s="138" t="str">
        <x:v>Markdown</x:v>
      </x:c>
      <x:c r="R1240" s="20" t="str"/>
    </x:row>
    <x:row r="1241" ht="36" customHeight="1">
      <x:c r="A1241" s="19" t="str">
        <x:v>W18-20270105-1240</x:v>
      </x:c>
      <x:c r="B1241" s="13" t="n">
        <x:v>18</x:v>
      </x:c>
      <x:c r="C1241" s="13" t="str">
        <x:v>Этап 5 — Эффективность движения и работа над проектом</x:v>
      </x:c>
      <x:c r="D1241" s="138" t="str">
        <x:v>2027-01-05</x:v>
      </x:c>
      <x:c r="E1241" s="13" t="str">
        <x:v>Вторник</x:v>
      </x:c>
      <x:c r="F1241" s="13" t="str">
        <x:v>Тренировка A — техника/объём</x:v>
      </x:c>
      <x:c r="G1241" s="44" t="n">
        <x:v>0.03194444444444444</x:v>
      </x:c>
      <x:c r="H1241" s="44" t="n">
        <x:v>0.035416666666666666</x:v>
      </x:c>
      <x:c r="I1241" s="32" t="n">
        <x:f>ROUND((H1241-G1241)*1440,0)</x:f>
        <x:v>5</x:v>
      </x:c>
      <x:c r="J1241" s="13" t="str">
        <x:v>Обратная связь</x:v>
      </x:c>
      <x:c r="K1241" s="13" t="str">
        <x:v>Повтори лучшую лёгкую трассу и проверь критерий успеха: Ты знаешь, где пауза восстанавливает, а где только съедает хват.</x:v>
      </x:c>
      <x:c r="L1241" s="13" t="str">
        <x:v>☐ Не начато</x:v>
      </x:c>
      <x:c r="M1241" s="13" t="str">
        <x:v>Обязательно</x:v>
      </x:c>
      <x:c r="N1241" s="13" t="str">
        <x:v>RPE 4–5</x:v>
      </x:c>
      <x:c r="O1241" s="13" t="str"/>
      <x:c r="P1241" s="13" t="str">
        <x:v>milestone_05_efficiency_projecting/week_18_2027-01-04/02_TUESDAY.md</x:v>
      </x:c>
      <x:c r="Q1241" s="138" t="str">
        <x:v>Markdown</x:v>
      </x:c>
      <x:c r="R1241" s="20" t="str"/>
    </x:row>
    <x:row r="1242" ht="36" customHeight="1">
      <x:c r="A1242" s="19" t="str">
        <x:v>W18-20270105-1241</x:v>
      </x:c>
      <x:c r="B1242" s="13" t="n">
        <x:v>18</x:v>
      </x:c>
      <x:c r="C1242" s="13" t="str">
        <x:v>Этап 5 — Эффективность движения и работа над проектом</x:v>
      </x:c>
      <x:c r="D1242" s="138" t="str">
        <x:v>2027-01-05</x:v>
      </x:c>
      <x:c r="E1242" s="13" t="str">
        <x:v>Вторник</x:v>
      </x:c>
      <x:c r="F1242" s="13" t="str">
        <x:v>Тренировка A — техника/объём</x:v>
      </x:c>
      <x:c r="G1242" s="44" t="n">
        <x:v>0.035416666666666666</x:v>
      </x:c>
      <x:c r="H1242" s="44" t="n">
        <x:v>0.04583333333333333</x:v>
      </x:c>
      <x:c r="I1242" s="32" t="n">
        <x:f>ROUND((H1242-G1242)*1440,0)</x:f>
        <x:v>15</x:v>
      </x:c>
      <x:c r="J1242" s="13" t="str">
        <x:v>Качественный объём</x:v>
      </x:c>
      <x:c r="K1242" s="13" t="str">
        <x:v>Попробуй 2–3 четвёрки, максимум 2 попытки на каждую, отдых 2:00. На неудаче назови техническую причину.</x:v>
      </x:c>
      <x:c r="L1242" s="13" t="str">
        <x:v>☐ Не начато</x:v>
      </x:c>
      <x:c r="M1242" s="13" t="str">
        <x:v>Обязательно</x:v>
      </x:c>
      <x:c r="N1242" s="13" t="str">
        <x:v>RPE 6–7</x:v>
      </x:c>
      <x:c r="O1242" s="13" t="str">
        <x:v>Не выбирать подряд три трассы на одинаково маленьких кромках.</x:v>
      </x:c>
      <x:c r="P1242" s="13" t="str">
        <x:v>milestone_05_efficiency_projecting/week_18_2027-01-04/02_TUESDAY.md</x:v>
      </x:c>
      <x:c r="Q1242" s="138" t="str">
        <x:v>Markdown</x:v>
      </x:c>
      <x:c r="R1242" s="20" t="str"/>
    </x:row>
    <x:row r="1243" ht="36" customHeight="1">
      <x:c r="A1243" s="19" t="str">
        <x:v>W18-20270105-1242</x:v>
      </x:c>
      <x:c r="B1243" s="13" t="n">
        <x:v>18</x:v>
      </x:c>
      <x:c r="C1243" s="13" t="str">
        <x:v>Этап 5 — Эффективность движения и работа над проектом</x:v>
      </x:c>
      <x:c r="D1243" s="138" t="str">
        <x:v>2027-01-05</x:v>
      </x:c>
      <x:c r="E1243" s="13" t="str">
        <x:v>Вторник</x:v>
      </x:c>
      <x:c r="F1243" s="13" t="str">
        <x:v>Тренировка A — техника/объём</x:v>
      </x:c>
      <x:c r="G1243" s="44" t="n">
        <x:v>0.04583333333333333</x:v>
      </x:c>
      <x:c r="H1243" s="44" t="n">
        <x:v>0.052083333333333336</x:v>
      </x:c>
      <x:c r="I1243" s="32" t="n">
        <x:f>ROUND((H1243-G1243)*1440,0)</x:f>
        <x:v>9</x:v>
      </x:c>
      <x:c r="J1243" s="13" t="str">
        <x:v>Рабочая пятёрка</x:v>
      </x:c>
      <x:c r="K1243" s="13" t="str">
        <x:v>Одна пятёрка, максимум 2 попытки, отдых 3:00. Цель — применить тему недели, а не обязательно закрыть.</x:v>
      </x:c>
      <x:c r="L1243" s="13" t="str">
        <x:v>☐ Не начато</x:v>
      </x:c>
      <x:c r="M1243" s="13" t="str">
        <x:v>Обязательно</x:v>
      </x:c>
      <x:c r="N1243" s="13" t="str">
        <x:v>RPE 7–8</x:v>
      </x:c>
      <x:c r="O1243" s="13" t="str">
        <x:v>Не встряхивать руку в положении, где плечо неустойчиво. Не «досиживать» на плохом зацепе до отказа.</x:v>
      </x:c>
      <x:c r="P1243" s="13" t="str">
        <x:v>milestone_05_efficiency_projecting/week_18_2027-01-04/02_TUESDAY.md</x:v>
      </x:c>
      <x:c r="Q1243" s="138" t="str">
        <x:v>Markdown</x:v>
      </x:c>
      <x:c r="R1243" s="20" t="str"/>
    </x:row>
    <x:row r="1244" ht="36" customHeight="1">
      <x:c r="A1244" s="19" t="str">
        <x:v>W18-20270105-1243</x:v>
      </x:c>
      <x:c r="B1244" s="13" t="n">
        <x:v>18</x:v>
      </x:c>
      <x:c r="C1244" s="13" t="str">
        <x:v>Этап 5 — Эффективность движения и работа над проектом</x:v>
      </x:c>
      <x:c r="D1244" s="138" t="str">
        <x:v>2027-01-05</x:v>
      </x:c>
      <x:c r="E1244" s="13" t="str">
        <x:v>Вторник</x:v>
      </x:c>
      <x:c r="F1244" s="13" t="str">
        <x:v>Тренировка A — техника/объём</x:v>
      </x:c>
      <x:c r="G1244" s="44" t="n">
        <x:v>0.052083333333333336</x:v>
      </x:c>
      <x:c r="H1244" s="44" t="n">
        <x:v>0.058333333333333334</x:v>
      </x:c>
      <x:c r="I1244" s="32" t="n">
        <x:f>ROUND((H1244-G1244)*1440,0)</x:f>
        <x:v>9</x:v>
      </x:c>
      <x:c r="J1244" s="13" t="str">
        <x:v>Лёгкая выносливость</x:v>
      </x:c>
      <x:c r="K1244" s="13" t="str">
        <x:v>Начни 3 раунда × 3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244" s="13" t="str">
        <x:v>☐ Не начато</x:v>
      </x:c>
      <x:c r="M1244" s="13" t="str">
        <x:v>Обязательно</x:v>
      </x:c>
      <x:c r="N1244" s="13" t="str">
        <x:v>Памп максимум 4/10</x:v>
      </x:c>
      <x:c r="O1244" s="13" t="str">
        <x:v>Остановиться при неточной постановке ног или разжимании пальцев.</x:v>
      </x:c>
      <x:c r="P1244" s="13" t="str">
        <x:v>milestone_05_efficiency_projecting/week_18_2027-01-04/02_TUESDAY.md</x:v>
      </x:c>
      <x:c r="Q1244" s="138" t="str">
        <x:v>Markdown</x:v>
      </x:c>
      <x:c r="R1244" s="20" t="str"/>
    </x:row>
    <x:row r="1245" ht="36" customHeight="1">
      <x:c r="A1245" s="19" t="str">
        <x:v>W18-20270105-1244</x:v>
      </x:c>
      <x:c r="B1245" s="13" t="n">
        <x:v>18</x:v>
      </x:c>
      <x:c r="C1245" s="13" t="str">
        <x:v>Этап 5 — Эффективность движения и работа над проектом</x:v>
      </x:c>
      <x:c r="D1245" s="138" t="str">
        <x:v>2027-01-05</x:v>
      </x:c>
      <x:c r="E1245" s="13" t="str">
        <x:v>Вторник</x:v>
      </x:c>
      <x:c r="F1245" s="13" t="str">
        <x:v>Тренировка A — техника/объём</x:v>
      </x:c>
      <x:c r="G1245" s="44" t="n">
        <x:v>0.058333333333333334</x:v>
      </x:c>
      <x:c r="H1245" s="44" t="n">
        <x:v>0.06041666666666667</x:v>
      </x:c>
      <x:c r="I1245" s="32" t="n">
        <x:f>ROUND((H1245-G1245)*1440,0)</x:f>
        <x:v>3</x:v>
      </x:c>
      <x:c r="J1245" s="13" t="str">
        <x:v>Завершение</x:v>
      </x:c>
      <x:c r="K1245" s="13" t="str">
        <x:v>Очень лёгкий спуск/ходьба и спокойное встряхивание кистей.</x:v>
      </x:c>
      <x:c r="L1245" s="13" t="str">
        <x:v>☐ Не начато</x:v>
      </x:c>
      <x:c r="M1245" s="13" t="str">
        <x:v>Обязательно</x:v>
      </x:c>
      <x:c r="N1245" s="13" t="str">
        <x:v>RPE 1–2</x:v>
      </x:c>
      <x:c r="O1245" s="13" t="str"/>
      <x:c r="P1245" s="13" t="str">
        <x:v>milestone_05_efficiency_projecting/week_18_2027-01-04/02_TUESDAY.md</x:v>
      </x:c>
      <x:c r="Q1245" s="138" t="str">
        <x:v>Markdown</x:v>
      </x:c>
      <x:c r="R1245" s="20" t="str"/>
    </x:row>
    <x:row r="1246" ht="36" customHeight="1">
      <x:c r="A1246" s="19" t="str">
        <x:v>W18-20270105-1245</x:v>
      </x:c>
      <x:c r="B1246" s="13" t="n">
        <x:v>18</x:v>
      </x:c>
      <x:c r="C1246" s="13" t="str">
        <x:v>Этап 5 — Эффективность движения и работа над проектом</x:v>
      </x:c>
      <x:c r="D1246" s="138" t="str">
        <x:v>2027-01-05</x:v>
      </x:c>
      <x:c r="E1246" s="13" t="str">
        <x:v>Вторник</x:v>
      </x:c>
      <x:c r="F1246" s="13" t="str">
        <x:v>Тренировка A — техника/объём</x:v>
      </x:c>
      <x:c r="G1246" s="44" t="n">
        <x:v>0.06041666666666667</x:v>
      </x:c>
      <x:c r="H1246" s="44" t="n">
        <x:v>0.0625</x:v>
      </x:c>
      <x:c r="I1246" s="32" t="n">
        <x:f>ROUND((H1246-G1246)*1440,0)</x:f>
        <x:v>3</x:v>
      </x:c>
      <x:c r="J1246" s="13" t="str">
        <x:v>Журнал</x:v>
      </x:c>
      <x:c r="K1246" s="13" t="str">
        <x:v>Запиши: Записать, где на трассе полезно остановиться, а где пауза только съедает хват. Также отметь минуту первой просадки хвата.</x:v>
      </x:c>
      <x:c r="L1246" s="13" t="str">
        <x:v>☐ Не начато</x:v>
      </x:c>
      <x:c r="M1246" s="13" t="str">
        <x:v>Обязательно</x:v>
      </x:c>
      <x:c r="N1246" s="13" t="str">
        <x:v>Без нагрузки</x:v>
      </x:c>
      <x:c r="O1246" s="13" t="str"/>
      <x:c r="P1246" s="13" t="str">
        <x:v>milestone_05_efficiency_projecting/week_18_2027-01-04/02_TUESDAY.md</x:v>
      </x:c>
      <x:c r="Q1246" s="138" t="str">
        <x:v>Markdown</x:v>
      </x:c>
      <x:c r="R1246" s="20" t="str"/>
    </x:row>
    <x:row r="1247" ht="36" customHeight="1">
      <x:c r="A1247" s="19" t="str">
        <x:v>W18-20270106-1246</x:v>
      </x:c>
      <x:c r="B1247" s="13" t="n">
        <x:v>18</x:v>
      </x:c>
      <x:c r="C1247" s="13" t="str">
        <x:v>Этап 5 — Эффективность движения и работа над проектом</x:v>
      </x:c>
      <x:c r="D1247" s="138" t="str">
        <x:v>2027-01-06</x:v>
      </x:c>
      <x:c r="E1247" s="13" t="str">
        <x:v>Среда</x:v>
      </x:c>
      <x:c r="F1247" s="13" t="str">
        <x:v>Восстановление / видео</x:v>
      </x:c>
      <x:c r="G1247" s="44" t="n">
        <x:v>0</x:v>
      </x:c>
      <x:c r="H1247" s="44" t="n">
        <x:v>0.006944444444444444</x:v>
      </x:c>
      <x:c r="I1247" s="32" t="n">
        <x:f>ROUND((H1247-G1247)*1440,0)</x:f>
        <x:v>10</x:v>
      </x:c>
      <x:c r="J1247" s="13" t="str">
        <x:v>Восстановление</x:v>
      </x:c>
      <x:c r="K1247" s="13" t="str">
        <x:v>10 минут спокойной ходьбы. Руки расслаблены; это не тренировка выносливости.</x:v>
      </x:c>
      <x:c r="L1247" s="13" t="str">
        <x:v>☐ Не начато</x:v>
      </x:c>
      <x:c r="M1247" s="13" t="str">
        <x:v>Обязательно</x:v>
      </x:c>
      <x:c r="N1247" s="13" t="str">
        <x:v>RPE 1–2</x:v>
      </x:c>
      <x:c r="O1247" s="13" t="str"/>
      <x:c r="P1247" s="13" t="str">
        <x:v>milestone_05_efficiency_projecting/week_18_2027-01-04/03_WEDNESDAY.md</x:v>
      </x:c>
      <x:c r="Q1247" s="138" t="str">
        <x:v>Markdown</x:v>
      </x:c>
      <x:c r="R1247" s="20" t="str"/>
    </x:row>
    <x:row r="1248" ht="36" customHeight="1">
      <x:c r="A1248" s="19" t="str">
        <x:v>W18-20270106-1247</x:v>
      </x:c>
      <x:c r="B1248" s="13" t="n">
        <x:v>18</x:v>
      </x:c>
      <x:c r="C1248" s="13" t="str">
        <x:v>Этап 5 — Эффективность движения и работа над проектом</x:v>
      </x:c>
      <x:c r="D1248" s="138" t="str">
        <x:v>2027-01-06</x:v>
      </x:c>
      <x:c r="E1248" s="13" t="str">
        <x:v>Среда</x:v>
      </x:c>
      <x:c r="F1248" s="13" t="str">
        <x:v>Восстановление / видео</x:v>
      </x:c>
      <x:c r="G1248" s="44" t="n">
        <x:v>0.006944444444444444</x:v>
      </x:c>
      <x:c r="H1248" s="44" t="n">
        <x:v>0.009027777777777777</x:v>
      </x:c>
      <x:c r="I1248" s="32" t="n">
        <x:f>ROUND((H1248-G1248)*1440,0)</x:f>
        <x:v>3</x:v>
      </x:c>
      <x:c r="J1248" s="13" t="str">
        <x:v>Самопроверка</x:v>
      </x:c>
      <x:c r="K1248" s="13" t="str">
        <x:v>Оцени реакцию после вторника: плечо, пальцы, правое колено 0–10. Запиши, что изменилось относительно вчерашнего утра.</x:v>
      </x:c>
      <x:c r="L1248" s="13" t="str">
        <x:v>☐ Не начато</x:v>
      </x:c>
      <x:c r="M1248" s="13" t="str">
        <x:v>Обязательно</x:v>
      </x:c>
      <x:c r="N1248" s="13" t="str">
        <x:v>Без нагрузки</x:v>
      </x:c>
      <x:c r="O1248" s="13" t="str">
        <x:v>Острая локальная боль пальца или ухудшение плеча = не делать четверговую пальцевую нагрузку.</x:v>
      </x:c>
      <x:c r="P1248" s="13" t="str">
        <x:v>milestone_05_efficiency_projecting/week_18_2027-01-04/03_WEDNESDAY.md</x:v>
      </x:c>
      <x:c r="Q1248" s="138" t="str">
        <x:v>Markdown</x:v>
      </x:c>
      <x:c r="R1248" s="20" t="str"/>
    </x:row>
    <x:row r="1249" ht="36" customHeight="1">
      <x:c r="A1249" s="19" t="str">
        <x:v>W18-20270106-1248</x:v>
      </x:c>
      <x:c r="B1249" s="13" t="n">
        <x:v>18</x:v>
      </x:c>
      <x:c r="C1249" s="13" t="str">
        <x:v>Этап 5 — Эффективность движения и работа над проектом</x:v>
      </x:c>
      <x:c r="D1249" s="138" t="str">
        <x:v>2027-01-06</x:v>
      </x:c>
      <x:c r="E1249" s="13" t="str">
        <x:v>Среда</x:v>
      </x:c>
      <x:c r="F1249" s="13" t="str">
        <x:v>Восстановление / видео</x:v>
      </x:c>
      <x:c r="G1249" s="44" t="n">
        <x:v>0.009027777777777777</x:v>
      </x:c>
      <x:c r="H1249" s="44" t="n">
        <x:v>0.01597222222222222</x:v>
      </x:c>
      <x:c r="I1249" s="32" t="n">
        <x:f>ROUND((H1249-G1249)*1440,0)</x:f>
        <x:v>10</x:v>
      </x:c>
      <x:c r="J1249" s="13" t="str">
        <x:v>Видеоразбор</x:v>
      </x:c>
      <x:c r="K1249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249" s="13" t="str">
        <x:v>☐ Не начато</x:v>
      </x:c>
      <x:c r="M1249" s="13" t="str">
        <x:v>Обязательно</x:v>
      </x:c>
      <x:c r="N1249" s="13" t="str">
        <x:v>Без нагрузки</x:v>
      </x:c>
      <x:c r="O1249" s="13" t="str"/>
      <x:c r="P1249" s="13" t="str">
        <x:v>milestone_05_efficiency_projecting/week_18_2027-01-04/03_WEDNESDAY.md</x:v>
      </x:c>
      <x:c r="Q1249" s="138" t="str">
        <x:v>Markdown</x:v>
      </x:c>
      <x:c r="R1249" s="20" t="str"/>
    </x:row>
    <x:row r="1250" ht="36" customHeight="1">
      <x:c r="A1250" s="19" t="str">
        <x:v>W18-20270106-1249</x:v>
      </x:c>
      <x:c r="B1250" s="13" t="n">
        <x:v>18</x:v>
      </x:c>
      <x:c r="C1250" s="13" t="str">
        <x:v>Этап 5 — Эффективность движения и работа над проектом</x:v>
      </x:c>
      <x:c r="D1250" s="138" t="str">
        <x:v>2027-01-06</x:v>
      </x:c>
      <x:c r="E1250" s="13" t="str">
        <x:v>Среда</x:v>
      </x:c>
      <x:c r="F1250" s="13" t="str">
        <x:v>Восстановление / видео</x:v>
      </x:c>
      <x:c r="G1250" s="44" t="n">
        <x:v>0.01597222222222222</x:v>
      </x:c>
      <x:c r="H1250" s="44" t="n">
        <x:v>0.01875</x:v>
      </x:c>
      <x:c r="I1250" s="32" t="n">
        <x:f>ROUND((H1250-G1250)*1440,0)</x:f>
        <x:v>4</x:v>
      </x:c>
      <x:c r="J1250" s="13" t="str">
        <x:v>Конспект</x:v>
      </x:c>
      <x:c r="K1250" s="13" t="str">
        <x:v>Запиши одну правку на четверг в формате «В следующей попытке я…». Используй cue: «На хороших позициях — прямые руки и два спокойных дыхания; на плохих — двигаться без лишней паузы.».</x:v>
      </x:c>
      <x:c r="L1250" s="13" t="str">
        <x:v>☐ Не начато</x:v>
      </x:c>
      <x:c r="M1250" s="13" t="str">
        <x:v>Обязательно</x:v>
      </x:c>
      <x:c r="N1250" s="13" t="str">
        <x:v>Без нагрузки</x:v>
      </x:c>
      <x:c r="O1250" s="13" t="str"/>
      <x:c r="P1250" s="13" t="str">
        <x:v>milestone_05_efficiency_projecting/week_18_2027-01-04/03_WEDNESDAY.md</x:v>
      </x:c>
      <x:c r="Q1250" s="138" t="str">
        <x:v>Markdown</x:v>
      </x:c>
      <x:c r="R1250" s="20" t="str"/>
    </x:row>
    <x:row r="1251" ht="36" customHeight="1">
      <x:c r="A1251" s="19" t="str">
        <x:v>W18-20270106-1250</x:v>
      </x:c>
      <x:c r="B1251" s="13" t="n">
        <x:v>18</x:v>
      </x:c>
      <x:c r="C1251" s="13" t="str">
        <x:v>Этап 5 — Эффективность движения и работа над проектом</x:v>
      </x:c>
      <x:c r="D1251" s="138" t="str">
        <x:v>2027-01-06</x:v>
      </x:c>
      <x:c r="E1251" s="13" t="str">
        <x:v>Среда</x:v>
      </x:c>
      <x:c r="F1251" s="13" t="str">
        <x:v>Восстановление / видео</x:v>
      </x:c>
      <x:c r="G1251" s="44" t="n">
        <x:v>0.01875</x:v>
      </x:c>
      <x:c r="H1251" s="44" t="n">
        <x:v>0.027083333333333334</x:v>
      </x:c>
      <x:c r="I1251" s="32" t="n">
        <x:f>ROUND((H1251-G1251)*1440,0)</x:f>
        <x:v>12</x:v>
      </x:c>
      <x:c r="J1251" s="13" t="str">
        <x:v>Домашняя мобильность</x:v>
      </x:c>
      <x:c r="K1251" s="13" t="str">
        <x:v>Выполни комплекс H1 «База: таз, корпус и стопы», 12 минут. Ни турника, ни колец для дополнительного хвата.</x:v>
      </x:c>
      <x:c r="L1251" s="13" t="str">
        <x:v>☐ Не начато</x:v>
      </x:c>
      <x:c r="M1251" s="13" t="str">
        <x:v>Обязательно</x:v>
      </x:c>
      <x:c r="N1251" s="13" t="str">
        <x:v>RPE 2–3</x:v>
      </x:c>
      <x:c r="O1251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251" s="13" t="str">
        <x:v>milestone_05_efficiency_projecting/week_18_2027-01-04/03_WEDNESDAY.md</x:v>
      </x:c>
      <x:c r="Q1251" s="138" t="str">
        <x:v>Markdown</x:v>
      </x:c>
      <x:c r="R1251" s="20" t="str"/>
    </x:row>
    <x:row r="1252" ht="36" customHeight="1">
      <x:c r="A1252" s="19" t="str">
        <x:v>W18-20270106-1251</x:v>
      </x:c>
      <x:c r="B1252" s="13" t="n">
        <x:v>18</x:v>
      </x:c>
      <x:c r="C1252" s="13" t="str">
        <x:v>Этап 5 — Эффективность движения и работа над проектом</x:v>
      </x:c>
      <x:c r="D1252" s="138" t="str">
        <x:v>2027-01-06</x:v>
      </x:c>
      <x:c r="E1252" s="13" t="str">
        <x:v>Среда</x:v>
      </x:c>
      <x:c r="F1252" s="13" t="str">
        <x:v>Восстановление / видео</x:v>
      </x:c>
      <x:c r="G1252" s="44" t="n">
        <x:v>0.027083333333333334</x:v>
      </x:c>
      <x:c r="H1252" s="44" t="n">
        <x:v>0.04097222222222222</x:v>
      </x:c>
      <x:c r="I1252" s="32" t="n">
        <x:f>ROUND((H1252-G1252)*1440,0)</x:f>
        <x:v>20</x:v>
      </x:c>
      <x:c r="J1252" s="13" t="str">
        <x:v>Физиотерапия</x:v>
      </x:c>
      <x:c r="K1252" s="13" t="str">
        <x:v>Выполни свой назначенный физиотерапевтом комплекс, если среда входит в его расписание.</x:v>
      </x:c>
      <x:c r="L1252" s="13" t="str">
        <x:v>☐ Не начато</x:v>
      </x:c>
      <x:c r="M1252" s="13" t="str">
        <x:v>По назначению</x:v>
      </x:c>
      <x:c r="N1252" s="13" t="str">
        <x:v>По назначению</x:v>
      </x:c>
      <x:c r="O1252" s="13" t="str">
        <x:v>Назначения физиотерапевта имеют приоритет.</x:v>
      </x:c>
      <x:c r="P1252" s="13" t="str">
        <x:v>milestone_05_efficiency_projecting/week_18_2027-01-04/03_WEDNESDAY.md</x:v>
      </x:c>
      <x:c r="Q1252" s="138" t="str">
        <x:v>Markdown</x:v>
      </x:c>
      <x:c r="R1252" s="20" t="str"/>
    </x:row>
    <x:row r="1253" ht="36" customHeight="1">
      <x:c r="A1253" s="19" t="str">
        <x:v>W18-20270106-1252</x:v>
      </x:c>
      <x:c r="B1253" s="13" t="n">
        <x:v>18</x:v>
      </x:c>
      <x:c r="C1253" s="13" t="str">
        <x:v>Этап 5 — Эффективность движения и работа над проектом</x:v>
      </x:c>
      <x:c r="D1253" s="138" t="str">
        <x:v>2027-01-06</x:v>
      </x:c>
      <x:c r="E1253" s="13" t="str">
        <x:v>Среда</x:v>
      </x:c>
      <x:c r="F1253" s="13" t="str">
        <x:v>Восстановление / видео</x:v>
      </x:c>
      <x:c r="G1253" s="44" t="n">
        <x:v>0.04097222222222222</x:v>
      </x:c>
      <x:c r="H1253" s="44" t="n">
        <x:v>0.043055555555555555</x:v>
      </x:c>
      <x:c r="I1253" s="32" t="n">
        <x:f>ROUND((H1253-G1253)*1440,0)</x:f>
        <x:v>3</x:v>
      </x:c>
      <x:c r="J1253" s="13" t="str">
        <x:v>Запрет лишней нагрузки</x:v>
      </x:c>
      <x:c r="K1253" s="13" t="str">
        <x:v>Поставь отметку: сегодня не было висов, подтягиваний «на проверку», эспандера-сжимателя или тяжёлого ношения.</x:v>
      </x:c>
      <x:c r="L1253" s="13" t="str">
        <x:v>☐ Не начато</x:v>
      </x:c>
      <x:c r="M1253" s="13" t="str">
        <x:v>Обязательно</x:v>
      </x:c>
      <x:c r="N1253" s="13" t="str">
        <x:v>Восстановление</x:v>
      </x:c>
      <x:c r="O1253" s="13" t="str"/>
      <x:c r="P1253" s="13" t="str">
        <x:v>milestone_05_efficiency_projecting/week_18_2027-01-04/03_WEDNESDAY.md</x:v>
      </x:c>
      <x:c r="Q1253" s="138" t="str">
        <x:v>Markdown</x:v>
      </x:c>
      <x:c r="R1253" s="20" t="str"/>
    </x:row>
    <x:row r="1254" ht="36" customHeight="1">
      <x:c r="A1254" s="19" t="str">
        <x:v>W18-20270107-1253</x:v>
      </x:c>
      <x:c r="B1254" s="13" t="n">
        <x:v>18</x:v>
      </x:c>
      <x:c r="C1254" s="13" t="str">
        <x:v>Этап 5 — Эффективность движения и работа над проектом</x:v>
      </x:c>
      <x:c r="D1254" s="138" t="str">
        <x:v>2027-01-07</x:v>
      </x:c>
      <x:c r="E1254" s="13" t="str">
        <x:v>Четверг</x:v>
      </x:c>
      <x:c r="F1254" s="13" t="str">
        <x:v>Тренировка B — пальцы/проект</x:v>
      </x:c>
      <x:c r="G1254" s="44" t="n">
        <x:v>0</x:v>
      </x:c>
      <x:c r="H1254" s="44" t="n">
        <x:v>0.0020833333333333333</x:v>
      </x:c>
      <x:c r="I1254" s="32" t="n">
        <x:f>ROUND((H1254-G1254)*1440,0)</x:f>
        <x:v>3</x:v>
      </x:c>
      <x:c r="J1254" s="13" t="str">
        <x:v>Самопроверка</x:v>
      </x:c>
      <x:c r="K125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254" s="13" t="str">
        <x:v>☐ Не начато</x:v>
      </x:c>
      <x:c r="M1254" s="13" t="str">
        <x:v>Обязательно</x:v>
      </x:c>
      <x:c r="N1254" s="13" t="str">
        <x:v>Без нагрузки</x:v>
      </x:c>
      <x:c r="O1254" s="13" t="str">
        <x:v>Красный флаг = не начинать пальцевую нагрузку.</x:v>
      </x:c>
      <x:c r="P1254" s="13" t="str">
        <x:v>milestone_05_efficiency_projecting/week_18_2027-01-04/04_THURSDAY.md</x:v>
      </x:c>
      <x:c r="Q1254" s="138" t="str">
        <x:v>Markdown</x:v>
      </x:c>
      <x:c r="R1254" s="20" t="str"/>
    </x:row>
    <x:row r="1255" ht="36" customHeight="1">
      <x:c r="A1255" s="19" t="str">
        <x:v>W18-20270107-1254</x:v>
      </x:c>
      <x:c r="B1255" s="13" t="n">
        <x:v>18</x:v>
      </x:c>
      <x:c r="C1255" s="13" t="str">
        <x:v>Этап 5 — Эффективность движения и работа над проектом</x:v>
      </x:c>
      <x:c r="D1255" s="138" t="str">
        <x:v>2027-01-07</x:v>
      </x:c>
      <x:c r="E1255" s="13" t="str">
        <x:v>Четверг</x:v>
      </x:c>
      <x:c r="F1255" s="13" t="str">
        <x:v>Тренировка B — пальцы/проект</x:v>
      </x:c>
      <x:c r="G1255" s="44" t="n">
        <x:v>0.0020833333333333333</x:v>
      </x:c>
      <x:c r="H1255" s="44" t="n">
        <x:v>0.005555555555555556</x:v>
      </x:c>
      <x:c r="I1255" s="32" t="n">
        <x:f>ROUND((H1255-G1255)*1440,0)</x:f>
        <x:v>5</x:v>
      </x:c>
      <x:c r="J1255" s="13" t="str">
        <x:v>Разминка</x:v>
      </x:c>
      <x:c r="K1255" s="13" t="str">
        <x:v>Подними температуру: быстрая ходьба, лестница или лёгкий велотренажёр 5 минут.</x:v>
      </x:c>
      <x:c r="L1255" s="13" t="str">
        <x:v>☐ Не начато</x:v>
      </x:c>
      <x:c r="M1255" s="13" t="str">
        <x:v>Обязательно</x:v>
      </x:c>
      <x:c r="N1255" s="13" t="str">
        <x:v>RPE 2–3</x:v>
      </x:c>
      <x:c r="O1255" s="13" t="str"/>
      <x:c r="P1255" s="13" t="str">
        <x:v>milestone_05_efficiency_projecting/week_18_2027-01-04/04_THURSDAY.md</x:v>
      </x:c>
      <x:c r="Q1255" s="138" t="str">
        <x:v>Markdown</x:v>
      </x:c>
      <x:c r="R1255" s="20" t="str"/>
    </x:row>
    <x:row r="1256" ht="36" customHeight="1">
      <x:c r="A1256" s="19" t="str">
        <x:v>W18-20270107-1255</x:v>
      </x:c>
      <x:c r="B1256" s="13" t="n">
        <x:v>18</x:v>
      </x:c>
      <x:c r="C1256" s="13" t="str">
        <x:v>Этап 5 — Эффективность движения и работа над проектом</x:v>
      </x:c>
      <x:c r="D1256" s="138" t="str">
        <x:v>2027-01-07</x:v>
      </x:c>
      <x:c r="E1256" s="13" t="str">
        <x:v>Четверг</x:v>
      </x:c>
      <x:c r="F1256" s="13" t="str">
        <x:v>Тренировка B — пальцы/проект</x:v>
      </x:c>
      <x:c r="G1256" s="44" t="n">
        <x:v>0.005555555555555556</x:v>
      </x:c>
      <x:c r="H1256" s="44" t="n">
        <x:v>0.009027777777777777</x:v>
      </x:c>
      <x:c r="I1256" s="32" t="n">
        <x:f>ROUND((H1256-G1256)*1440,0)</x:f>
        <x:v>5</x:v>
      </x:c>
      <x:c r="J1256" s="13" t="str">
        <x:v>Разминка</x:v>
      </x:c>
      <x:c r="K125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256" s="13" t="str">
        <x:v>☐ Не начато</x:v>
      </x:c>
      <x:c r="M1256" s="13" t="str">
        <x:v>Обязательно</x:v>
      </x:c>
      <x:c r="N1256" s="13" t="str">
        <x:v>Очень легко</x:v>
      </x:c>
      <x:c r="O1256" s="13" t="str">
        <x:v>Не делай press/отжимания и движения, которые раздражают плечо.</x:v>
      </x:c>
      <x:c r="P1256" s="13" t="str">
        <x:v>milestone_05_efficiency_projecting/week_18_2027-01-04/04_THURSDAY.md</x:v>
      </x:c>
      <x:c r="Q1256" s="138" t="str">
        <x:v>Markdown</x:v>
      </x:c>
      <x:c r="R1256" s="20" t="str"/>
    </x:row>
    <x:row r="1257" ht="36" customHeight="1">
      <x:c r="A1257" s="19" t="str">
        <x:v>W18-20270107-1256</x:v>
      </x:c>
      <x:c r="B1257" s="13" t="n">
        <x:v>18</x:v>
      </x:c>
      <x:c r="C1257" s="13" t="str">
        <x:v>Этап 5 — Эффективность движения и работа над проектом</x:v>
      </x:c>
      <x:c r="D1257" s="138" t="str">
        <x:v>2027-01-07</x:v>
      </x:c>
      <x:c r="E1257" s="13" t="str">
        <x:v>Четверг</x:v>
      </x:c>
      <x:c r="F1257" s="13" t="str">
        <x:v>Тренировка B — пальцы/проект</x:v>
      </x:c>
      <x:c r="G1257" s="44" t="n">
        <x:v>0.009027777777777777</x:v>
      </x:c>
      <x:c r="H1257" s="44" t="n">
        <x:v>0.011805555555555555</x:v>
      </x:c>
      <x:c r="I1257" s="32" t="n">
        <x:f>ROUND((H1257-G1257)*1440,0)</x:f>
        <x:v>4</x:v>
      </x:c>
      <x:c r="J1257" s="13" t="str">
        <x:v>Разминка пальцев</x:v>
      </x:c>
      <x:c r="K125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257" s="13" t="str">
        <x:v>☐ Не начато</x:v>
      </x:c>
      <x:c r="M1257" s="13" t="str">
        <x:v>Обязательно</x:v>
      </x:c>
      <x:c r="N1257" s="13" t="str">
        <x:v>Очень легко</x:v>
      </x:c>
      <x:c r="O1257" s="13" t="str"/>
      <x:c r="P1257" s="13" t="str">
        <x:v>milestone_05_efficiency_projecting/week_18_2027-01-04/04_THURSDAY.md</x:v>
      </x:c>
      <x:c r="Q1257" s="138" t="str">
        <x:v>Markdown</x:v>
      </x:c>
      <x:c r="R1257" s="20" t="str"/>
    </x:row>
    <x:row r="1258" ht="36" customHeight="1">
      <x:c r="A1258" s="19" t="str">
        <x:v>W18-20270107-1257</x:v>
      </x:c>
      <x:c r="B1258" s="13" t="n">
        <x:v>18</x:v>
      </x:c>
      <x:c r="C1258" s="13" t="str">
        <x:v>Этап 5 — Эффективность движения и работа над проектом</x:v>
      </x:c>
      <x:c r="D1258" s="138" t="str">
        <x:v>2027-01-07</x:v>
      </x:c>
      <x:c r="E1258" s="13" t="str">
        <x:v>Четверг</x:v>
      </x:c>
      <x:c r="F1258" s="13" t="str">
        <x:v>Тренировка B — пальцы/проект</x:v>
      </x:c>
      <x:c r="G1258" s="44" t="n">
        <x:v>0.011805555555555555</x:v>
      </x:c>
      <x:c r="H1258" s="44" t="n">
        <x:v>0.014583333333333334</x:v>
      </x:c>
      <x:c r="I1258" s="32" t="n">
        <x:f>ROUND((H1258-G1258)*1440,0)</x:f>
        <x:v>4</x:v>
      </x:c>
      <x:c r="J1258" s="13" t="str">
        <x:v>Разминочное лазание</x:v>
      </x:c>
      <x:c r="K1258" s="13" t="str">
        <x:v>Пройди 2 очень лёгкие трассы уровня 1–2; двигайся медленно, спускайся по зацепам.</x:v>
      </x:c>
      <x:c r="L1258" s="13" t="str">
        <x:v>☐ Не начато</x:v>
      </x:c>
      <x:c r="M1258" s="13" t="str">
        <x:v>Обязательно</x:v>
      </x:c>
      <x:c r="N1258" s="13" t="str">
        <x:v>RPE 2–3</x:v>
      </x:c>
      <x:c r="O1258" s="13" t="str">
        <x:v>Финиш с обязательным болезненным mantle/press пропусти.</x:v>
      </x:c>
      <x:c r="P1258" s="13" t="str">
        <x:v>milestone_05_efficiency_projecting/week_18_2027-01-04/04_THURSDAY.md</x:v>
      </x:c>
      <x:c r="Q1258" s="138" t="str">
        <x:v>Markdown</x:v>
      </x:c>
      <x:c r="R1258" s="20" t="str"/>
    </x:row>
    <x:row r="1259" ht="36" customHeight="1">
      <x:c r="A1259" s="19" t="str">
        <x:v>W18-20270107-1258</x:v>
      </x:c>
      <x:c r="B1259" s="13" t="n">
        <x:v>18</x:v>
      </x:c>
      <x:c r="C1259" s="13" t="str">
        <x:v>Этап 5 — Эффективность движения и работа над проектом</x:v>
      </x:c>
      <x:c r="D1259" s="138" t="str">
        <x:v>2027-01-07</x:v>
      </x:c>
      <x:c r="E1259" s="13" t="str">
        <x:v>Четверг</x:v>
      </x:c>
      <x:c r="F1259" s="13" t="str">
        <x:v>Тренировка B — пальцы/проект</x:v>
      </x:c>
      <x:c r="G1259" s="44" t="n">
        <x:v>0.014583333333333334</x:v>
      </x:c>
      <x:c r="H1259" s="44" t="n">
        <x:v>0.017361111111111112</x:v>
      </x:c>
      <x:c r="I1259" s="32" t="n">
        <x:f>ROUND((H1259-G1259)*1440,0)</x:f>
        <x:v>4</x:v>
      </x:c>
      <x:c r="J1259" s="13" t="str">
        <x:v>Разминочное лазание</x:v>
      </x:c>
      <x:c r="K1259" s="13" t="str">
        <x:v>Пройди 2 трассы уровня 2–3, затем сделай 2–3 движения на комфортной четвёрке. Между ними 45–60 секунд.</x:v>
      </x:c>
      <x:c r="L1259" s="13" t="str">
        <x:v>☐ Не начато</x:v>
      </x:c>
      <x:c r="M1259" s="13" t="str">
        <x:v>Обязательно</x:v>
      </x:c>
      <x:c r="N1259" s="13" t="str">
        <x:v>RPE 3–4</x:v>
      </x:c>
      <x:c r="O1259" s="13" t="str">
        <x:v>Разминка не должна утомить пальцы.</x:v>
      </x:c>
      <x:c r="P1259" s="13" t="str">
        <x:v>milestone_05_efficiency_projecting/week_18_2027-01-04/04_THURSDAY.md</x:v>
      </x:c>
      <x:c r="Q1259" s="138" t="str">
        <x:v>Markdown</x:v>
      </x:c>
      <x:c r="R1259" s="20" t="str"/>
    </x:row>
    <x:row r="1260" ht="36" customHeight="1">
      <x:c r="A1260" s="19" t="str">
        <x:v>W18-20270107-1259</x:v>
      </x:c>
      <x:c r="B1260" s="13" t="n">
        <x:v>18</x:v>
      </x:c>
      <x:c r="C1260" s="13" t="str">
        <x:v>Этап 5 — Эффективность движения и работа над проектом</x:v>
      </x:c>
      <x:c r="D1260" s="138" t="str">
        <x:v>2027-01-07</x:v>
      </x:c>
      <x:c r="E1260" s="13" t="str">
        <x:v>Четверг</x:v>
      </x:c>
      <x:c r="F1260" s="13" t="str">
        <x:v>Тренировка B — пальцы/проект</x:v>
      </x:c>
      <x:c r="G1260" s="44" t="n">
        <x:v>0.017361111111111112</x:v>
      </x:c>
      <x:c r="H1260" s="44" t="n">
        <x:v>0.019444444444444445</x:v>
      </x:c>
      <x:c r="I1260" s="32" t="n">
        <x:f>ROUND((H1260-G1260)*1440,0)</x:f>
        <x:v>3</x:v>
      </x:c>
      <x:c r="J1260" s="13" t="str">
        <x:v>Фингерборд — готовность</x:v>
      </x:c>
      <x:c r="K1260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260" s="13" t="str">
        <x:v>☐ Не начато</x:v>
      </x:c>
      <x:c r="M1260" s="13" t="str">
        <x:v>Обязательно</x:v>
      </x:c>
      <x:c r="N1260" s="13" t="str">
        <x:v>Подготовка</x:v>
      </x:c>
      <x:c r="O1260" s="13" t="str">
        <x:v>Плечо полностью спокойно; full crimp, карманы, одна рука и допвес запрещены.</x:v>
      </x:c>
      <x:c r="P1260" s="13" t="str">
        <x:v>milestone_05_efficiency_projecting/week_18_2027-01-04/04_THURSDAY.md</x:v>
      </x:c>
      <x:c r="Q1260" s="138" t="str">
        <x:v>Markdown</x:v>
      </x:c>
      <x:c r="R1260" s="20" t="str"/>
    </x:row>
    <x:row r="1261" ht="36" customHeight="1">
      <x:c r="A1261" s="19" t="str">
        <x:v>W18-20270107-1260</x:v>
      </x:c>
      <x:c r="B1261" s="13" t="n">
        <x:v>18</x:v>
      </x:c>
      <x:c r="C1261" s="13" t="str">
        <x:v>Этап 5 — Эффективность движения и работа над проектом</x:v>
      </x:c>
      <x:c r="D1261" s="138" t="str">
        <x:v>2027-01-07</x:v>
      </x:c>
      <x:c r="E1261" s="13" t="str">
        <x:v>Четверг</x:v>
      </x:c>
      <x:c r="F1261" s="13" t="str">
        <x:v>Тренировка B — пальцы/проект</x:v>
      </x:c>
      <x:c r="G1261" s="44" t="n">
        <x:v>0.019444444444444445</x:v>
      </x:c>
      <x:c r="H1261" s="44" t="n">
        <x:v>0.029861111111111113</x:v>
      </x:c>
      <x:c r="I1261" s="32" t="n">
        <x:f>ROUND((H1261-G1261)*1440,0)</x:f>
        <x:v>15</x:v>
      </x:c>
      <x:c r="J1261" s="13" t="str">
        <x:v>Фингерборд</x:v>
      </x:c>
      <x:c r="K1261" s="13" t="str">
        <x:v>Выполни протокол: 6 × 10 сек, ноги помогают, RPE 7–8, отдых 2:30. Запусти таймер. Каждый вис прекращай с указанным запасом; форма кисти не меняется.</x:v>
      </x:c>
      <x:c r="L1261" s="13" t="str">
        <x:v>☐ Не начато</x:v>
      </x:c>
      <x:c r="M1261" s="13" t="str">
        <x:v>Обязательно</x:v>
      </x:c>
      <x:c r="N1261" s="13" t="str">
        <x:v>6 × 10 сек, ноги помогают, RPE 7–8, отдых 2:30</x:v>
      </x:c>
      <x:c r="O1261" s="13" t="str">
        <x:v>Острая боль, дрожь формы, падение RPE-контроля или боль плеча = закончить блок.</x:v>
      </x:c>
      <x:c r="P1261" s="13" t="str">
        <x:v>milestone_05_efficiency_projecting/week_18_2027-01-04/04_THURSDAY.md</x:v>
      </x:c>
      <x:c r="Q1261" s="138" t="str">
        <x:v>Markdown</x:v>
      </x:c>
      <x:c r="R1261" s="20" t="str"/>
    </x:row>
    <x:row r="1262" ht="36" customHeight="1">
      <x:c r="A1262" s="19" t="str">
        <x:v>W18-20270107-1261</x:v>
      </x:c>
      <x:c r="B1262" s="13" t="n">
        <x:v>18</x:v>
      </x:c>
      <x:c r="C1262" s="13" t="str">
        <x:v>Этап 5 — Эффективность движения и работа над проектом</x:v>
      </x:c>
      <x:c r="D1262" s="138" t="str">
        <x:v>2027-01-07</x:v>
      </x:c>
      <x:c r="E1262" s="13" t="str">
        <x:v>Четверг</x:v>
      </x:c>
      <x:c r="F1262" s="13" t="str">
        <x:v>Тренировка B — пальцы/проект</x:v>
      </x:c>
      <x:c r="G1262" s="44" t="n">
        <x:v>0.029861111111111113</x:v>
      </x:c>
      <x:c r="H1262" s="44" t="n">
        <x:v>0.03194444444444444</x:v>
      </x:c>
      <x:c r="I1262" s="32" t="n">
        <x:f>ROUND((H1262-G1262)*1440,0)</x:f>
        <x:v>3</x:v>
      </x:c>
      <x:c r="J1262" s="13" t="str">
        <x:v>Фингерборд — запись</x:v>
      </x:c>
      <x:c r="K1262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262" s="13" t="str">
        <x:v>☐ Не начато</x:v>
      </x:c>
      <x:c r="M1262" s="13" t="str">
        <x:v>Обязательно</x:v>
      </x:c>
      <x:c r="N1262" s="13" t="str">
        <x:v>Без нагрузки</x:v>
      </x:c>
      <x:c r="O1262" s="13" t="str"/>
      <x:c r="P1262" s="13" t="str">
        <x:v>milestone_05_efficiency_projecting/week_18_2027-01-04/04_THURSDAY.md</x:v>
      </x:c>
      <x:c r="Q1262" s="138" t="str">
        <x:v>Markdown</x:v>
      </x:c>
      <x:c r="R1262" s="20" t="str"/>
    </x:row>
    <x:row r="1263" ht="36" customHeight="1">
      <x:c r="A1263" s="19" t="str">
        <x:v>W18-20270107-1262</x:v>
      </x:c>
      <x:c r="B1263" s="13" t="n">
        <x:v>18</x:v>
      </x:c>
      <x:c r="C1263" s="13" t="str">
        <x:v>Этап 5 — Эффективность движения и работа над проектом</x:v>
      </x:c>
      <x:c r="D1263" s="138" t="str">
        <x:v>2027-01-07</x:v>
      </x:c>
      <x:c r="E1263" s="13" t="str">
        <x:v>Четверг</x:v>
      </x:c>
      <x:c r="F1263" s="13" t="str">
        <x:v>Тренировка B — пальцы/проект</x:v>
      </x:c>
      <x:c r="G1263" s="44" t="n">
        <x:v>0.03194444444444444</x:v>
      </x:c>
      <x:c r="H1263" s="44" t="n">
        <x:v>0.035416666666666666</x:v>
      </x:c>
      <x:c r="I1263" s="32" t="n">
        <x:f>ROUND((H1263-G1263)*1440,0)</x:f>
        <x:v>5</x:v>
      </x:c>
      <x:c r="J1263" s="13" t="str">
        <x:v>Отдых</x:v>
      </x:c>
      <x:c r="K1263" s="13" t="str">
        <x:v>5 минут полного отдыха: ходьба, вода, без лазания и без тестового виса.</x:v>
      </x:c>
      <x:c r="L1263" s="13" t="str">
        <x:v>☐ Не начато</x:v>
      </x:c>
      <x:c r="M1263" s="13" t="str">
        <x:v>Обязательно</x:v>
      </x:c>
      <x:c r="N1263" s="13" t="str">
        <x:v>Восстановление</x:v>
      </x:c>
      <x:c r="O1263" s="13" t="str"/>
      <x:c r="P1263" s="13" t="str">
        <x:v>milestone_05_efficiency_projecting/week_18_2027-01-04/04_THURSDAY.md</x:v>
      </x:c>
      <x:c r="Q1263" s="138" t="str">
        <x:v>Markdown</x:v>
      </x:c>
      <x:c r="R1263" s="20" t="str"/>
    </x:row>
    <x:row r="1264" ht="36" customHeight="1">
      <x:c r="A1264" s="19" t="str">
        <x:v>W18-20270107-1263</x:v>
      </x:c>
      <x:c r="B1264" s="13" t="n">
        <x:v>18</x:v>
      </x:c>
      <x:c r="C1264" s="13" t="str">
        <x:v>Этап 5 — Эффективность движения и работа над проектом</x:v>
      </x:c>
      <x:c r="D1264" s="138" t="str">
        <x:v>2027-01-07</x:v>
      </x:c>
      <x:c r="E1264" s="13" t="str">
        <x:v>Четверг</x:v>
      </x:c>
      <x:c r="F1264" s="13" t="str">
        <x:v>Тренировка B — пальцы/проект</x:v>
      </x:c>
      <x:c r="G1264" s="44" t="n">
        <x:v>0.035416666666666666</x:v>
      </x:c>
      <x:c r="H1264" s="44" t="n">
        <x:v>0.03819444444444445</x:v>
      </x:c>
      <x:c r="I1264" s="32" t="n">
        <x:f>ROUND((H1264-G1264)*1440,0)</x:f>
        <x:v>4</x:v>
      </x:c>
      <x:c r="J1264" s="13" t="str">
        <x:v>Выбор проекта</x:v>
      </x:c>
      <x:c r="K1264" s="13" t="str">
        <x:v>Выбери трассу по критериям недели: Основная шестёрка; использовать полный отдых 4–5 минут. Второй проект только если качество высокое.</x:v>
      </x:c>
      <x:c r="L1264" s="13" t="str">
        <x:v>☐ Не начато</x:v>
      </x:c>
      <x:c r="M1264" s="13" t="str">
        <x:v>Обязательно</x:v>
      </x:c>
      <x:c r="N1264" s="13" t="str">
        <x:v>Без нагрузки</x:v>
      </x:c>
      <x:c r="O1264" s="13" t="str">
        <x:v>Не встряхивать руку в положении, где плечо неустойчиво. Не «досиживать» на плохом зацепе до отказа.</x:v>
      </x:c>
      <x:c r="P1264" s="13" t="str">
        <x:v>milestone_05_efficiency_projecting/week_18_2027-01-04/04_THURSDAY.md</x:v>
      </x:c>
      <x:c r="Q1264" s="138" t="str">
        <x:v>Markdown</x:v>
      </x:c>
      <x:c r="R1264" s="20" t="str"/>
    </x:row>
    <x:row r="1265" ht="36" customHeight="1">
      <x:c r="A1265" s="19" t="str">
        <x:v>W18-20270107-1264</x:v>
      </x:c>
      <x:c r="B1265" s="13" t="n">
        <x:v>18</x:v>
      </x:c>
      <x:c r="C1265" s="13" t="str">
        <x:v>Этап 5 — Эффективность движения и работа над проектом</x:v>
      </x:c>
      <x:c r="D1265" s="138" t="str">
        <x:v>2027-01-07</x:v>
      </x:c>
      <x:c r="E1265" s="13" t="str">
        <x:v>Четверг</x:v>
      </x:c>
      <x:c r="F1265" s="13" t="str">
        <x:v>Тренировка B — пальцы/проект</x:v>
      </x:c>
      <x:c r="G1265" s="44" t="n">
        <x:v>0.03819444444444445</x:v>
      </x:c>
      <x:c r="H1265" s="44" t="n">
        <x:v>0.041666666666666664</x:v>
      </x:c>
      <x:c r="I1265" s="32" t="n">
        <x:f>ROUND((H1265-G1265)*1440,0)</x:f>
        <x:v>5</x:v>
      </x:c>
      <x:c r="J1265" s="13" t="str">
        <x:v>Проект — попытка 1</x:v>
      </x:c>
      <x:c r="K1265" s="13" t="str">
        <x:v>Сделай первую полную диагностическую попытку. После падения не повторяй сразу: назови точную причину.</x:v>
      </x:c>
      <x:c r="L1265" s="13" t="str">
        <x:v>☐ Не начато</x:v>
      </x:c>
      <x:c r="M1265" s="13" t="str">
        <x:v>Обязательно</x:v>
      </x:c>
      <x:c r="N1265" s="13" t="str">
        <x:v>RPE 7–8</x:v>
      </x:c>
      <x:c r="O1265" s="13" t="str">
        <x:v>Прекратить движение при боли, а не после падения.</x:v>
      </x:c>
      <x:c r="P1265" s="13" t="str">
        <x:v>milestone_05_efficiency_projecting/week_18_2027-01-04/04_THURSDAY.md</x:v>
      </x:c>
      <x:c r="Q1265" s="138" t="str">
        <x:v>Markdown</x:v>
      </x:c>
      <x:c r="R1265" s="20" t="str"/>
    </x:row>
    <x:row r="1266" ht="36" customHeight="1">
      <x:c r="A1266" s="19" t="str">
        <x:v>W18-20270107-1265</x:v>
      </x:c>
      <x:c r="B1266" s="13" t="n">
        <x:v>18</x:v>
      </x:c>
      <x:c r="C1266" s="13" t="str">
        <x:v>Этап 5 — Эффективность движения и работа над проектом</x:v>
      </x:c>
      <x:c r="D1266" s="138" t="str">
        <x:v>2027-01-07</x:v>
      </x:c>
      <x:c r="E1266" s="13" t="str">
        <x:v>Четверг</x:v>
      </x:c>
      <x:c r="F1266" s="13" t="str">
        <x:v>Тренировка B — пальцы/проект</x:v>
      </x:c>
      <x:c r="G1266" s="44" t="n">
        <x:v>0.041666666666666664</x:v>
      </x:c>
      <x:c r="H1266" s="44" t="n">
        <x:v>0.04513888888888889</x:v>
      </x:c>
      <x:c r="I1266" s="32" t="n">
        <x:f>ROUND((H1266-G1266)*1440,0)</x:f>
        <x:v>5</x:v>
      </x:c>
      <x:c r="J1266" s="13" t="str">
        <x:v>Отдых / гипотеза</x:v>
      </x:c>
      <x:c r="K1266" s="13" t="str">
        <x:v>Отдых 4–5 минут. Запиши одну гипотезу: стопа, положение таза, хват или темп.</x:v>
      </x:c>
      <x:c r="L1266" s="13" t="str">
        <x:v>☐ Не начато</x:v>
      </x:c>
      <x:c r="M1266" s="13" t="str">
        <x:v>Обязательно</x:v>
      </x:c>
      <x:c r="N1266" s="13" t="str">
        <x:v>Восстановление</x:v>
      </x:c>
      <x:c r="O1266" s="13" t="str"/>
      <x:c r="P1266" s="13" t="str">
        <x:v>milestone_05_efficiency_projecting/week_18_2027-01-04/04_THURSDAY.md</x:v>
      </x:c>
      <x:c r="Q1266" s="138" t="str">
        <x:v>Markdown</x:v>
      </x:c>
      <x:c r="R1266" s="20" t="str"/>
    </x:row>
    <x:row r="1267" ht="36" customHeight="1">
      <x:c r="A1267" s="19" t="str">
        <x:v>W18-20270107-1266</x:v>
      </x:c>
      <x:c r="B1267" s="13" t="n">
        <x:v>18</x:v>
      </x:c>
      <x:c r="C1267" s="13" t="str">
        <x:v>Этап 5 — Эффективность движения и работа над проектом</x:v>
      </x:c>
      <x:c r="D1267" s="138" t="str">
        <x:v>2027-01-07</x:v>
      </x:c>
      <x:c r="E1267" s="13" t="str">
        <x:v>Четверг</x:v>
      </x:c>
      <x:c r="F1267" s="13" t="str">
        <x:v>Тренировка B — пальцы/проект</x:v>
      </x:c>
      <x:c r="G1267" s="44" t="n">
        <x:v>0.04513888888888889</x:v>
      </x:c>
      <x:c r="H1267" s="44" t="n">
        <x:v>0.049305555555555554</x:v>
      </x:c>
      <x:c r="I1267" s="32" t="n">
        <x:f>ROUND((H1267-G1267)*1440,0)</x:f>
        <x:v>6</x:v>
      </x:c>
      <x:c r="J1267" s="13" t="str">
        <x:v>Проект — попытки 2–3</x:v>
      </x:c>
      <x:c r="K1267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267" s="13" t="str">
        <x:v>☐ Не начато</x:v>
      </x:c>
      <x:c r="M1267" s="13" t="str">
        <x:v>Обязательно</x:v>
      </x:c>
      <x:c r="N1267" s="13" t="str">
        <x:v>RPE 7–8, без отказа</x:v>
      </x:c>
      <x:c r="O1267" s="13" t="str">
        <x:v>Не смотреть beta заранее: сначала собственная гипотеза.</x:v>
      </x:c>
      <x:c r="P1267" s="13" t="str">
        <x:v>milestone_05_efficiency_projecting/week_18_2027-01-04/04_THURSDAY.md</x:v>
      </x:c>
      <x:c r="Q1267" s="138" t="str">
        <x:v>Markdown</x:v>
      </x:c>
      <x:c r="R1267" s="20" t="str"/>
    </x:row>
    <x:row r="1268" ht="36" customHeight="1">
      <x:c r="A1268" s="19" t="str">
        <x:v>W18-20270107-1267</x:v>
      </x:c>
      <x:c r="B1268" s="13" t="n">
        <x:v>18</x:v>
      </x:c>
      <x:c r="C1268" s="13" t="str">
        <x:v>Этап 5 — Эффективность движения и работа над проектом</x:v>
      </x:c>
      <x:c r="D1268" s="138" t="str">
        <x:v>2027-01-07</x:v>
      </x:c>
      <x:c r="E1268" s="13" t="str">
        <x:v>Четверг</x:v>
      </x:c>
      <x:c r="F1268" s="13" t="str">
        <x:v>Тренировка B — пальцы/проект</x:v>
      </x:c>
      <x:c r="G1268" s="44" t="n">
        <x:v>0.049305555555555554</x:v>
      </x:c>
      <x:c r="H1268" s="44" t="n">
        <x:v>0.05277777777777778</x:v>
      </x:c>
      <x:c r="I1268" s="32" t="n">
        <x:f>ROUND((H1268-G1268)*1440,0)</x:f>
        <x:v>5</x:v>
      </x:c>
      <x:c r="J1268" s="13" t="str">
        <x:v>Проект — заключительная попытка</x:v>
      </x:c>
      <x:c r="K1268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268" s="13" t="str">
        <x:v>☐ Не начато</x:v>
      </x:c>
      <x:c r="M1268" s="13" t="str">
        <x:v>Обязательно</x:v>
      </x:c>
      <x:c r="N1268" s="13" t="str">
        <x:v>RPE 8, с запасом</x:v>
      </x:c>
      <x:c r="O1268" s="13" t="str">
        <x:v>Не встряхивать руку в положении, где плечо неустойчиво. Не «досиживать» на плохом зацепе до отказа.</x:v>
      </x:c>
      <x:c r="P1268" s="13" t="str">
        <x:v>milestone_05_efficiency_projecting/week_18_2027-01-04/04_THURSDAY.md</x:v>
      </x:c>
      <x:c r="Q1268" s="138" t="str">
        <x:v>Markdown</x:v>
      </x:c>
      <x:c r="R1268" s="20" t="str"/>
    </x:row>
    <x:row r="1269" ht="36" customHeight="1">
      <x:c r="A1269" s="19" t="str">
        <x:v>W18-20270107-1268</x:v>
      </x:c>
      <x:c r="B1269" s="13" t="n">
        <x:v>18</x:v>
      </x:c>
      <x:c r="C1269" s="13" t="str">
        <x:v>Этап 5 — Эффективность движения и работа над проектом</x:v>
      </x:c>
      <x:c r="D1269" s="138" t="str">
        <x:v>2027-01-07</x:v>
      </x:c>
      <x:c r="E1269" s="13" t="str">
        <x:v>Четверг</x:v>
      </x:c>
      <x:c r="F1269" s="13" t="str">
        <x:v>Тренировка B — пальцы/проект</x:v>
      </x:c>
      <x:c r="G1269" s="44" t="n">
        <x:v>0.05277777777777778</x:v>
      </x:c>
      <x:c r="H1269" s="44" t="n">
        <x:v>0.05763888888888889</x:v>
      </x:c>
      <x:c r="I1269" s="32" t="n">
        <x:f>ROUND((H1269-G1269)*1440,0)</x:f>
        <x:v>7</x:v>
      </x:c>
      <x:c r="J1269" s="13" t="str">
        <x:v>Вторичная трасса</x:v>
      </x:c>
      <x:c r="K1269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269" s="13" t="str">
        <x:v>☐ Не начато</x:v>
      </x:c>
      <x:c r="M1269" s="13" t="str">
        <x:v>Обязательно</x:v>
      </x:c>
      <x:c r="N1269" s="13" t="str">
        <x:v>RPE 5–7</x:v>
      </x:c>
      <x:c r="O1269" s="13" t="str">
        <x:v>Пропустить, если хват уже просел.</x:v>
      </x:c>
      <x:c r="P1269" s="13" t="str">
        <x:v>milestone_05_efficiency_projecting/week_18_2027-01-04/04_THURSDAY.md</x:v>
      </x:c>
      <x:c r="Q1269" s="138" t="str">
        <x:v>Markdown</x:v>
      </x:c>
      <x:c r="R1269" s="20" t="str"/>
    </x:row>
    <x:row r="1270" ht="36" customHeight="1">
      <x:c r="A1270" s="19" t="str">
        <x:v>W18-20270107-1269</x:v>
      </x:c>
      <x:c r="B1270" s="13" t="n">
        <x:v>18</x:v>
      </x:c>
      <x:c r="C1270" s="13" t="str">
        <x:v>Этап 5 — Эффективность движения и работа над проектом</x:v>
      </x:c>
      <x:c r="D1270" s="138" t="str">
        <x:v>2027-01-07</x:v>
      </x:c>
      <x:c r="E1270" s="13" t="str">
        <x:v>Четверг</x:v>
      </x:c>
      <x:c r="F1270" s="13" t="str">
        <x:v>Тренировка B — пальцы/проект</x:v>
      </x:c>
      <x:c r="G1270" s="44" t="n">
        <x:v>0.05763888888888889</x:v>
      </x:c>
      <x:c r="H1270" s="44" t="n">
        <x:v>0.06041666666666667</x:v>
      </x:c>
      <x:c r="I1270" s="32" t="n">
        <x:f>ROUND((H1270-G1270)*1440,0)</x:f>
        <x:v>4</x:v>
      </x:c>
      <x:c r="J1270" s="13" t="str">
        <x:v>Завершение</x:v>
      </x:c>
      <x:c r="K1270" s="13" t="str">
        <x:v>Очень лёгкий спуск/ходьба, вода, никаких финишных висов.</x:v>
      </x:c>
      <x:c r="L1270" s="13" t="str">
        <x:v>☐ Не начато</x:v>
      </x:c>
      <x:c r="M1270" s="13" t="str">
        <x:v>Обязательно</x:v>
      </x:c>
      <x:c r="N1270" s="13" t="str">
        <x:v>RPE 1–2</x:v>
      </x:c>
      <x:c r="O1270" s="13" t="str"/>
      <x:c r="P1270" s="13" t="str">
        <x:v>milestone_05_efficiency_projecting/week_18_2027-01-04/04_THURSDAY.md</x:v>
      </x:c>
      <x:c r="Q1270" s="138" t="str">
        <x:v>Markdown</x:v>
      </x:c>
      <x:c r="R1270" s="20" t="str"/>
    </x:row>
    <x:row r="1271" ht="36" customHeight="1">
      <x:c r="A1271" s="19" t="str">
        <x:v>W18-20270107-1270</x:v>
      </x:c>
      <x:c r="B1271" s="13" t="n">
        <x:v>18</x:v>
      </x:c>
      <x:c r="C1271" s="13" t="str">
        <x:v>Этап 5 — Эффективность движения и работа над проектом</x:v>
      </x:c>
      <x:c r="D1271" s="138" t="str">
        <x:v>2027-01-07</x:v>
      </x:c>
      <x:c r="E1271" s="13" t="str">
        <x:v>Четверг</x:v>
      </x:c>
      <x:c r="F1271" s="13" t="str">
        <x:v>Тренировка B — пальцы/проект</x:v>
      </x:c>
      <x:c r="G1271" s="44" t="n">
        <x:v>0.06041666666666667</x:v>
      </x:c>
      <x:c r="H1271" s="44" t="n">
        <x:v>0.0625</x:v>
      </x:c>
      <x:c r="I1271" s="32" t="n">
        <x:f>ROUND((H1271-G1271)*1440,0)</x:f>
        <x:v>3</x:v>
      </x:c>
      <x:c r="J1271" s="13" t="str">
        <x:v>Журнал</x:v>
      </x:c>
      <x:c r="K1271" s="13" t="str">
        <x:v>Запиши попытки, лучшую связку, одну правку и benchmark: Записать, где на трассе полезно остановиться, а где пауза только съедает хват.</x:v>
      </x:c>
      <x:c r="L1271" s="13" t="str">
        <x:v>☐ Не начато</x:v>
      </x:c>
      <x:c r="M1271" s="13" t="str">
        <x:v>Обязательно</x:v>
      </x:c>
      <x:c r="N1271" s="13" t="str">
        <x:v>Без нагрузки</x:v>
      </x:c>
      <x:c r="O1271" s="13" t="str"/>
      <x:c r="P1271" s="13" t="str">
        <x:v>milestone_05_efficiency_projecting/week_18_2027-01-04/04_THURSDAY.md</x:v>
      </x:c>
      <x:c r="Q1271" s="138" t="str">
        <x:v>Markdown</x:v>
      </x:c>
      <x:c r="R1271" s="20" t="str"/>
    </x:row>
    <x:row r="1272" ht="36" customHeight="1">
      <x:c r="A1272" s="19" t="str">
        <x:v>W18-20270108-1271</x:v>
      </x:c>
      <x:c r="B1272" s="13" t="n">
        <x:v>18</x:v>
      </x:c>
      <x:c r="C1272" s="13" t="str">
        <x:v>Этап 5 — Эффективность движения и работа над проектом</x:v>
      </x:c>
      <x:c r="D1272" s="138" t="str">
        <x:v>2027-01-08</x:v>
      </x:c>
      <x:c r="E1272" s="13" t="str">
        <x:v>Пятница</x:v>
      </x:c>
      <x:c r="F1272" s="13" t="str">
        <x:v>Дом / теория</x:v>
      </x:c>
      <x:c r="G1272" s="44" t="n">
        <x:v>0</x:v>
      </x:c>
      <x:c r="H1272" s="44" t="n">
        <x:v>0.0020833333333333333</x:v>
      </x:c>
      <x:c r="I1272" s="32" t="n">
        <x:f>ROUND((H1272-G1272)*1440,0)</x:f>
        <x:v>3</x:v>
      </x:c>
      <x:c r="J1272" s="13" t="str">
        <x:v>Самопроверка</x:v>
      </x:c>
      <x:c r="K1272" s="13" t="str">
        <x:v>Оцени утреннюю реакцию после четверга: пальцы/плечо/колено 0–10. Запиши, восстановилась ли обычная сила кисти.</x:v>
      </x:c>
      <x:c r="L1272" s="13" t="str">
        <x:v>☐ Не начато</x:v>
      </x:c>
      <x:c r="M1272" s="13" t="str">
        <x:v>Обязательно</x:v>
      </x:c>
      <x:c r="N1272" s="13" t="str">
        <x:v>Без нагрузки</x:v>
      </x:c>
      <x:c r="O1272" s="13" t="str">
        <x:v>Острая локальная боль пальца или усилившаяся боль плеча = воскресенье только восстановительное.</x:v>
      </x:c>
      <x:c r="P1272" s="13" t="str">
        <x:v>milestone_05_efficiency_projecting/week_18_2027-01-04/05_FRIDAY.md</x:v>
      </x:c>
      <x:c r="Q1272" s="138" t="str">
        <x:v>Markdown</x:v>
      </x:c>
      <x:c r="R1272" s="20" t="str"/>
    </x:row>
    <x:row r="1273" ht="36" customHeight="1">
      <x:c r="A1273" s="19" t="str">
        <x:v>W18-20270108-1272</x:v>
      </x:c>
      <x:c r="B1273" s="13" t="n">
        <x:v>18</x:v>
      </x:c>
      <x:c r="C1273" s="13" t="str">
        <x:v>Этап 5 — Эффективность движения и работа над проектом</x:v>
      </x:c>
      <x:c r="D1273" s="138" t="str">
        <x:v>2027-01-08</x:v>
      </x:c>
      <x:c r="E1273" s="13" t="str">
        <x:v>Пятница</x:v>
      </x:c>
      <x:c r="F1273" s="13" t="str">
        <x:v>Дом / теория</x:v>
      </x:c>
      <x:c r="G1273" s="44" t="n">
        <x:v>0.0020833333333333333</x:v>
      </x:c>
      <x:c r="H1273" s="44" t="n">
        <x:v>0.007638888888888889</x:v>
      </x:c>
      <x:c r="I1273" s="32" t="n">
        <x:f>ROUND((H1273-G1273)*1440,0)</x:f>
        <x:v>8</x:v>
      </x:c>
      <x:c r="J1273" s="13" t="str">
        <x:v>Теория</x:v>
      </x:c>
      <x:c r="K1273" s="13" t="str">
        <x:v>Пересмотри ключевой фрагмент ресурса недели: [R05: BMC — Listening to your body when training for climbing](https://www.thebmc.co.uk/en/listening-to-your-body-when-training-for-climbing-video). Задача: Правила остановки, различие обычной усталости и тревожных ощущений.</x:v>
      </x:c>
      <x:c r="L1273" s="13" t="str">
        <x:v>☐ Не начато</x:v>
      </x:c>
      <x:c r="M1273" s="13" t="str">
        <x:v>Обязательно</x:v>
      </x:c>
      <x:c r="N1273" s="13" t="str">
        <x:v>Без нагрузки</x:v>
      </x:c>
      <x:c r="O1273" s="13" t="str"/>
      <x:c r="P1273" s="13" t="str">
        <x:v>milestone_05_efficiency_projecting/week_18_2027-01-04/05_FRIDAY.md</x:v>
      </x:c>
      <x:c r="Q1273" s="138" t="str">
        <x:v>Markdown</x:v>
      </x:c>
      <x:c r="R1273" s="20" t="str"/>
    </x:row>
    <x:row r="1274" ht="36" customHeight="1">
      <x:c r="A1274" s="19" t="str">
        <x:v>W18-20270108-1273</x:v>
      </x:c>
      <x:c r="B1274" s="13" t="n">
        <x:v>18</x:v>
      </x:c>
      <x:c r="C1274" s="13" t="str">
        <x:v>Этап 5 — Эффективность движения и работа над проектом</x:v>
      </x:c>
      <x:c r="D1274" s="138" t="str">
        <x:v>2027-01-08</x:v>
      </x:c>
      <x:c r="E1274" s="13" t="str">
        <x:v>Пятница</x:v>
      </x:c>
      <x:c r="F1274" s="13" t="str">
        <x:v>Дом / теория</x:v>
      </x:c>
      <x:c r="G1274" s="44" t="n">
        <x:v>0.007638888888888889</x:v>
      </x:c>
      <x:c r="H1274" s="44" t="n">
        <x:v>0.011805555555555555</x:v>
      </x:c>
      <x:c r="I1274" s="32" t="n">
        <x:f>ROUND((H1274-G1274)*1440,0)</x:f>
        <x:v>6</x:v>
      </x:c>
      <x:c r="J1274" s="13" t="str">
        <x:v>Ментальная репетиция</x:v>
      </x:c>
      <x:c r="K1274" s="13" t="str">
        <x:v>Закрой глаза и 3 раза мысленно пройди одну рабочую трассу: руки → ноги → положение таза → дыхание. Визуализируй cue «На хороших позициях — прямые руки и два спокойных дыхания; на плохих — двигаться без лишней паузы.».</x:v>
      </x:c>
      <x:c r="L1274" s="13" t="str">
        <x:v>☐ Не начато</x:v>
      </x:c>
      <x:c r="M1274" s="13" t="str">
        <x:v>Обязательно</x:v>
      </x:c>
      <x:c r="N1274" s="13" t="str">
        <x:v>Без нагрузки</x:v>
      </x:c>
      <x:c r="O1274" s="13" t="str"/>
      <x:c r="P1274" s="13" t="str">
        <x:v>milestone_05_efficiency_projecting/week_18_2027-01-04/05_FRIDAY.md</x:v>
      </x:c>
      <x:c r="Q1274" s="138" t="str">
        <x:v>Markdown</x:v>
      </x:c>
      <x:c r="R1274" s="20" t="str"/>
    </x:row>
    <x:row r="1275" ht="36" customHeight="1">
      <x:c r="A1275" s="19" t="str">
        <x:v>W18-20270108-1274</x:v>
      </x:c>
      <x:c r="B1275" s="13" t="n">
        <x:v>18</x:v>
      </x:c>
      <x:c r="C1275" s="13" t="str">
        <x:v>Этап 5 — Эффективность движения и работа над проектом</x:v>
      </x:c>
      <x:c r="D1275" s="138" t="str">
        <x:v>2027-01-08</x:v>
      </x:c>
      <x:c r="E1275" s="13" t="str">
        <x:v>Пятница</x:v>
      </x:c>
      <x:c r="F1275" s="13" t="str">
        <x:v>Дом / теория</x:v>
      </x:c>
      <x:c r="G1275" s="44" t="n">
        <x:v>0.011805555555555555</x:v>
      </x:c>
      <x:c r="H1275" s="44" t="n">
        <x:v>0.02013888888888889</x:v>
      </x:c>
      <x:c r="I1275" s="32" t="n">
        <x:f>ROUND((H1275-G1275)*1440,0)</x:f>
        <x:v>12</x:v>
      </x:c>
      <x:c r="J1275" s="13" t="str">
        <x:v>Домашняя мобильность</x:v>
      </x:c>
      <x:c r="K1275" s="13" t="str">
        <x:v>Выполни H3 «Мобильность таза и контроль корпуса» — 12 минут.</x:v>
      </x:c>
      <x:c r="L1275" s="13" t="str">
        <x:v>☐ Не начато</x:v>
      </x:c>
      <x:c r="M1275" s="13" t="str">
        <x:v>Обязательно</x:v>
      </x:c>
      <x:c r="N1275" s="13" t="str">
        <x:v>RPE 2–3</x:v>
      </x:c>
      <x:c r="O1275" s="13" t="str">
        <x:v>Никаких скручиваний через боль. Плечом не отталкивайся от стены; касание только для равновесия.</x:v>
      </x:c>
      <x:c r="P1275" s="13" t="str">
        <x:v>milestone_05_efficiency_projecting/week_18_2027-01-04/05_FRIDAY.md</x:v>
      </x:c>
      <x:c r="Q1275" s="138" t="str">
        <x:v>Markdown</x:v>
      </x:c>
      <x:c r="R1275" s="20" t="str"/>
    </x:row>
    <x:row r="1276" ht="36" customHeight="1">
      <x:c r="A1276" s="19" t="str">
        <x:v>W18-20270108-1275</x:v>
      </x:c>
      <x:c r="B1276" s="13" t="n">
        <x:v>18</x:v>
      </x:c>
      <x:c r="C1276" s="13" t="str">
        <x:v>Этап 5 — Эффективность движения и работа над проектом</x:v>
      </x:c>
      <x:c r="D1276" s="138" t="str">
        <x:v>2027-01-08</x:v>
      </x:c>
      <x:c r="E1276" s="13" t="str">
        <x:v>Пятница</x:v>
      </x:c>
      <x:c r="F1276" s="13" t="str">
        <x:v>Дом / теория</x:v>
      </x:c>
      <x:c r="G1276" s="44" t="n">
        <x:v>0.02013888888888889</x:v>
      </x:c>
      <x:c r="H1276" s="44" t="n">
        <x:v>0.034027777777777775</x:v>
      </x:c>
      <x:c r="I1276" s="32" t="n">
        <x:f>ROUND((H1276-G1276)*1440,0)</x:f>
        <x:v>20</x:v>
      </x:c>
      <x:c r="J1276" s="13" t="str">
        <x:v>Физиотерапия</x:v>
      </x:c>
      <x:c r="K1276" s="13" t="str">
        <x:v>Выполни свой назначенный комплекс, если пятница входит в расписание физиотерапевта.</x:v>
      </x:c>
      <x:c r="L1276" s="13" t="str">
        <x:v>☐ Не начато</x:v>
      </x:c>
      <x:c r="M1276" s="13" t="str">
        <x:v>По назначению</x:v>
      </x:c>
      <x:c r="N1276" s="13" t="str">
        <x:v>По назначению</x:v>
      </x:c>
      <x:c r="O1276" s="13" t="str">
        <x:v>Не добавляй упражнения из интернета поверх назначений.</x:v>
      </x:c>
      <x:c r="P1276" s="13" t="str">
        <x:v>milestone_05_efficiency_projecting/week_18_2027-01-04/05_FRIDAY.md</x:v>
      </x:c>
      <x:c r="Q1276" s="138" t="str">
        <x:v>Markdown</x:v>
      </x:c>
      <x:c r="R1276" s="20" t="str"/>
    </x:row>
    <x:row r="1277" ht="36" customHeight="1">
      <x:c r="A1277" s="19" t="str">
        <x:v>W18-20270108-1276</x:v>
      </x:c>
      <x:c r="B1277" s="13" t="n">
        <x:v>18</x:v>
      </x:c>
      <x:c r="C1277" s="13" t="str">
        <x:v>Этап 5 — Эффективность движения и работа над проектом</x:v>
      </x:c>
      <x:c r="D1277" s="138" t="str">
        <x:v>2027-01-08</x:v>
      </x:c>
      <x:c r="E1277" s="13" t="str">
        <x:v>Пятница</x:v>
      </x:c>
      <x:c r="F1277" s="13" t="str">
        <x:v>Дом / теория</x:v>
      </x:c>
      <x:c r="G1277" s="44" t="n">
        <x:v>0.034027777777777775</x:v>
      </x:c>
      <x:c r="H1277" s="44" t="n">
        <x:v>0.03680555555555556</x:v>
      </x:c>
      <x:c r="I1277" s="32" t="n">
        <x:f>ROUND((H1277-G1277)*1440,0)</x:f>
        <x:v>4</x:v>
      </x:c>
      <x:c r="J1277" s="13" t="str">
        <x:v>Журнал</x:v>
      </x:c>
      <x:c r="K1277" s="13" t="str">
        <x:v>Запиши одну вещь, которая сработала на этой неделе, и одну, которую повторишь в воскресенье на лёгкой трассе.</x:v>
      </x:c>
      <x:c r="L1277" s="13" t="str">
        <x:v>☐ Не начато</x:v>
      </x:c>
      <x:c r="M1277" s="13" t="str">
        <x:v>Обязательно</x:v>
      </x:c>
      <x:c r="N1277" s="13" t="str">
        <x:v>Без нагрузки</x:v>
      </x:c>
      <x:c r="O1277" s="13" t="str"/>
      <x:c r="P1277" s="13" t="str">
        <x:v>milestone_05_efficiency_projecting/week_18_2027-01-04/05_FRIDAY.md</x:v>
      </x:c>
      <x:c r="Q1277" s="138" t="str">
        <x:v>Markdown</x:v>
      </x:c>
      <x:c r="R1277" s="20" t="str"/>
    </x:row>
    <x:row r="1278" ht="36" customHeight="1">
      <x:c r="A1278" s="19" t="str">
        <x:v>W18-20270108-1277</x:v>
      </x:c>
      <x:c r="B1278" s="13" t="n">
        <x:v>18</x:v>
      </x:c>
      <x:c r="C1278" s="13" t="str">
        <x:v>Этап 5 — Эффективность движения и работа над проектом</x:v>
      </x:c>
      <x:c r="D1278" s="138" t="str">
        <x:v>2027-01-08</x:v>
      </x:c>
      <x:c r="E1278" s="13" t="str">
        <x:v>Пятница</x:v>
      </x:c>
      <x:c r="F1278" s="13" t="str">
        <x:v>Дом / теория</x:v>
      </x:c>
      <x:c r="G1278" s="44" t="n">
        <x:v>0.03680555555555556</x:v>
      </x:c>
      <x:c r="H1278" s="44" t="n">
        <x:v>0.03888888888888889</x:v>
      </x:c>
      <x:c r="I1278" s="32" t="n">
        <x:f>ROUND((H1278-G1278)*1440,0)</x:f>
        <x:v>3</x:v>
      </x:c>
      <x:c r="J1278" s="13" t="str">
        <x:v>Запрет лишней нагрузки</x:v>
      </x:c>
      <x:c r="K1278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278" s="13" t="str">
        <x:v>☐ Не начато</x:v>
      </x:c>
      <x:c r="M1278" s="13" t="str">
        <x:v>Обязательно</x:v>
      </x:c>
      <x:c r="N1278" s="13" t="str">
        <x:v>Восстановление</x:v>
      </x:c>
      <x:c r="O1278" s="13" t="str">
        <x:v>Общая пальцевая нагрузка уже получена в четверг.</x:v>
      </x:c>
      <x:c r="P1278" s="13" t="str">
        <x:v>milestone_05_efficiency_projecting/week_18_2027-01-04/05_FRIDAY.md</x:v>
      </x:c>
      <x:c r="Q1278" s="138" t="str">
        <x:v>Markdown</x:v>
      </x:c>
      <x:c r="R1278" s="20" t="str"/>
    </x:row>
    <x:row r="1279" ht="36" customHeight="1">
      <x:c r="A1279" s="19" t="str">
        <x:v>W18-20270109-1278</x:v>
      </x:c>
      <x:c r="B1279" s="13" t="n">
        <x:v>18</x:v>
      </x:c>
      <x:c r="C1279" s="13" t="str">
        <x:v>Этап 5 — Эффективность движения и работа над проектом</x:v>
      </x:c>
      <x:c r="D1279" s="138" t="str">
        <x:v>2027-01-09</x:v>
      </x:c>
      <x:c r="E1279" s="13" t="str">
        <x:v>Суббота</x:v>
      </x:c>
      <x:c r="F1279" s="13" t="str">
        <x:v>Отдых / подготовка</x:v>
      </x:c>
      <x:c r="G1279" s="44" t="n">
        <x:v>0</x:v>
      </x:c>
      <x:c r="H1279" s="44" t="n">
        <x:v>0.003472222222222222</x:v>
      </x:c>
      <x:c r="I1279" s="32" t="n">
        <x:f>ROUND((H1279-G1279)*1440,0)</x:f>
        <x:v>5</x:v>
      </x:c>
      <x:c r="J1279" s="13" t="str">
        <x:v>Самопроверка</x:v>
      </x:c>
      <x:c r="K1279" s="13" t="str">
        <x:v>Проверь кожу пальцев, ногти, плечо и колено. Никаких тестовых висов.</x:v>
      </x:c>
      <x:c r="L1279" s="13" t="str">
        <x:v>☐ Не начато</x:v>
      </x:c>
      <x:c r="M1279" s="13" t="str">
        <x:v>Обязательно</x:v>
      </x:c>
      <x:c r="N1279" s="13" t="str">
        <x:v>Восстановление</x:v>
      </x:c>
      <x:c r="O1279" s="13" t="str"/>
      <x:c r="P1279" s="13" t="str">
        <x:v>milestone_05_efficiency_projecting/week_18_2027-01-04/06_SATURDAY.md</x:v>
      </x:c>
      <x:c r="Q1279" s="138" t="str">
        <x:v>Markdown</x:v>
      </x:c>
      <x:c r="R1279" s="20" t="str"/>
    </x:row>
    <x:row r="1280" ht="36" customHeight="1">
      <x:c r="A1280" s="19" t="str">
        <x:v>W18-20270109-1279</x:v>
      </x:c>
      <x:c r="B1280" s="13" t="n">
        <x:v>18</x:v>
      </x:c>
      <x:c r="C1280" s="13" t="str">
        <x:v>Этап 5 — Эффективность движения и работа над проектом</x:v>
      </x:c>
      <x:c r="D1280" s="138" t="str">
        <x:v>2027-01-09</x:v>
      </x:c>
      <x:c r="E1280" s="13" t="str">
        <x:v>Суббота</x:v>
      </x:c>
      <x:c r="F1280" s="13" t="str">
        <x:v>Отдых / подготовка</x:v>
      </x:c>
      <x:c r="G1280" s="44" t="n">
        <x:v>0.003472222222222222</x:v>
      </x:c>
      <x:c r="H1280" s="44" t="n">
        <x:v>0.010416666666666666</x:v>
      </x:c>
      <x:c r="I1280" s="32" t="n">
        <x:f>ROUND((H1280-G1280)*1440,0)</x:f>
        <x:v>10</x:v>
      </x:c>
      <x:c r="J1280" s="13" t="str">
        <x:v>Активное восстановление</x:v>
      </x:c>
      <x:c r="K1280" s="13" t="str">
        <x:v>10 минут лёгкой прогулки или бытовой активности. Цель — восстановление, не тренировка.</x:v>
      </x:c>
      <x:c r="L1280" s="13" t="str">
        <x:v>☐ Не начато</x:v>
      </x:c>
      <x:c r="M1280" s="13" t="str">
        <x:v>Обязательно</x:v>
      </x:c>
      <x:c r="N1280" s="13" t="str">
        <x:v>RPE 1–2</x:v>
      </x:c>
      <x:c r="O1280" s="13" t="str"/>
      <x:c r="P1280" s="13" t="str">
        <x:v>milestone_05_efficiency_projecting/week_18_2027-01-04/06_SATURDAY.md</x:v>
      </x:c>
      <x:c r="Q1280" s="138" t="str">
        <x:v>Markdown</x:v>
      </x:c>
      <x:c r="R1280" s="20" t="str"/>
    </x:row>
    <x:row r="1281" ht="36" customHeight="1">
      <x:c r="A1281" s="19" t="str">
        <x:v>W18-20270109-1280</x:v>
      </x:c>
      <x:c r="B1281" s="13" t="n">
        <x:v>18</x:v>
      </x:c>
      <x:c r="C1281" s="13" t="str">
        <x:v>Этап 5 — Эффективность движения и работа над проектом</x:v>
      </x:c>
      <x:c r="D1281" s="138" t="str">
        <x:v>2027-01-09</x:v>
      </x:c>
      <x:c r="E1281" s="13" t="str">
        <x:v>Суббота</x:v>
      </x:c>
      <x:c r="F1281" s="13" t="str">
        <x:v>Отдых / подготовка</x:v>
      </x:c>
      <x:c r="G1281" s="44" t="n">
        <x:v>0.010416666666666666</x:v>
      </x:c>
      <x:c r="H1281" s="44" t="n">
        <x:v>0.013888888888888888</x:v>
      </x:c>
      <x:c r="I1281" s="32" t="n">
        <x:f>ROUND((H1281-G1281)*1440,0)</x:f>
        <x:v>5</x:v>
      </x:c>
      <x:c r="J1281" s="13" t="str">
        <x:v>Уход за кожей</x:v>
      </x:c>
      <x:c r="K1281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281" s="13" t="str">
        <x:v>☐ Не начато</x:v>
      </x:c>
      <x:c r="M1281" s="13" t="str">
        <x:v>Опционально</x:v>
      </x:c>
      <x:c r="N1281" s="13" t="str">
        <x:v>Без нагрузки</x:v>
      </x:c>
      <x:c r="O1281" s="13" t="str">
        <x:v>Повреждённую/болезненную кожу не шлифовать.</x:v>
      </x:c>
      <x:c r="P1281" s="13" t="str">
        <x:v>milestone_05_efficiency_projecting/week_18_2027-01-04/06_SATURDAY.md</x:v>
      </x:c>
      <x:c r="Q1281" s="138" t="str">
        <x:v>Markdown</x:v>
      </x:c>
      <x:c r="R1281" s="20" t="str"/>
    </x:row>
    <x:row r="1282" ht="36" customHeight="1">
      <x:c r="A1282" s="19" t="str">
        <x:v>W18-20270109-1281</x:v>
      </x:c>
      <x:c r="B1282" s="13" t="n">
        <x:v>18</x:v>
      </x:c>
      <x:c r="C1282" s="13" t="str">
        <x:v>Этап 5 — Эффективность движения и работа над проектом</x:v>
      </x:c>
      <x:c r="D1282" s="138" t="str">
        <x:v>2027-01-09</x:v>
      </x:c>
      <x:c r="E1282" s="13" t="str">
        <x:v>Суббота</x:v>
      </x:c>
      <x:c r="F1282" s="13" t="str">
        <x:v>Отдых / подготовка</x:v>
      </x:c>
      <x:c r="G1282" s="44" t="n">
        <x:v>0.013888888888888888</x:v>
      </x:c>
      <x:c r="H1282" s="44" t="n">
        <x:v>0.016666666666666666</x:v>
      </x:c>
      <x:c r="I1282" s="32" t="n">
        <x:f>ROUND((H1282-G1282)*1440,0)</x:f>
        <x:v>4</x:v>
      </x:c>
      <x:c r="J1282" s="13" t="str">
        <x:v>Подготовка</x:v>
      </x:c>
      <x:c r="K1282" s="13" t="str">
        <x:v>Заряди телефон, освободи память для одного видео, положи щётку и магнезию.</x:v>
      </x:c>
      <x:c r="L1282" s="13" t="str">
        <x:v>☐ Не начато</x:v>
      </x:c>
      <x:c r="M1282" s="13" t="str">
        <x:v>Обязательно</x:v>
      </x:c>
      <x:c r="N1282" s="13" t="str">
        <x:v>Без нагрузки</x:v>
      </x:c>
      <x:c r="O1282" s="13" t="str"/>
      <x:c r="P1282" s="13" t="str">
        <x:v>milestone_05_efficiency_projecting/week_18_2027-01-04/06_SATURDAY.md</x:v>
      </x:c>
      <x:c r="Q1282" s="138" t="str">
        <x:v>Markdown</x:v>
      </x:c>
      <x:c r="R1282" s="20" t="str"/>
    </x:row>
    <x:row r="1283" ht="36" customHeight="1">
      <x:c r="A1283" s="19" t="str">
        <x:v>W18-20270109-1282</x:v>
      </x:c>
      <x:c r="B1283" s="13" t="n">
        <x:v>18</x:v>
      </x:c>
      <x:c r="C1283" s="13" t="str">
        <x:v>Этап 5 — Эффективность движения и работа над проектом</x:v>
      </x:c>
      <x:c r="D1283" s="138" t="str">
        <x:v>2027-01-09</x:v>
      </x:c>
      <x:c r="E1283" s="13" t="str">
        <x:v>Суббота</x:v>
      </x:c>
      <x:c r="F1283" s="13" t="str">
        <x:v>Отдых / подготовка</x:v>
      </x:c>
      <x:c r="G1283" s="44" t="n">
        <x:v>0.016666666666666666</x:v>
      </x:c>
      <x:c r="H1283" s="44" t="n">
        <x:v>0.01875</x:v>
      </x:c>
      <x:c r="I1283" s="32" t="n">
        <x:f>ROUND((H1283-G1283)*1440,0)</x:f>
        <x:v>3</x:v>
      </x:c>
      <x:c r="J1283" s="13" t="str">
        <x:v>План воскресенья</x:v>
      </x:c>
      <x:c r="K1283" s="13" t="str">
        <x:v>Выбери заранее одну лёгкую трассу под тему «Темп, дыхание и отдых». Воскресенье остаётся развлечением, не третьим тяжёлым днём.</x:v>
      </x:c>
      <x:c r="L1283" s="13" t="str">
        <x:v>☐ Не начато</x:v>
      </x:c>
      <x:c r="M1283" s="13" t="str">
        <x:v>Обязательно</x:v>
      </x:c>
      <x:c r="N1283" s="13" t="str">
        <x:v>Без нагрузки</x:v>
      </x:c>
      <x:c r="O1283" s="13" t="str"/>
      <x:c r="P1283" s="13" t="str">
        <x:v>milestone_05_efficiency_projecting/week_18_2027-01-04/06_SATURDAY.md</x:v>
      </x:c>
      <x:c r="Q1283" s="138" t="str">
        <x:v>Markdown</x:v>
      </x:c>
      <x:c r="R1283" s="20" t="str"/>
    </x:row>
    <x:row r="1284" ht="36" customHeight="1">
      <x:c r="A1284" s="19" t="str">
        <x:v>W18-20270109-1283</x:v>
      </x:c>
      <x:c r="B1284" s="13" t="n">
        <x:v>18</x:v>
      </x:c>
      <x:c r="C1284" s="13" t="str">
        <x:v>Этап 5 — Эффективность движения и работа над проектом</x:v>
      </x:c>
      <x:c r="D1284" s="138" t="str">
        <x:v>2027-01-09</x:v>
      </x:c>
      <x:c r="E1284" s="13" t="str">
        <x:v>Суббота</x:v>
      </x:c>
      <x:c r="F1284" s="13" t="str">
        <x:v>Отдых / подготовка</x:v>
      </x:c>
      <x:c r="G1284" s="44" t="n">
        <x:v>0.01875</x:v>
      </x:c>
      <x:c r="H1284" s="44" t="n">
        <x:v>0.020833333333333332</x:v>
      </x:c>
      <x:c r="I1284" s="32" t="n">
        <x:f>ROUND((H1284-G1284)*1440,0)</x:f>
        <x:v>3</x:v>
      </x:c>
      <x:c r="J1284" s="13" t="str">
        <x:v>Сон / восстановление</x:v>
      </x:c>
      <x:c r="K1284" s="13" t="str">
        <x:v>Запланируй обычный сон и нормальный приём пищи; не пытайся «разбудить хват» вечером.</x:v>
      </x:c>
      <x:c r="L1284" s="13" t="str">
        <x:v>☐ Не начато</x:v>
      </x:c>
      <x:c r="M1284" s="13" t="str">
        <x:v>Обязательно</x:v>
      </x:c>
      <x:c r="N1284" s="13" t="str">
        <x:v>Восстановление</x:v>
      </x:c>
      <x:c r="O1284" s="13" t="str"/>
      <x:c r="P1284" s="13" t="str">
        <x:v>milestone_05_efficiency_projecting/week_18_2027-01-04/06_SATURDAY.md</x:v>
      </x:c>
      <x:c r="Q1284" s="138" t="str">
        <x:v>Markdown</x:v>
      </x:c>
      <x:c r="R1284" s="20" t="str"/>
    </x:row>
    <x:row r="1285" ht="36" customHeight="1">
      <x:c r="A1285" s="19" t="str">
        <x:v>W18-20270110-1284</x:v>
      </x:c>
      <x:c r="B1285" s="13" t="n">
        <x:v>18</x:v>
      </x:c>
      <x:c r="C1285" s="13" t="str">
        <x:v>Этап 5 — Эффективность движения и работа над проектом</x:v>
      </x:c>
      <x:c r="D1285" s="138" t="str">
        <x:v>2027-01-10</x:v>
      </x:c>
      <x:c r="E1285" s="13" t="str">
        <x:v>Воскресенье</x:v>
      </x:c>
      <x:c r="F1285" s="13" t="str">
        <x:v>Тренировка C — fun / опционально</x:v>
      </x:c>
      <x:c r="G1285" s="44" t="n">
        <x:v>0</x:v>
      </x:c>
      <x:c r="H1285" s="44" t="n">
        <x:v>0.0020833333333333333</x:v>
      </x:c>
      <x:c r="I1285" s="32" t="n">
        <x:f>ROUND((H1285-G1285)*1440,0)</x:f>
        <x:v>3</x:v>
      </x:c>
      <x:c r="J1285" s="13" t="str">
        <x:v>Выбор сценария</x:v>
      </x:c>
      <x:c r="K1285" s="13" t="str">
        <x:v>Выбери один сценарий: (A) fun-сессия 75 минут в зале или (B) восстановительный день дома 25 минут. Не выполнять оба.</x:v>
      </x:c>
      <x:c r="L1285" s="13" t="str">
        <x:v>☐ Не начато</x:v>
      </x:c>
      <x:c r="M1285" s="13" t="str">
        <x:v>Выбрать один сценарий</x:v>
      </x:c>
      <x:c r="N1285" s="13" t="str">
        <x:v>По состоянию</x:v>
      </x:c>
      <x:c r="O1285" s="13" t="str"/>
      <x:c r="P1285" s="13" t="str">
        <x:v>milestone_05_efficiency_projecting/week_18_2027-01-04/07_SUNDAY.md</x:v>
      </x:c>
      <x:c r="Q1285" s="138" t="str">
        <x:v>Markdown</x:v>
      </x:c>
      <x:c r="R1285" s="20" t="str"/>
    </x:row>
    <x:row r="1286" ht="36" customHeight="1">
      <x:c r="A1286" s="19" t="str">
        <x:v>W18-20270110-1285</x:v>
      </x:c>
      <x:c r="B1286" s="13" t="n">
        <x:v>18</x:v>
      </x:c>
      <x:c r="C1286" s="13" t="str">
        <x:v>Этап 5 — Эффективность движения и работа над проектом</x:v>
      </x:c>
      <x:c r="D1286" s="138" t="str">
        <x:v>2027-01-10</x:v>
      </x:c>
      <x:c r="E1286" s="13" t="str">
        <x:v>Воскресенье</x:v>
      </x:c>
      <x:c r="F1286" s="13" t="str">
        <x:v>Тренировка C — fun / опционально</x:v>
      </x:c>
      <x:c r="G1286" s="44" t="n">
        <x:v>0.0020833333333333333</x:v>
      </x:c>
      <x:c r="H1286" s="44" t="n">
        <x:v>0.005555555555555556</x:v>
      </x:c>
      <x:c r="I1286" s="32" t="n">
        <x:f>ROUND((H1286-G1286)*1440,0)</x:f>
        <x:v>5</x:v>
      </x:c>
      <x:c r="J1286" s="13" t="str">
        <x:v>Разминка A</x:v>
      </x:c>
      <x:c r="K1286" s="13" t="str">
        <x:v>Если идёшь в зал: 5 минут поднятия температуры.</x:v>
      </x:c>
      <x:c r="L1286" s="13" t="str">
        <x:v>☐ Не начато</x:v>
      </x:c>
      <x:c r="M1286" s="13" t="str">
        <x:v>Опционально</x:v>
      </x:c>
      <x:c r="N1286" s="13" t="str">
        <x:v>RPE 2–3</x:v>
      </x:c>
      <x:c r="O1286" s="13" t="str"/>
      <x:c r="P1286" s="13" t="str">
        <x:v>milestone_05_efficiency_projecting/week_18_2027-01-04/07_SUNDAY.md</x:v>
      </x:c>
      <x:c r="Q1286" s="138" t="str">
        <x:v>Markdown</x:v>
      </x:c>
      <x:c r="R1286" s="20" t="str"/>
    </x:row>
    <x:row r="1287" ht="36" customHeight="1">
      <x:c r="A1287" s="19" t="str">
        <x:v>W18-20270110-1286</x:v>
      </x:c>
      <x:c r="B1287" s="13" t="n">
        <x:v>18</x:v>
      </x:c>
      <x:c r="C1287" s="13" t="str">
        <x:v>Этап 5 — Эффективность движения и работа над проектом</x:v>
      </x:c>
      <x:c r="D1287" s="138" t="str">
        <x:v>2027-01-10</x:v>
      </x:c>
      <x:c r="E1287" s="13" t="str">
        <x:v>Воскресенье</x:v>
      </x:c>
      <x:c r="F1287" s="13" t="str">
        <x:v>Тренировка C — fun / опционально</x:v>
      </x:c>
      <x:c r="G1287" s="44" t="n">
        <x:v>0.005555555555555556</x:v>
      </x:c>
      <x:c r="H1287" s="44" t="n">
        <x:v>0.009027777777777777</x:v>
      </x:c>
      <x:c r="I1287" s="32" t="n">
        <x:f>ROUND((H1287-G1287)*1440,0)</x:f>
        <x:v>5</x:v>
      </x:c>
      <x:c r="J1287" s="13" t="str">
        <x:v>Разминка A</x:v>
      </x:c>
      <x:c r="K1287" s="13" t="str">
        <x:v>Динамическая суставная разминка в безболезненном диапазоне; без отжиманий/press.</x:v>
      </x:c>
      <x:c r="L1287" s="13" t="str">
        <x:v>☐ Не начато</x:v>
      </x:c>
      <x:c r="M1287" s="13" t="str">
        <x:v>Опционально</x:v>
      </x:c>
      <x:c r="N1287" s="13" t="str">
        <x:v>Очень легко</x:v>
      </x:c>
      <x:c r="O1287" s="13" t="str">
        <x:v>Не встряхивать руку в положении, где плечо неустойчиво. Не «досиживать» на плохом зацепе до отказа.</x:v>
      </x:c>
      <x:c r="P1287" s="13" t="str">
        <x:v>milestone_05_efficiency_projecting/week_18_2027-01-04/07_SUNDAY.md</x:v>
      </x:c>
      <x:c r="Q1287" s="138" t="str">
        <x:v>Markdown</x:v>
      </x:c>
      <x:c r="R1287" s="20" t="str"/>
    </x:row>
    <x:row r="1288" ht="36" customHeight="1">
      <x:c r="A1288" s="19" t="str">
        <x:v>W18-20270110-1287</x:v>
      </x:c>
      <x:c r="B1288" s="13" t="n">
        <x:v>18</x:v>
      </x:c>
      <x:c r="C1288" s="13" t="str">
        <x:v>Этап 5 — Эффективность движения и работа над проектом</x:v>
      </x:c>
      <x:c r="D1288" s="138" t="str">
        <x:v>2027-01-10</x:v>
      </x:c>
      <x:c r="E1288" s="13" t="str">
        <x:v>Воскресенье</x:v>
      </x:c>
      <x:c r="F1288" s="13" t="str">
        <x:v>Тренировка C — fun / опционально</x:v>
      </x:c>
      <x:c r="G1288" s="44" t="n">
        <x:v>0.009027777777777777</x:v>
      </x:c>
      <x:c r="H1288" s="44" t="n">
        <x:v>0.013888888888888888</x:v>
      </x:c>
      <x:c r="I1288" s="32" t="n">
        <x:f>ROUND((H1288-G1288)*1440,0)</x:f>
        <x:v>7</x:v>
      </x:c>
      <x:c r="J1288" s="13" t="str">
        <x:v>Лёгкое лазание A</x:v>
      </x:c>
      <x:c r="K1288" s="13" t="str">
        <x:v>3 очень лёгкие трассы 1–3 с постепенным увеличением сложности.</x:v>
      </x:c>
      <x:c r="L1288" s="13" t="str">
        <x:v>☐ Не начато</x:v>
      </x:c>
      <x:c r="M1288" s="13" t="str">
        <x:v>Опционально</x:v>
      </x:c>
      <x:c r="N1288" s="13" t="str">
        <x:v>RPE 2–4</x:v>
      </x:c>
      <x:c r="O1288" s="13" t="str"/>
      <x:c r="P1288" s="13" t="str">
        <x:v>milestone_05_efficiency_projecting/week_18_2027-01-04/07_SUNDAY.md</x:v>
      </x:c>
      <x:c r="Q1288" s="138" t="str">
        <x:v>Markdown</x:v>
      </x:c>
      <x:c r="R1288" s="20" t="str"/>
    </x:row>
    <x:row r="1289" ht="36" customHeight="1">
      <x:c r="A1289" s="19" t="str">
        <x:v>W18-20270110-1288</x:v>
      </x:c>
      <x:c r="B1289" s="13" t="n">
        <x:v>18</x:v>
      </x:c>
      <x:c r="C1289" s="13" t="str">
        <x:v>Этап 5 — Эффективность движения и работа над проектом</x:v>
      </x:c>
      <x:c r="D1289" s="138" t="str">
        <x:v>2027-01-10</x:v>
      </x:c>
      <x:c r="E1289" s="13" t="str">
        <x:v>Воскресенье</x:v>
      </x:c>
      <x:c r="F1289" s="13" t="str">
        <x:v>Тренировка C — fun / опционально</x:v>
      </x:c>
      <x:c r="G1289" s="44" t="n">
        <x:v>0.013888888888888888</x:v>
      </x:c>
      <x:c r="H1289" s="44" t="n">
        <x:v>0.020833333333333332</x:v>
      </x:c>
      <x:c r="I1289" s="32" t="n">
        <x:f>ROUND((H1289-G1289)*1440,0)</x:f>
        <x:v>10</x:v>
      </x:c>
      <x:c r="J1289" s="13" t="str">
        <x:v>Технический праймер A</x:v>
      </x:c>
      <x:c r="K1289" s="13" t="str">
        <x:v>На одной лёгкой трассе дважды повтори «Темп, дыхание и отдых». Критерий: Ты знаешь, где пауза восстанавливает, а где только съедает хват.</x:v>
      </x:c>
      <x:c r="L1289" s="13" t="str">
        <x:v>☐ Не начато</x:v>
      </x:c>
      <x:c r="M1289" s="13" t="str">
        <x:v>Опционально</x:v>
      </x:c>
      <x:c r="N1289" s="13" t="str">
        <x:v>RPE 3–4</x:v>
      </x:c>
      <x:c r="O1289" s="13" t="str">
        <x:v>Не встряхивать руку из неустойчивого плечевого положения.</x:v>
      </x:c>
      <x:c r="P1289" s="13" t="str">
        <x:v>milestone_05_efficiency_projecting/week_18_2027-01-04/07_SUNDAY.md</x:v>
      </x:c>
      <x:c r="Q1289" s="138" t="str">
        <x:v>Markdown</x:v>
      </x:c>
      <x:c r="R1289" s="20" t="str"/>
    </x:row>
    <x:row r="1290" ht="36" customHeight="1">
      <x:c r="A1290" s="19" t="str">
        <x:v>W18-20270110-1289</x:v>
      </x:c>
      <x:c r="B1290" s="13" t="n">
        <x:v>18</x:v>
      </x:c>
      <x:c r="C1290" s="13" t="str">
        <x:v>Этап 5 — Эффективность движения и работа над проектом</x:v>
      </x:c>
      <x:c r="D1290" s="138" t="str">
        <x:v>2027-01-10</x:v>
      </x:c>
      <x:c r="E1290" s="13" t="str">
        <x:v>Воскресенье</x:v>
      </x:c>
      <x:c r="F1290" s="13" t="str">
        <x:v>Тренировка C — fun / опционально</x:v>
      </x:c>
      <x:c r="G1290" s="44" t="n">
        <x:v>0.020833333333333332</x:v>
      </x:c>
      <x:c r="H1290" s="44" t="n">
        <x:v>0.03819444444444445</x:v>
      </x:c>
      <x:c r="I1290" s="32" t="n">
        <x:f>ROUND((H1290-G1290)*1440,0)</x:f>
        <x:v>25</x:v>
      </x:c>
      <x:c r="J1290" s="13" t="str">
        <x:v>Свободное лазание A</x:v>
      </x:c>
      <x:c r="K1290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290" s="13" t="str">
        <x:v>☐ Не начато</x:v>
      </x:c>
      <x:c r="M1290" s="13" t="str">
        <x:v>Опционально</x:v>
      </x:c>
      <x:c r="N1290" s="13" t="str">
        <x:v>RPE 4–7</x:v>
      </x:c>
      <x:c r="O1290" s="13" t="str">
        <x:v>Не превращать блок в круг на выносливость.</x:v>
      </x:c>
      <x:c r="P1290" s="13" t="str">
        <x:v>milestone_05_efficiency_projecting/week_18_2027-01-04/07_SUNDAY.md</x:v>
      </x:c>
      <x:c r="Q1290" s="138" t="str">
        <x:v>Markdown</x:v>
      </x:c>
      <x:c r="R1290" s="20" t="str"/>
    </x:row>
    <x:row r="1291" ht="36" customHeight="1">
      <x:c r="A1291" s="19" t="str">
        <x:v>W18-20270110-1290</x:v>
      </x:c>
      <x:c r="B1291" s="13" t="n">
        <x:v>18</x:v>
      </x:c>
      <x:c r="C1291" s="13" t="str">
        <x:v>Этап 5 — Эффективность движения и работа над проектом</x:v>
      </x:c>
      <x:c r="D1291" s="138" t="str">
        <x:v>2027-01-10</x:v>
      </x:c>
      <x:c r="E1291" s="13" t="str">
        <x:v>Воскресенье</x:v>
      </x:c>
      <x:c r="F1291" s="13" t="str">
        <x:v>Тренировка C — fun / опционально</x:v>
      </x:c>
      <x:c r="G1291" s="44" t="n">
        <x:v>0.03819444444444445</x:v>
      </x:c>
      <x:c r="H1291" s="44" t="n">
        <x:v>0.04583333333333333</x:v>
      </x:c>
      <x:c r="I1291" s="32" t="n">
        <x:f>ROUND((H1291-G1291)*1440,0)</x:f>
        <x:v>11</x:v>
      </x:c>
      <x:c r="J1291" s="13" t="str">
        <x:v>Свежая сложная попытка A</x:v>
      </x:c>
      <x:c r="K1291" s="13" t="str">
        <x:v>Только если всё зелёное: попробуй одну рабочую пятёрку или дружелюбную шестёрку по критериям недели — Основная шестёрка; использовать полный отдых 4–5 минут. Второй проект только если качество высокое. Максимум 2 попытки, отдых 4 минуты.</x:v>
      </x:c>
      <x:c r="L1291" s="13" t="str">
        <x:v>☐ Не начато</x:v>
      </x:c>
      <x:c r="M1291" s="13" t="str">
        <x:v>Опционально</x:v>
      </x:c>
      <x:c r="N1291" s="13" t="str">
        <x:v>RPE 7–8, без отказа</x:v>
      </x:c>
      <x:c r="O1291" s="13" t="str">
        <x:v>Не встряхивать руку в положении, где плечо неустойчиво. Не «досиживать» на плохом зацепе до отказа.</x:v>
      </x:c>
      <x:c r="P1291" s="13" t="str">
        <x:v>milestone_05_efficiency_projecting/week_18_2027-01-04/07_SUNDAY.md</x:v>
      </x:c>
      <x:c r="Q1291" s="138" t="str">
        <x:v>Markdown</x:v>
      </x:c>
      <x:c r="R1291" s="20" t="str"/>
    </x:row>
    <x:row r="1292" ht="36" customHeight="1">
      <x:c r="A1292" s="19" t="str">
        <x:v>W18-20270110-1291</x:v>
      </x:c>
      <x:c r="B1292" s="13" t="n">
        <x:v>18</x:v>
      </x:c>
      <x:c r="C1292" s="13" t="str">
        <x:v>Этап 5 — Эффективность движения и работа над проектом</x:v>
      </x:c>
      <x:c r="D1292" s="138" t="str">
        <x:v>2027-01-10</x:v>
      </x:c>
      <x:c r="E1292" s="13" t="str">
        <x:v>Воскресенье</x:v>
      </x:c>
      <x:c r="F1292" s="13" t="str">
        <x:v>Тренировка C — fun / опционально</x:v>
      </x:c>
      <x:c r="G1292" s="44" t="n">
        <x:v>0.04583333333333333</x:v>
      </x:c>
      <x:c r="H1292" s="44" t="n">
        <x:v>0.05</x:v>
      </x:c>
      <x:c r="I1292" s="32" t="n">
        <x:f>ROUND((H1292-G1292)*1440,0)</x:f>
        <x:v>6</x:v>
      </x:c>
      <x:c r="J1292" s="13" t="str">
        <x:v>Лёгкий финал A</x:v>
      </x:c>
      <x:c r="K1292" s="13" t="str">
        <x:v>Одна любимая лёгкая трасса или спокойный спуск. Фингерборда и capacity-круга нет.</x:v>
      </x:c>
      <x:c r="L1292" s="13" t="str">
        <x:v>☐ Не начато</x:v>
      </x:c>
      <x:c r="M1292" s="13" t="str">
        <x:v>Опционально</x:v>
      </x:c>
      <x:c r="N1292" s="13" t="str">
        <x:v>RPE 2–3</x:v>
      </x:c>
      <x:c r="O1292" s="13" t="str"/>
      <x:c r="P1292" s="13" t="str">
        <x:v>milestone_05_efficiency_projecting/week_18_2027-01-04/07_SUNDAY.md</x:v>
      </x:c>
      <x:c r="Q1292" s="138" t="str">
        <x:v>Markdown</x:v>
      </x:c>
      <x:c r="R1292" s="20" t="str"/>
    </x:row>
    <x:row r="1293" ht="36" customHeight="1">
      <x:c r="A1293" s="19" t="str">
        <x:v>W18-20270110-1292</x:v>
      </x:c>
      <x:c r="B1293" s="13" t="n">
        <x:v>18</x:v>
      </x:c>
      <x:c r="C1293" s="13" t="str">
        <x:v>Этап 5 — Эффективность движения и работа над проектом</x:v>
      </x:c>
      <x:c r="D1293" s="138" t="str">
        <x:v>2027-01-10</x:v>
      </x:c>
      <x:c r="E1293" s="13" t="str">
        <x:v>Воскресенье</x:v>
      </x:c>
      <x:c r="F1293" s="13" t="str">
        <x:v>Тренировка C — fun / опционально</x:v>
      </x:c>
      <x:c r="G1293" s="44" t="n">
        <x:v>0.05</x:v>
      </x:c>
      <x:c r="H1293" s="44" t="n">
        <x:v>0.052083333333333336</x:v>
      </x:c>
      <x:c r="I1293" s="32" t="n">
        <x:f>ROUND((H1293-G1293)*1440,0)</x:f>
        <x:v>3</x:v>
      </x:c>
      <x:c r="J1293" s="13" t="str">
        <x:v>Журнал A</x:v>
      </x:c>
      <x:c r="K1293" s="13" t="str">
        <x:v>Запиши только 3 вещи: что было весело, один удачный технический момент, состояние пальцев после сессии.</x:v>
      </x:c>
      <x:c r="L1293" s="13" t="str">
        <x:v>☐ Не начато</x:v>
      </x:c>
      <x:c r="M1293" s="13" t="str">
        <x:v>Опционально</x:v>
      </x:c>
      <x:c r="N1293" s="13" t="str">
        <x:v>Без нагрузки</x:v>
      </x:c>
      <x:c r="O1293" s="13" t="str"/>
      <x:c r="P1293" s="13" t="str">
        <x:v>milestone_05_efficiency_projecting/week_18_2027-01-04/07_SUNDAY.md</x:v>
      </x:c>
      <x:c r="Q1293" s="138" t="str">
        <x:v>Markdown</x:v>
      </x:c>
      <x:c r="R1293" s="20" t="str"/>
    </x:row>
    <x:row r="1294" ht="36" customHeight="1">
      <x:c r="A1294" s="19" t="str">
        <x:v>W18-20270110-1293</x:v>
      </x:c>
      <x:c r="B1294" s="13" t="n">
        <x:v>18</x:v>
      </x:c>
      <x:c r="C1294" s="13" t="str">
        <x:v>Этап 5 — Эффективность движения и работа над проектом</x:v>
      </x:c>
      <x:c r="D1294" s="138" t="str">
        <x:v>2027-01-10</x:v>
      </x:c>
      <x:c r="E1294" s="13" t="str">
        <x:v>Воскресенье</x:v>
      </x:c>
      <x:c r="F1294" s="13" t="str">
        <x:v>Восстановление B — дома</x:v>
      </x:c>
      <x:c r="G1294" s="44" t="n">
        <x:v>0</x:v>
      </x:c>
      <x:c r="H1294" s="44" t="n">
        <x:v>0.010416666666666666</x:v>
      </x:c>
      <x:c r="I1294" s="32" t="n">
        <x:f>ROUND((H1294-G1294)*1440,0)</x:f>
        <x:v>15</x:v>
      </x:c>
      <x:c r="J1294" s="13" t="str">
        <x:v>Прогулка B</x:v>
      </x:c>
      <x:c r="K1294" s="13" t="str">
        <x:v>Если не идёшь в зал: 15 минут спокойной прогулки.</x:v>
      </x:c>
      <x:c r="L1294" s="13" t="str">
        <x:v>☐ Не начато</x:v>
      </x:c>
      <x:c r="M1294" s="13" t="str">
        <x:v>Опционально</x:v>
      </x:c>
      <x:c r="N1294" s="13" t="str">
        <x:v>RPE 1–2</x:v>
      </x:c>
      <x:c r="O1294" s="13" t="str"/>
      <x:c r="P1294" s="13" t="str">
        <x:v>milestone_05_efficiency_projecting/week_18_2027-01-04/07_SUNDAY.md</x:v>
      </x:c>
      <x:c r="Q1294" s="138" t="str">
        <x:v>Markdown</x:v>
      </x:c>
      <x:c r="R1294" s="20" t="str"/>
    </x:row>
    <x:row r="1295" ht="36" customHeight="1">
      <x:c r="A1295" s="19" t="str">
        <x:v>W18-20270110-1294</x:v>
      </x:c>
      <x:c r="B1295" s="13" t="n">
        <x:v>18</x:v>
      </x:c>
      <x:c r="C1295" s="13" t="str">
        <x:v>Этап 5 — Эффективность движения и работа над проектом</x:v>
      </x:c>
      <x:c r="D1295" s="138" t="str">
        <x:v>2027-01-10</x:v>
      </x:c>
      <x:c r="E1295" s="13" t="str">
        <x:v>Воскресенье</x:v>
      </x:c>
      <x:c r="F1295" s="13" t="str">
        <x:v>Восстановление B — дома</x:v>
      </x:c>
      <x:c r="G1295" s="44" t="n">
        <x:v>0.010416666666666666</x:v>
      </x:c>
      <x:c r="H1295" s="44" t="n">
        <x:v>0.015277777777777777</x:v>
      </x:c>
      <x:c r="I1295" s="32" t="n">
        <x:f>ROUND((H1295-G1295)*1440,0)</x:f>
        <x:v>7</x:v>
      </x:c>
      <x:c r="J1295" s="13" t="str">
        <x:v>Визуализация B</x:v>
      </x:c>
      <x:c r="K1295" s="13" t="str">
        <x:v>7 минут: мысленно повтори тему недели «Темп, дыхание и отдых» и одну трассу четверга.</x:v>
      </x:c>
      <x:c r="L1295" s="13" t="str">
        <x:v>☐ Не начато</x:v>
      </x:c>
      <x:c r="M1295" s="13" t="str">
        <x:v>Опционально</x:v>
      </x:c>
      <x:c r="N1295" s="13" t="str">
        <x:v>Без нагрузки</x:v>
      </x:c>
      <x:c r="O1295" s="13" t="str"/>
      <x:c r="P1295" s="13" t="str">
        <x:v>milestone_05_efficiency_projecting/week_18_2027-01-04/07_SUNDAY.md</x:v>
      </x:c>
      <x:c r="Q1295" s="138" t="str">
        <x:v>Markdown</x:v>
      </x:c>
      <x:c r="R1295" s="20" t="str"/>
    </x:row>
    <x:row r="1296" ht="36" customHeight="1">
      <x:c r="A1296" s="19" t="str">
        <x:v>W18-20270110-1295</x:v>
      </x:c>
      <x:c r="B1296" s="13" t="n">
        <x:v>18</x:v>
      </x:c>
      <x:c r="C1296" s="13" t="str">
        <x:v>Этап 5 — Эффективность движения и работа над проектом</x:v>
      </x:c>
      <x:c r="D1296" s="138" t="str">
        <x:v>2027-01-10</x:v>
      </x:c>
      <x:c r="E1296" s="13" t="str">
        <x:v>Воскресенье</x:v>
      </x:c>
      <x:c r="F1296" s="13" t="str">
        <x:v>Восстановление B — дома</x:v>
      </x:c>
      <x:c r="G1296" s="44" t="n">
        <x:v>0.015277777777777777</x:v>
      </x:c>
      <x:c r="H1296" s="44" t="n">
        <x:v>0.017361111111111112</x:v>
      </x:c>
      <x:c r="I1296" s="32" t="n">
        <x:f>ROUND((H1296-G1296)*1440,0)</x:f>
        <x:v>3</x:v>
      </x:c>
      <x:c r="J1296" s="13" t="str">
        <x:v>Итог недели B</x:v>
      </x:c>
      <x:c r="K1296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296" s="13" t="str">
        <x:v>☐ Не начато</x:v>
      </x:c>
      <x:c r="M1296" s="13" t="str">
        <x:v>Опционально</x:v>
      </x:c>
      <x:c r="N1296" s="13" t="str">
        <x:v>Без нагрузки</x:v>
      </x:c>
      <x:c r="O1296" s="13" t="str"/>
      <x:c r="P1296" s="13" t="str">
        <x:v>milestone_05_efficiency_projecting/week_18_2027-01-04/07_SUNDAY.md</x:v>
      </x:c>
      <x:c r="Q1296" s="138" t="str">
        <x:v>Markdown</x:v>
      </x:c>
      <x:c r="R1296" s="20" t="str"/>
    </x:row>
    <x:row r="1297" ht="36" customHeight="1">
      <x:c r="A1297" s="19" t="str">
        <x:v>W19-20270111-1296</x:v>
      </x:c>
      <x:c r="B1297" s="13" t="n">
        <x:v>19</x:v>
      </x:c>
      <x:c r="C1297" s="13" t="str">
        <x:v>Этап 5 — Эффективность движения и работа над проектом</x:v>
      </x:c>
      <x:c r="D1297" s="138" t="str">
        <x:v>2027-01-11</x:v>
      </x:c>
      <x:c r="E1297" s="13" t="str">
        <x:v>Понедельник</x:v>
      </x:c>
      <x:c r="F1297" s="13" t="str">
        <x:v>Дом / теория</x:v>
      </x:c>
      <x:c r="G1297" s="44" t="n">
        <x:v>0</x:v>
      </x:c>
      <x:c r="H1297" s="44" t="n">
        <x:v>0.0020833333333333333</x:v>
      </x:c>
      <x:c r="I1297" s="32" t="n">
        <x:f>ROUND((H1297-G1297)*1440,0)</x:f>
        <x:v>3</x:v>
      </x:c>
      <x:c r="J1297" s="13" t="str">
        <x:v>Самопроверка</x:v>
      </x:c>
      <x:c r="K1297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297" s="13" t="str">
        <x:v>☐ Не начато</x:v>
      </x:c>
      <x:c r="M1297" s="13" t="str">
        <x:v>Обязательно</x:v>
      </x:c>
      <x:c r="N1297" s="13" t="str">
        <x:v>Очень легко</x:v>
      </x:c>
      <x:c r="O1297" s="13" t="str">
        <x:v>Не диагностируй травму самостоятельно; используй правила из документа безопасности.</x:v>
      </x:c>
      <x:c r="P1297" s="13" t="str">
        <x:v>milestone_05_efficiency_projecting/week_19_2027-01-11/01_MONDAY.md</x:v>
      </x:c>
      <x:c r="Q1297" s="138" t="str">
        <x:v>Markdown</x:v>
      </x:c>
      <x:c r="R1297" s="20" t="str"/>
    </x:row>
    <x:row r="1298" ht="36" customHeight="1">
      <x:c r="A1298" s="19" t="str">
        <x:v>W19-20270111-1297</x:v>
      </x:c>
      <x:c r="B1298" s="13" t="n">
        <x:v>19</x:v>
      </x:c>
      <x:c r="C1298" s="13" t="str">
        <x:v>Этап 5 — Эффективность движения и работа над проектом</x:v>
      </x:c>
      <x:c r="D1298" s="138" t="str">
        <x:v>2027-01-11</x:v>
      </x:c>
      <x:c r="E1298" s="13" t="str">
        <x:v>Понедельник</x:v>
      </x:c>
      <x:c r="F1298" s="13" t="str">
        <x:v>Дом / теория</x:v>
      </x:c>
      <x:c r="G1298" s="44" t="n">
        <x:v>0.0020833333333333333</x:v>
      </x:c>
      <x:c r="H1298" s="44" t="n">
        <x:v>0.005555555555555556</x:v>
      </x:c>
      <x:c r="I1298" s="32" t="n">
        <x:f>ROUND((H1298-G1298)*1440,0)</x:f>
        <x:v>5</x:v>
      </x:c>
      <x:c r="J1298" s="13" t="str">
        <x:v>Планирование</x:v>
      </x:c>
      <x:c r="K1298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«Не повторяй всю трассу ради одного движения: отдельно тренируй вход, crux и выход.»</x:v>
      </x:c>
      <x:c r="L1298" s="13" t="str">
        <x:v>☐ Не начато</x:v>
      </x:c>
      <x:c r="M1298" s="13" t="str">
        <x:v>Обязательно</x:v>
      </x:c>
      <x:c r="N1298" s="13" t="str">
        <x:v>Без нагрузки</x:v>
      </x:c>
      <x:c r="O1298" s="13" t="str"/>
      <x:c r="P1298" s="13" t="str">
        <x:v>milestone_05_efficiency_projecting/week_19_2027-01-11/01_MONDAY.md</x:v>
      </x:c>
      <x:c r="Q1298" s="138" t="str">
        <x:v>Markdown</x:v>
      </x:c>
      <x:c r="R1298" s="20" t="str"/>
    </x:row>
    <x:row r="1299" ht="36" customHeight="1">
      <x:c r="A1299" s="19" t="str">
        <x:v>W19-20270111-1298</x:v>
      </x:c>
      <x:c r="B1299" s="13" t="n">
        <x:v>19</x:v>
      </x:c>
      <x:c r="C1299" s="13" t="str">
        <x:v>Этап 5 — Эффективность движения и работа над проектом</x:v>
      </x:c>
      <x:c r="D1299" s="138" t="str">
        <x:v>2027-01-11</x:v>
      </x:c>
      <x:c r="E1299" s="13" t="str">
        <x:v>Понедельник</x:v>
      </x:c>
      <x:c r="F1299" s="13" t="str">
        <x:v>Дом / теория</x:v>
      </x:c>
      <x:c r="G1299" s="44" t="n">
        <x:v>0.005555555555555556</x:v>
      </x:c>
      <x:c r="H1299" s="44" t="n">
        <x:v>0.01597222222222222</x:v>
      </x:c>
      <x:c r="I1299" s="32" t="n">
        <x:f>ROUND((H1299-G1299)*1440,0)</x:f>
        <x:v>15</x:v>
      </x:c>
      <x:c r="J1299" s="13" t="str">
        <x:v>Теория</x:v>
      </x:c>
      <x:c r="K1299" s="13" t="str">
        <x:v>Посмотри/прочитай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299" s="13" t="str">
        <x:v>☐ Не начато</x:v>
      </x:c>
      <x:c r="M1299" s="13" t="str">
        <x:v>Обязательно</x:v>
      </x:c>
      <x:c r="N1299" s="13" t="str">
        <x:v>Без нагрузки</x:v>
      </x:c>
      <x:c r="O1299" s="13" t="str"/>
      <x:c r="P1299" s="13" t="str">
        <x:v>milestone_05_efficiency_projecting/week_19_2027-01-11/01_MONDAY.md</x:v>
      </x:c>
      <x:c r="Q1299" s="138" t="str">
        <x:v>Markdown</x:v>
      </x:c>
      <x:c r="R1299" s="20" t="str"/>
    </x:row>
    <x:row r="1300" ht="36" customHeight="1">
      <x:c r="A1300" s="19" t="str">
        <x:v>W19-20270111-1299</x:v>
      </x:c>
      <x:c r="B1300" s="13" t="n">
        <x:v>19</x:v>
      </x:c>
      <x:c r="C1300" s="13" t="str">
        <x:v>Этап 5 — Эффективность движения и работа над проектом</x:v>
      </x:c>
      <x:c r="D1300" s="138" t="str">
        <x:v>2027-01-11</x:v>
      </x:c>
      <x:c r="E1300" s="13" t="str">
        <x:v>Понедельник</x:v>
      </x:c>
      <x:c r="F1300" s="13" t="str">
        <x:v>Дом / теория</x:v>
      </x:c>
      <x:c r="G1300" s="44" t="n">
        <x:v>0.01597222222222222</x:v>
      </x:c>
      <x:c r="H1300" s="44" t="n">
        <x:v>0.019444444444444445</x:v>
      </x:c>
      <x:c r="I1300" s="32" t="n">
        <x:f>ROUND((H1300-G1300)*1440,0)</x:f>
        <x:v>5</x:v>
      </x:c>
      <x:c r="J1300" s="13" t="str">
        <x:v>Конспект</x:v>
      </x:c>
      <x:c r="K1300" s="13" t="str">
        <x:v>Запиши ровно 3 пункта: (1) что делать ногами/тазом; (2) что не делать руками; (3) какой признак успеха проверишь на стене для темы «Разделение проекта».</x:v>
      </x:c>
      <x:c r="L1300" s="13" t="str">
        <x:v>☐ Не начато</x:v>
      </x:c>
      <x:c r="M1300" s="13" t="str">
        <x:v>Обязательно</x:v>
      </x:c>
      <x:c r="N1300" s="13" t="str">
        <x:v>Без нагрузки</x:v>
      </x:c>
      <x:c r="O1300" s="13" t="str"/>
      <x:c r="P1300" s="13" t="str">
        <x:v>milestone_05_efficiency_projecting/week_19_2027-01-11/01_MONDAY.md</x:v>
      </x:c>
      <x:c r="Q1300" s="138" t="str">
        <x:v>Markdown</x:v>
      </x:c>
      <x:c r="R1300" s="20" t="str"/>
    </x:row>
    <x:row r="1301" ht="36" customHeight="1">
      <x:c r="A1301" s="19" t="str">
        <x:v>W19-20270111-1300</x:v>
      </x:c>
      <x:c r="B1301" s="13" t="n">
        <x:v>19</x:v>
      </x:c>
      <x:c r="C1301" s="13" t="str">
        <x:v>Этап 5 — Эффективность движения и работа над проектом</x:v>
      </x:c>
      <x:c r="D1301" s="138" t="str">
        <x:v>2027-01-11</x:v>
      </x:c>
      <x:c r="E1301" s="13" t="str">
        <x:v>Понедельник</x:v>
      </x:c>
      <x:c r="F1301" s="13" t="str">
        <x:v>Дом / теория</x:v>
      </x:c>
      <x:c r="G1301" s="44" t="n">
        <x:v>0.019444444444444445</x:v>
      </x:c>
      <x:c r="H1301" s="44" t="n">
        <x:v>0.027777777777777776</x:v>
      </x:c>
      <x:c r="I1301" s="32" t="n">
        <x:f>ROUND((H1301-G1301)*1440,0)</x:f>
        <x:v>12</x:v>
      </x:c>
      <x:c r="J1301" s="13" t="str">
        <x:v>Домашняя мобильность</x:v>
      </x:c>
      <x:c r="K1301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301" s="13" t="str">
        <x:v>☐ Не начато</x:v>
      </x:c>
      <x:c r="M1301" s="13" t="str">
        <x:v>Обязательно</x:v>
      </x:c>
      <x:c r="N1301" s="13" t="str">
        <x:v>RPE 2–3</x:v>
      </x:c>
      <x:c r="O1301" s="13" t="str">
        <x:v>Никаких скручиваний через боль. Плечом не отталкивайся от стены; касание только для равновесия.</x:v>
      </x:c>
      <x:c r="P1301" s="13" t="str">
        <x:v>milestone_05_efficiency_projecting/week_19_2027-01-11/01_MONDAY.md</x:v>
      </x:c>
      <x:c r="Q1301" s="138" t="str">
        <x:v>Markdown</x:v>
      </x:c>
      <x:c r="R1301" s="20" t="str"/>
    </x:row>
    <x:row r="1302" ht="36" customHeight="1">
      <x:c r="A1302" s="19" t="str">
        <x:v>W19-20270111-1301</x:v>
      </x:c>
      <x:c r="B1302" s="13" t="n">
        <x:v>19</x:v>
      </x:c>
      <x:c r="C1302" s="13" t="str">
        <x:v>Этап 5 — Эффективность движения и работа над проектом</x:v>
      </x:c>
      <x:c r="D1302" s="138" t="str">
        <x:v>2027-01-11</x:v>
      </x:c>
      <x:c r="E1302" s="13" t="str">
        <x:v>Понедельник</x:v>
      </x:c>
      <x:c r="F1302" s="13" t="str">
        <x:v>Дом / теория</x:v>
      </x:c>
      <x:c r="G1302" s="44" t="n">
        <x:v>0.027777777777777776</x:v>
      </x:c>
      <x:c r="H1302" s="44" t="n">
        <x:v>0.041666666666666664</x:v>
      </x:c>
      <x:c r="I1302" s="32" t="n">
        <x:f>ROUND((H1302-G1302)*1440,0)</x:f>
        <x:v>20</x:v>
      </x:c>
      <x:c r="J1302" s="13" t="str">
        <x:v>Физиотерапия</x:v>
      </x:c>
      <x:c r="K1302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302" s="13" t="str">
        <x:v>☐ Не начато</x:v>
      </x:c>
      <x:c r="M1302" s="13" t="str">
        <x:v>По назначению</x:v>
      </x:c>
      <x:c r="N1302" s="13" t="str">
        <x:v>По назначению физиотерапевта</x:v>
      </x:c>
      <x:c r="O1302" s="13" t="str">
        <x:v>Любые указания физиотерапевта имеют приоритет над этим планом.</x:v>
      </x:c>
      <x:c r="P1302" s="13" t="str">
        <x:v>milestone_05_efficiency_projecting/week_19_2027-01-11/01_MONDAY.md</x:v>
      </x:c>
      <x:c r="Q1302" s="138" t="str">
        <x:v>Markdown</x:v>
      </x:c>
      <x:c r="R1302" s="20" t="str"/>
    </x:row>
    <x:row r="1303" ht="36" customHeight="1">
      <x:c r="A1303" s="19" t="str">
        <x:v>W19-20270111-1302</x:v>
      </x:c>
      <x:c r="B1303" s="13" t="n">
        <x:v>19</x:v>
      </x:c>
      <x:c r="C1303" s="13" t="str">
        <x:v>Этап 5 — Эффективность движения и работа над проектом</x:v>
      </x:c>
      <x:c r="D1303" s="138" t="str">
        <x:v>2027-01-11</x:v>
      </x:c>
      <x:c r="E1303" s="13" t="str">
        <x:v>Понедельник</x:v>
      </x:c>
      <x:c r="F1303" s="13" t="str">
        <x:v>Дом / теория</x:v>
      </x:c>
      <x:c r="G1303" s="44" t="n">
        <x:v>0.041666666666666664</x:v>
      </x:c>
      <x:c r="H1303" s="44" t="n">
        <x:v>0.04375</x:v>
      </x:c>
      <x:c r="I1303" s="32" t="n">
        <x:f>ROUND((H1303-G1303)*1440,0)</x:f>
        <x:v>3</x:v>
      </x:c>
      <x:c r="J1303" s="13" t="str">
        <x:v>Подготовка</x:v>
      </x:c>
      <x:c r="K1303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303" s="13" t="str">
        <x:v>☐ Не начато</x:v>
      </x:c>
      <x:c r="M1303" s="13" t="str">
        <x:v>Обязательно</x:v>
      </x:c>
      <x:c r="N1303" s="13" t="str">
        <x:v>Без нагрузки</x:v>
      </x:c>
      <x:c r="O1303" s="13" t="str">
        <x:v>Кольца и турник — только в рамках программы физиотерапевта.</x:v>
      </x:c>
      <x:c r="P1303" s="13" t="str">
        <x:v>milestone_05_efficiency_projecting/week_19_2027-01-11/01_MONDAY.md</x:v>
      </x:c>
      <x:c r="Q1303" s="138" t="str">
        <x:v>Markdown</x:v>
      </x:c>
      <x:c r="R1303" s="20" t="str"/>
    </x:row>
    <x:row r="1304" ht="36" customHeight="1">
      <x:c r="A1304" s="19" t="str">
        <x:v>W19-20270112-1303</x:v>
      </x:c>
      <x:c r="B1304" s="13" t="n">
        <x:v>19</x:v>
      </x:c>
      <x:c r="C1304" s="13" t="str">
        <x:v>Этап 5 — Эффективность движения и работа над проектом</x:v>
      </x:c>
      <x:c r="D1304" s="138" t="str">
        <x:v>2027-01-12</x:v>
      </x:c>
      <x:c r="E1304" s="13" t="str">
        <x:v>Вторник</x:v>
      </x:c>
      <x:c r="F1304" s="13" t="str">
        <x:v>Тренировка A — техника/объём</x:v>
      </x:c>
      <x:c r="G1304" s="44" t="n">
        <x:v>0</x:v>
      </x:c>
      <x:c r="H1304" s="44" t="n">
        <x:v>0.0020833333333333333</x:v>
      </x:c>
      <x:c r="I1304" s="32" t="n">
        <x:f>ROUND((H1304-G1304)*1440,0)</x:f>
        <x:v>3</x:v>
      </x:c>
      <x:c r="J1304" s="13" t="str">
        <x:v>Самопроверка</x:v>
      </x:c>
      <x:c r="K130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304" s="13" t="str">
        <x:v>☐ Не начато</x:v>
      </x:c>
      <x:c r="M1304" s="13" t="str">
        <x:v>Обязательно</x:v>
      </x:c>
      <x:c r="N1304" s="13" t="str">
        <x:v>Без нагрузки</x:v>
      </x:c>
      <x:c r="O1304" s="13" t="str">
        <x:v>Красный флаг = не начинать пальцевую нагрузку.</x:v>
      </x:c>
      <x:c r="P1304" s="13" t="str">
        <x:v>milestone_05_efficiency_projecting/week_19_2027-01-11/02_TUESDAY.md</x:v>
      </x:c>
      <x:c r="Q1304" s="138" t="str">
        <x:v>Markdown</x:v>
      </x:c>
      <x:c r="R1304" s="20" t="str"/>
    </x:row>
    <x:row r="1305" ht="36" customHeight="1">
      <x:c r="A1305" s="19" t="str">
        <x:v>W19-20270112-1304</x:v>
      </x:c>
      <x:c r="B1305" s="13" t="n">
        <x:v>19</x:v>
      </x:c>
      <x:c r="C1305" s="13" t="str">
        <x:v>Этап 5 — Эффективность движения и работа над проектом</x:v>
      </x:c>
      <x:c r="D1305" s="138" t="str">
        <x:v>2027-01-12</x:v>
      </x:c>
      <x:c r="E1305" s="13" t="str">
        <x:v>Вторник</x:v>
      </x:c>
      <x:c r="F1305" s="13" t="str">
        <x:v>Тренировка A — техника/объём</x:v>
      </x:c>
      <x:c r="G1305" s="44" t="n">
        <x:v>0.0020833333333333333</x:v>
      </x:c>
      <x:c r="H1305" s="44" t="n">
        <x:v>0.005555555555555556</x:v>
      </x:c>
      <x:c r="I1305" s="32" t="n">
        <x:f>ROUND((H1305-G1305)*1440,0)</x:f>
        <x:v>5</x:v>
      </x:c>
      <x:c r="J1305" s="13" t="str">
        <x:v>Разминка</x:v>
      </x:c>
      <x:c r="K1305" s="13" t="str">
        <x:v>Подними температуру: быстрая ходьба, лестница или лёгкий велотренажёр 5 минут.</x:v>
      </x:c>
      <x:c r="L1305" s="13" t="str">
        <x:v>☐ Не начато</x:v>
      </x:c>
      <x:c r="M1305" s="13" t="str">
        <x:v>Обязательно</x:v>
      </x:c>
      <x:c r="N1305" s="13" t="str">
        <x:v>RPE 2–3</x:v>
      </x:c>
      <x:c r="O1305" s="13" t="str"/>
      <x:c r="P1305" s="13" t="str">
        <x:v>milestone_05_efficiency_projecting/week_19_2027-01-11/02_TUESDAY.md</x:v>
      </x:c>
      <x:c r="Q1305" s="138" t="str">
        <x:v>Markdown</x:v>
      </x:c>
      <x:c r="R1305" s="20" t="str"/>
    </x:row>
    <x:row r="1306" ht="36" customHeight="1">
      <x:c r="A1306" s="19" t="str">
        <x:v>W19-20270112-1305</x:v>
      </x:c>
      <x:c r="B1306" s="13" t="n">
        <x:v>19</x:v>
      </x:c>
      <x:c r="C1306" s="13" t="str">
        <x:v>Этап 5 — Эффективность движения и работа над проектом</x:v>
      </x:c>
      <x:c r="D1306" s="138" t="str">
        <x:v>2027-01-12</x:v>
      </x:c>
      <x:c r="E1306" s="13" t="str">
        <x:v>Вторник</x:v>
      </x:c>
      <x:c r="F1306" s="13" t="str">
        <x:v>Тренировка A — техника/объём</x:v>
      </x:c>
      <x:c r="G1306" s="44" t="n">
        <x:v>0.005555555555555556</x:v>
      </x:c>
      <x:c r="H1306" s="44" t="n">
        <x:v>0.009027777777777777</x:v>
      </x:c>
      <x:c r="I1306" s="32" t="n">
        <x:f>ROUND((H1306-G1306)*1440,0)</x:f>
        <x:v>5</x:v>
      </x:c>
      <x:c r="J1306" s="13" t="str">
        <x:v>Разминка</x:v>
      </x:c>
      <x:c r="K130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306" s="13" t="str">
        <x:v>☐ Не начато</x:v>
      </x:c>
      <x:c r="M1306" s="13" t="str">
        <x:v>Обязательно</x:v>
      </x:c>
      <x:c r="N1306" s="13" t="str">
        <x:v>Очень легко</x:v>
      </x:c>
      <x:c r="O1306" s="13" t="str">
        <x:v>Не делай press/отжимания и движения, которые раздражают плечо.</x:v>
      </x:c>
      <x:c r="P1306" s="13" t="str">
        <x:v>milestone_05_efficiency_projecting/week_19_2027-01-11/02_TUESDAY.md</x:v>
      </x:c>
      <x:c r="Q1306" s="138" t="str">
        <x:v>Markdown</x:v>
      </x:c>
      <x:c r="R1306" s="20" t="str"/>
    </x:row>
    <x:row r="1307" ht="36" customHeight="1">
      <x:c r="A1307" s="19" t="str">
        <x:v>W19-20270112-1306</x:v>
      </x:c>
      <x:c r="B1307" s="13" t="n">
        <x:v>19</x:v>
      </x:c>
      <x:c r="C1307" s="13" t="str">
        <x:v>Этап 5 — Эффективность движения и работа над проектом</x:v>
      </x:c>
      <x:c r="D1307" s="138" t="str">
        <x:v>2027-01-12</x:v>
      </x:c>
      <x:c r="E1307" s="13" t="str">
        <x:v>Вторник</x:v>
      </x:c>
      <x:c r="F1307" s="13" t="str">
        <x:v>Тренировка A — техника/объём</x:v>
      </x:c>
      <x:c r="G1307" s="44" t="n">
        <x:v>0.009027777777777777</x:v>
      </x:c>
      <x:c r="H1307" s="44" t="n">
        <x:v>0.011805555555555555</x:v>
      </x:c>
      <x:c r="I1307" s="32" t="n">
        <x:f>ROUND((H1307-G1307)*1440,0)</x:f>
        <x:v>4</x:v>
      </x:c>
      <x:c r="J1307" s="13" t="str">
        <x:v>Разминка пальцев</x:v>
      </x:c>
      <x:c r="K130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307" s="13" t="str">
        <x:v>☐ Не начато</x:v>
      </x:c>
      <x:c r="M1307" s="13" t="str">
        <x:v>Обязательно</x:v>
      </x:c>
      <x:c r="N1307" s="13" t="str">
        <x:v>Очень легко</x:v>
      </x:c>
      <x:c r="O1307" s="13" t="str"/>
      <x:c r="P1307" s="13" t="str">
        <x:v>milestone_05_efficiency_projecting/week_19_2027-01-11/02_TUESDAY.md</x:v>
      </x:c>
      <x:c r="Q1307" s="138" t="str">
        <x:v>Markdown</x:v>
      </x:c>
      <x:c r="R1307" s="20" t="str"/>
    </x:row>
    <x:row r="1308" ht="36" customHeight="1">
      <x:c r="A1308" s="19" t="str">
        <x:v>W19-20270112-1307</x:v>
      </x:c>
      <x:c r="B1308" s="13" t="n">
        <x:v>19</x:v>
      </x:c>
      <x:c r="C1308" s="13" t="str">
        <x:v>Этап 5 — Эффективность движения и работа над проектом</x:v>
      </x:c>
      <x:c r="D1308" s="138" t="str">
        <x:v>2027-01-12</x:v>
      </x:c>
      <x:c r="E1308" s="13" t="str">
        <x:v>Вторник</x:v>
      </x:c>
      <x:c r="F1308" s="13" t="str">
        <x:v>Тренировка A — техника/объём</x:v>
      </x:c>
      <x:c r="G1308" s="44" t="n">
        <x:v>0.011805555555555555</x:v>
      </x:c>
      <x:c r="H1308" s="44" t="n">
        <x:v>0.014583333333333334</x:v>
      </x:c>
      <x:c r="I1308" s="32" t="n">
        <x:f>ROUND((H1308-G1308)*1440,0)</x:f>
        <x:v>4</x:v>
      </x:c>
      <x:c r="J1308" s="13" t="str">
        <x:v>Разминочное лазание</x:v>
      </x:c>
      <x:c r="K1308" s="13" t="str">
        <x:v>Пройди 2 очень лёгкие трассы уровня 1–2; двигайся медленно, спускайся по зацепам.</x:v>
      </x:c>
      <x:c r="L1308" s="13" t="str">
        <x:v>☐ Не начато</x:v>
      </x:c>
      <x:c r="M1308" s="13" t="str">
        <x:v>Обязательно</x:v>
      </x:c>
      <x:c r="N1308" s="13" t="str">
        <x:v>RPE 2–3</x:v>
      </x:c>
      <x:c r="O1308" s="13" t="str">
        <x:v>Финиш с обязательным болезненным mantle/press пропусти.</x:v>
      </x:c>
      <x:c r="P1308" s="13" t="str">
        <x:v>milestone_05_efficiency_projecting/week_19_2027-01-11/02_TUESDAY.md</x:v>
      </x:c>
      <x:c r="Q1308" s="138" t="str">
        <x:v>Markdown</x:v>
      </x:c>
      <x:c r="R1308" s="20" t="str"/>
    </x:row>
    <x:row r="1309" ht="36" customHeight="1">
      <x:c r="A1309" s="19" t="str">
        <x:v>W19-20270112-1308</x:v>
      </x:c>
      <x:c r="B1309" s="13" t="n">
        <x:v>19</x:v>
      </x:c>
      <x:c r="C1309" s="13" t="str">
        <x:v>Этап 5 — Эффективность движения и работа над проектом</x:v>
      </x:c>
      <x:c r="D1309" s="138" t="str">
        <x:v>2027-01-12</x:v>
      </x:c>
      <x:c r="E1309" s="13" t="str">
        <x:v>Вторник</x:v>
      </x:c>
      <x:c r="F1309" s="13" t="str">
        <x:v>Тренировка A — техника/объём</x:v>
      </x:c>
      <x:c r="G1309" s="44" t="n">
        <x:v>0.014583333333333334</x:v>
      </x:c>
      <x:c r="H1309" s="44" t="n">
        <x:v>0.017361111111111112</x:v>
      </x:c>
      <x:c r="I1309" s="32" t="n">
        <x:f>ROUND((H1309-G1309)*1440,0)</x:f>
        <x:v>4</x:v>
      </x:c>
      <x:c r="J1309" s="13" t="str">
        <x:v>Разминочное лазание</x:v>
      </x:c>
      <x:c r="K1309" s="13" t="str">
        <x:v>Пройди 2 трассы уровня 2–3, затем сделай 2–3 движения на комфортной четвёрке. Между ними 45–60 секунд.</x:v>
      </x:c>
      <x:c r="L1309" s="13" t="str">
        <x:v>☐ Не начато</x:v>
      </x:c>
      <x:c r="M1309" s="13" t="str">
        <x:v>Обязательно</x:v>
      </x:c>
      <x:c r="N1309" s="13" t="str">
        <x:v>RPE 3–4</x:v>
      </x:c>
      <x:c r="O1309" s="13" t="str">
        <x:v>Разминка не должна утомить пальцы.</x:v>
      </x:c>
      <x:c r="P1309" s="13" t="str">
        <x:v>milestone_05_efficiency_projecting/week_19_2027-01-11/02_TUESDAY.md</x:v>
      </x:c>
      <x:c r="Q1309" s="138" t="str">
        <x:v>Markdown</x:v>
      </x:c>
      <x:c r="R1309" s="20" t="str"/>
    </x:row>
    <x:row r="1310" ht="36" customHeight="1">
      <x:c r="A1310" s="19" t="str">
        <x:v>W19-20270112-1309</x:v>
      </x:c>
      <x:c r="B1310" s="13" t="n">
        <x:v>19</x:v>
      </x:c>
      <x:c r="C1310" s="13" t="str">
        <x:v>Этап 5 — Эффективность движения и работа над проектом</x:v>
      </x:c>
      <x:c r="D1310" s="138" t="str">
        <x:v>2027-01-12</x:v>
      </x:c>
      <x:c r="E1310" s="13" t="str">
        <x:v>Вторник</x:v>
      </x:c>
      <x:c r="F1310" s="13" t="str">
        <x:v>Тренировка A — техника/объём</x:v>
      </x:c>
      <x:c r="G1310" s="44" t="n">
        <x:v>0.017361111111111112</x:v>
      </x:c>
      <x:c r="H1310" s="44" t="n">
        <x:v>0.02013888888888889</x:v>
      </x:c>
      <x:c r="I1310" s="32" t="n">
        <x:f>ROUND((H1310-G1310)*1440,0)</x:f>
        <x:v>4</x:v>
      </x:c>
      <x:c r="J1310" s="13" t="str">
        <x:v>Выбор трасс</x:v>
      </x:c>
      <x:c r="K1310" s="13" t="str">
        <x:v>Найди трассы для упражнения: 2 четвёрки для техники + 2 пятёрки, где можно изолировать одно трудное движение.</x:v>
      </x:c>
      <x:c r="L1310" s="13" t="str">
        <x:v>☐ Не начато</x:v>
      </x:c>
      <x:c r="M1310" s="13" t="str">
        <x:v>Обязательно</x:v>
      </x:c>
      <x:c r="N1310" s="13" t="str">
        <x:v>Без нагрузки</x:v>
      </x:c>
      <x:c r="O1310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10" s="13" t="str">
        <x:v>milestone_05_efficiency_projecting/week_19_2027-01-11/02_TUESDAY.md</x:v>
      </x:c>
      <x:c r="Q1310" s="138" t="str">
        <x:v>Markdown</x:v>
      </x:c>
      <x:c r="R1310" s="20" t="str"/>
    </x:row>
    <x:row r="1311" ht="36" customHeight="1">
      <x:c r="A1311" s="19" t="str">
        <x:v>W19-20270112-1310</x:v>
      </x:c>
      <x:c r="B1311" s="13" t="n">
        <x:v>19</x:v>
      </x:c>
      <x:c r="C1311" s="13" t="str">
        <x:v>Этап 5 — Эффективность движения и работа над проектом</x:v>
      </x:c>
      <x:c r="D1311" s="138" t="str">
        <x:v>2027-01-12</x:v>
      </x:c>
      <x:c r="E1311" s="13" t="str">
        <x:v>Вторник</x:v>
      </x:c>
      <x:c r="F1311" s="13" t="str">
        <x:v>Тренировка A — техника/объём</x:v>
      </x:c>
      <x:c r="G1311" s="44" t="n">
        <x:v>0.02013888888888889</x:v>
      </x:c>
      <x:c r="H1311" s="44" t="n">
        <x:v>0.03194444444444444</x:v>
      </x:c>
      <x:c r="I1311" s="32" t="n">
        <x:f>ROUND((H1311-G1311)*1440,0)</x:f>
        <x:v>17</x:v>
      </x:c>
      <x:c r="J1311" s="13" t="str">
        <x:v>Технический блок</x:v>
      </x:c>
      <x:c r="K1311" s="13" t="str">
        <x:v>Отработай «Разделение проекта». Шаги: Сделай одну полную диагностическую попытку. Отработай start → позиция перед crux. Отработай crux как отдельную задачу, если безопасно и не мешает людям.</x:v>
      </x:c>
      <x:c r="L1311" s="13" t="str">
        <x:v>☐ Не начато</x:v>
      </x:c>
      <x:c r="M1311" s="13" t="str">
        <x:v>Обязательно</x:v>
      </x:c>
      <x:c r="N1311" s="13" t="str">
        <x:v>RPE 3–5</x:v>
      </x:c>
      <x:c r="O1311" s="13" t="str">
        <x:v>При сомнении спросить сотрудника, можно ли безопасно начинать с нужной позиции.</x:v>
      </x:c>
      <x:c r="P1311" s="13" t="str">
        <x:v>milestone_05_efficiency_projecting/week_19_2027-01-11/02_TUESDAY.md</x:v>
      </x:c>
      <x:c r="Q1311" s="138" t="str">
        <x:v>Markdown</x:v>
      </x:c>
      <x:c r="R1311" s="20" t="str"/>
    </x:row>
    <x:row r="1312" ht="36" customHeight="1">
      <x:c r="A1312" s="19" t="str">
        <x:v>W19-20270112-1311</x:v>
      </x:c>
      <x:c r="B1312" s="13" t="n">
        <x:v>19</x:v>
      </x:c>
      <x:c r="C1312" s="13" t="str">
        <x:v>Этап 5 — Эффективность движения и работа над проектом</x:v>
      </x:c>
      <x:c r="D1312" s="138" t="str">
        <x:v>2027-01-12</x:v>
      </x:c>
      <x:c r="E1312" s="13" t="str">
        <x:v>Вторник</x:v>
      </x:c>
      <x:c r="F1312" s="13" t="str">
        <x:v>Тренировка A — техника/объём</x:v>
      </x:c>
      <x:c r="G1312" s="44" t="n">
        <x:v>0.03194444444444444</x:v>
      </x:c>
      <x:c r="H1312" s="44" t="n">
        <x:v>0.035416666666666666</x:v>
      </x:c>
      <x:c r="I1312" s="32" t="n">
        <x:f>ROUND((H1312-G1312)*1440,0)</x:f>
        <x:v>5</x:v>
      </x:c>
      <x:c r="J1312" s="13" t="str">
        <x:v>Обратная связь</x:v>
      </x:c>
      <x:c r="K1312" s="13" t="str">
        <x:v>Повтори лучшую лёгкую трассу и проверь критерий успеха: Получены минимум две повторяемые короткие связки.</x:v>
      </x:c>
      <x:c r="L1312" s="13" t="str">
        <x:v>☐ Не начато</x:v>
      </x:c>
      <x:c r="M1312" s="13" t="str">
        <x:v>Обязательно</x:v>
      </x:c>
      <x:c r="N1312" s="13" t="str">
        <x:v>RPE 4–5</x:v>
      </x:c>
      <x:c r="O1312" s="13" t="str"/>
      <x:c r="P1312" s="13" t="str">
        <x:v>milestone_05_efficiency_projecting/week_19_2027-01-11/02_TUESDAY.md</x:v>
      </x:c>
      <x:c r="Q1312" s="138" t="str">
        <x:v>Markdown</x:v>
      </x:c>
      <x:c r="R1312" s="20" t="str"/>
    </x:row>
    <x:row r="1313" ht="36" customHeight="1">
      <x:c r="A1313" s="19" t="str">
        <x:v>W19-20270112-1312</x:v>
      </x:c>
      <x:c r="B1313" s="13" t="n">
        <x:v>19</x:v>
      </x:c>
      <x:c r="C1313" s="13" t="str">
        <x:v>Этап 5 — Эффективность движения и работа над проектом</x:v>
      </x:c>
      <x:c r="D1313" s="138" t="str">
        <x:v>2027-01-12</x:v>
      </x:c>
      <x:c r="E1313" s="13" t="str">
        <x:v>Вторник</x:v>
      </x:c>
      <x:c r="F1313" s="13" t="str">
        <x:v>Тренировка A — техника/объём</x:v>
      </x:c>
      <x:c r="G1313" s="44" t="n">
        <x:v>0.035416666666666666</x:v>
      </x:c>
      <x:c r="H1313" s="44" t="n">
        <x:v>0.04583333333333333</x:v>
      </x:c>
      <x:c r="I1313" s="32" t="n">
        <x:f>ROUND((H1313-G1313)*1440,0)</x:f>
        <x:v>15</x:v>
      </x:c>
      <x:c r="J1313" s="13" t="str">
        <x:v>Качественный объём</x:v>
      </x:c>
      <x:c r="K1313" s="13" t="str">
        <x:v>Попробуй 2–3 четвёрки, максимум 2 попытки на каждую, отдых 2:00. На неудаче назови техническую причину.</x:v>
      </x:c>
      <x:c r="L1313" s="13" t="str">
        <x:v>☐ Не начато</x:v>
      </x:c>
      <x:c r="M1313" s="13" t="str">
        <x:v>Обязательно</x:v>
      </x:c>
      <x:c r="N1313" s="13" t="str">
        <x:v>RPE 6–7</x:v>
      </x:c>
      <x:c r="O1313" s="13" t="str">
        <x:v>Не выбирать подряд три трассы на одинаково маленьких кромках.</x:v>
      </x:c>
      <x:c r="P1313" s="13" t="str">
        <x:v>milestone_05_efficiency_projecting/week_19_2027-01-11/02_TUESDAY.md</x:v>
      </x:c>
      <x:c r="Q1313" s="138" t="str">
        <x:v>Markdown</x:v>
      </x:c>
      <x:c r="R1313" s="20" t="str"/>
    </x:row>
    <x:row r="1314" ht="36" customHeight="1">
      <x:c r="A1314" s="19" t="str">
        <x:v>W19-20270112-1313</x:v>
      </x:c>
      <x:c r="B1314" s="13" t="n">
        <x:v>19</x:v>
      </x:c>
      <x:c r="C1314" s="13" t="str">
        <x:v>Этап 5 — Эффективность движения и работа над проектом</x:v>
      </x:c>
      <x:c r="D1314" s="138" t="str">
        <x:v>2027-01-12</x:v>
      </x:c>
      <x:c r="E1314" s="13" t="str">
        <x:v>Вторник</x:v>
      </x:c>
      <x:c r="F1314" s="13" t="str">
        <x:v>Тренировка A — техника/объём</x:v>
      </x:c>
      <x:c r="G1314" s="44" t="n">
        <x:v>0.04583333333333333</x:v>
      </x:c>
      <x:c r="H1314" s="44" t="n">
        <x:v>0.052083333333333336</x:v>
      </x:c>
      <x:c r="I1314" s="32" t="n">
        <x:f>ROUND((H1314-G1314)*1440,0)</x:f>
        <x:v>9</x:v>
      </x:c>
      <x:c r="J1314" s="13" t="str">
        <x:v>Рабочая пятёрка</x:v>
      </x:c>
      <x:c r="K1314" s="13" t="str">
        <x:v>Одна пятёрка, максимум 2 попытки, отдых 3:00. Цель — применить тему недели, а не обязательно закрыть.</x:v>
      </x:c>
      <x:c r="L1314" s="13" t="str">
        <x:v>☐ Не начато</x:v>
      </x:c>
      <x:c r="M1314" s="13" t="str">
        <x:v>Обязательно</x:v>
      </x:c>
      <x:c r="N1314" s="13" t="str">
        <x:v>RPE 7–8</x:v>
      </x:c>
      <x:c r="O1314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14" s="13" t="str">
        <x:v>milestone_05_efficiency_projecting/week_19_2027-01-11/02_TUESDAY.md</x:v>
      </x:c>
      <x:c r="Q1314" s="138" t="str">
        <x:v>Markdown</x:v>
      </x:c>
      <x:c r="R1314" s="20" t="str"/>
    </x:row>
    <x:row r="1315" ht="36" customHeight="1">
      <x:c r="A1315" s="19" t="str">
        <x:v>W19-20270112-1314</x:v>
      </x:c>
      <x:c r="B1315" s="13" t="n">
        <x:v>19</x:v>
      </x:c>
      <x:c r="C1315" s="13" t="str">
        <x:v>Этап 5 — Эффективность движения и работа над проектом</x:v>
      </x:c>
      <x:c r="D1315" s="138" t="str">
        <x:v>2027-01-12</x:v>
      </x:c>
      <x:c r="E1315" s="13" t="str">
        <x:v>Вторник</x:v>
      </x:c>
      <x:c r="F1315" s="13" t="str">
        <x:v>Тренировка A — техника/объём</x:v>
      </x:c>
      <x:c r="G1315" s="44" t="n">
        <x:v>0.052083333333333336</x:v>
      </x:c>
      <x:c r="H1315" s="44" t="n">
        <x:v>0.058333333333333334</x:v>
      </x:c>
      <x:c r="I1315" s="32" t="n">
        <x:f>ROUND((H1315-G1315)*1440,0)</x:f>
        <x:v>9</x:v>
      </x:c>
      <x:c r="J1315" s="13" t="str">
        <x:v>Лёгкая выносливость</x:v>
      </x:c>
      <x:c r="K1315" s="13" t="str">
        <x:v>Начни 2 раунда × 4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315" s="13" t="str">
        <x:v>☐ Не начато</x:v>
      </x:c>
      <x:c r="M1315" s="13" t="str">
        <x:v>Обязательно</x:v>
      </x:c>
      <x:c r="N1315" s="13" t="str">
        <x:v>Памп максимум 4/10</x:v>
      </x:c>
      <x:c r="O1315" s="13" t="str">
        <x:v>Остановиться при неточной постановке ног или разжимании пальцев.</x:v>
      </x:c>
      <x:c r="P1315" s="13" t="str">
        <x:v>milestone_05_efficiency_projecting/week_19_2027-01-11/02_TUESDAY.md</x:v>
      </x:c>
      <x:c r="Q1315" s="138" t="str">
        <x:v>Markdown</x:v>
      </x:c>
      <x:c r="R1315" s="20" t="str"/>
    </x:row>
    <x:row r="1316" ht="36" customHeight="1">
      <x:c r="A1316" s="19" t="str">
        <x:v>W19-20270112-1315</x:v>
      </x:c>
      <x:c r="B1316" s="13" t="n">
        <x:v>19</x:v>
      </x:c>
      <x:c r="C1316" s="13" t="str">
        <x:v>Этап 5 — Эффективность движения и работа над проектом</x:v>
      </x:c>
      <x:c r="D1316" s="138" t="str">
        <x:v>2027-01-12</x:v>
      </x:c>
      <x:c r="E1316" s="13" t="str">
        <x:v>Вторник</x:v>
      </x:c>
      <x:c r="F1316" s="13" t="str">
        <x:v>Тренировка A — техника/объём</x:v>
      </x:c>
      <x:c r="G1316" s="44" t="n">
        <x:v>0.058333333333333334</x:v>
      </x:c>
      <x:c r="H1316" s="44" t="n">
        <x:v>0.06041666666666667</x:v>
      </x:c>
      <x:c r="I1316" s="32" t="n">
        <x:f>ROUND((H1316-G1316)*1440,0)</x:f>
        <x:v>3</x:v>
      </x:c>
      <x:c r="J1316" s="13" t="str">
        <x:v>Завершение</x:v>
      </x:c>
      <x:c r="K1316" s="13" t="str">
        <x:v>Очень лёгкий спуск/ходьба и спокойное встряхивание кистей.</x:v>
      </x:c>
      <x:c r="L1316" s="13" t="str">
        <x:v>☐ Не начато</x:v>
      </x:c>
      <x:c r="M1316" s="13" t="str">
        <x:v>Обязательно</x:v>
      </x:c>
      <x:c r="N1316" s="13" t="str">
        <x:v>RPE 1–2</x:v>
      </x:c>
      <x:c r="O1316" s="13" t="str"/>
      <x:c r="P1316" s="13" t="str">
        <x:v>milestone_05_efficiency_projecting/week_19_2027-01-11/02_TUESDAY.md</x:v>
      </x:c>
      <x:c r="Q1316" s="138" t="str">
        <x:v>Markdown</x:v>
      </x:c>
      <x:c r="R1316" s="20" t="str"/>
    </x:row>
    <x:row r="1317" ht="36" customHeight="1">
      <x:c r="A1317" s="19" t="str">
        <x:v>W19-20270112-1316</x:v>
      </x:c>
      <x:c r="B1317" s="13" t="n">
        <x:v>19</x:v>
      </x:c>
      <x:c r="C1317" s="13" t="str">
        <x:v>Этап 5 — Эффективность движения и работа над проектом</x:v>
      </x:c>
      <x:c r="D1317" s="138" t="str">
        <x:v>2027-01-12</x:v>
      </x:c>
      <x:c r="E1317" s="13" t="str">
        <x:v>Вторник</x:v>
      </x:c>
      <x:c r="F1317" s="13" t="str">
        <x:v>Тренировка A — техника/объём</x:v>
      </x:c>
      <x:c r="G1317" s="44" t="n">
        <x:v>0.06041666666666667</x:v>
      </x:c>
      <x:c r="H1317" s="44" t="n">
        <x:v>0.0625</x:v>
      </x:c>
      <x:c r="I1317" s="32" t="n">
        <x:f>ROUND((H1317-G1317)*1440,0)</x:f>
        <x:v>3</x:v>
      </x:c>
      <x:c r="J1317" s="13" t="str">
        <x:v>Журнал</x:v>
      </x:c>
      <x:c r="K1317" s="13" t="str">
        <x:v>Запиши: Получить минимум две стабильные короткие связки, даже если полного прохода нет. Также отметь минуту первой просадки хвата.</x:v>
      </x:c>
      <x:c r="L1317" s="13" t="str">
        <x:v>☐ Не начато</x:v>
      </x:c>
      <x:c r="M1317" s="13" t="str">
        <x:v>Обязательно</x:v>
      </x:c>
      <x:c r="N1317" s="13" t="str">
        <x:v>Без нагрузки</x:v>
      </x:c>
      <x:c r="O1317" s="13" t="str"/>
      <x:c r="P1317" s="13" t="str">
        <x:v>milestone_05_efficiency_projecting/week_19_2027-01-11/02_TUESDAY.md</x:v>
      </x:c>
      <x:c r="Q1317" s="138" t="str">
        <x:v>Markdown</x:v>
      </x:c>
      <x:c r="R1317" s="20" t="str"/>
    </x:row>
    <x:row r="1318" ht="36" customHeight="1">
      <x:c r="A1318" s="19" t="str">
        <x:v>W19-20270113-1317</x:v>
      </x:c>
      <x:c r="B1318" s="13" t="n">
        <x:v>19</x:v>
      </x:c>
      <x:c r="C1318" s="13" t="str">
        <x:v>Этап 5 — Эффективность движения и работа над проектом</x:v>
      </x:c>
      <x:c r="D1318" s="138" t="str">
        <x:v>2027-01-13</x:v>
      </x:c>
      <x:c r="E1318" s="13" t="str">
        <x:v>Среда</x:v>
      </x:c>
      <x:c r="F1318" s="13" t="str">
        <x:v>Восстановление / видео</x:v>
      </x:c>
      <x:c r="G1318" s="44" t="n">
        <x:v>0</x:v>
      </x:c>
      <x:c r="H1318" s="44" t="n">
        <x:v>0.006944444444444444</x:v>
      </x:c>
      <x:c r="I1318" s="32" t="n">
        <x:f>ROUND((H1318-G1318)*1440,0)</x:f>
        <x:v>10</x:v>
      </x:c>
      <x:c r="J1318" s="13" t="str">
        <x:v>Восстановление</x:v>
      </x:c>
      <x:c r="K1318" s="13" t="str">
        <x:v>10 минут спокойной ходьбы. Руки расслаблены; это не тренировка выносливости.</x:v>
      </x:c>
      <x:c r="L1318" s="13" t="str">
        <x:v>☐ Не начато</x:v>
      </x:c>
      <x:c r="M1318" s="13" t="str">
        <x:v>Обязательно</x:v>
      </x:c>
      <x:c r="N1318" s="13" t="str">
        <x:v>RPE 1–2</x:v>
      </x:c>
      <x:c r="O1318" s="13" t="str"/>
      <x:c r="P1318" s="13" t="str">
        <x:v>milestone_05_efficiency_projecting/week_19_2027-01-11/03_WEDNESDAY.md</x:v>
      </x:c>
      <x:c r="Q1318" s="138" t="str">
        <x:v>Markdown</x:v>
      </x:c>
      <x:c r="R1318" s="20" t="str"/>
    </x:row>
    <x:row r="1319" ht="36" customHeight="1">
      <x:c r="A1319" s="19" t="str">
        <x:v>W19-20270113-1318</x:v>
      </x:c>
      <x:c r="B1319" s="13" t="n">
        <x:v>19</x:v>
      </x:c>
      <x:c r="C1319" s="13" t="str">
        <x:v>Этап 5 — Эффективность движения и работа над проектом</x:v>
      </x:c>
      <x:c r="D1319" s="138" t="str">
        <x:v>2027-01-13</x:v>
      </x:c>
      <x:c r="E1319" s="13" t="str">
        <x:v>Среда</x:v>
      </x:c>
      <x:c r="F1319" s="13" t="str">
        <x:v>Восстановление / видео</x:v>
      </x:c>
      <x:c r="G1319" s="44" t="n">
        <x:v>0.006944444444444444</x:v>
      </x:c>
      <x:c r="H1319" s="44" t="n">
        <x:v>0.009027777777777777</x:v>
      </x:c>
      <x:c r="I1319" s="32" t="n">
        <x:f>ROUND((H1319-G1319)*1440,0)</x:f>
        <x:v>3</x:v>
      </x:c>
      <x:c r="J1319" s="13" t="str">
        <x:v>Самопроверка</x:v>
      </x:c>
      <x:c r="K1319" s="13" t="str">
        <x:v>Оцени реакцию после вторника: плечо, пальцы, правое колено 0–10. Запиши, что изменилось относительно вчерашнего утра.</x:v>
      </x:c>
      <x:c r="L1319" s="13" t="str">
        <x:v>☐ Не начато</x:v>
      </x:c>
      <x:c r="M1319" s="13" t="str">
        <x:v>Обязательно</x:v>
      </x:c>
      <x:c r="N1319" s="13" t="str">
        <x:v>Без нагрузки</x:v>
      </x:c>
      <x:c r="O1319" s="13" t="str">
        <x:v>Острая локальная боль пальца или ухудшение плеча = не делать четверговую пальцевую нагрузку.</x:v>
      </x:c>
      <x:c r="P1319" s="13" t="str">
        <x:v>milestone_05_efficiency_projecting/week_19_2027-01-11/03_WEDNESDAY.md</x:v>
      </x:c>
      <x:c r="Q1319" s="138" t="str">
        <x:v>Markdown</x:v>
      </x:c>
      <x:c r="R1319" s="20" t="str"/>
    </x:row>
    <x:row r="1320" ht="36" customHeight="1">
      <x:c r="A1320" s="19" t="str">
        <x:v>W19-20270113-1319</x:v>
      </x:c>
      <x:c r="B1320" s="13" t="n">
        <x:v>19</x:v>
      </x:c>
      <x:c r="C1320" s="13" t="str">
        <x:v>Этап 5 — Эффективность движения и работа над проектом</x:v>
      </x:c>
      <x:c r="D1320" s="138" t="str">
        <x:v>2027-01-13</x:v>
      </x:c>
      <x:c r="E1320" s="13" t="str">
        <x:v>Среда</x:v>
      </x:c>
      <x:c r="F1320" s="13" t="str">
        <x:v>Восстановление / видео</x:v>
      </x:c>
      <x:c r="G1320" s="44" t="n">
        <x:v>0.009027777777777777</x:v>
      </x:c>
      <x:c r="H1320" s="44" t="n">
        <x:v>0.01597222222222222</x:v>
      </x:c>
      <x:c r="I1320" s="32" t="n">
        <x:f>ROUND((H1320-G1320)*1440,0)</x:f>
        <x:v>10</x:v>
      </x:c>
      <x:c r="J1320" s="13" t="str">
        <x:v>Видеоразбор</x:v>
      </x:c>
      <x:c r="K1320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320" s="13" t="str">
        <x:v>☐ Не начато</x:v>
      </x:c>
      <x:c r="M1320" s="13" t="str">
        <x:v>Обязательно</x:v>
      </x:c>
      <x:c r="N1320" s="13" t="str">
        <x:v>Без нагрузки</x:v>
      </x:c>
      <x:c r="O1320" s="13" t="str"/>
      <x:c r="P1320" s="13" t="str">
        <x:v>milestone_05_efficiency_projecting/week_19_2027-01-11/03_WEDNESDAY.md</x:v>
      </x:c>
      <x:c r="Q1320" s="138" t="str">
        <x:v>Markdown</x:v>
      </x:c>
      <x:c r="R1320" s="20" t="str"/>
    </x:row>
    <x:row r="1321" ht="36" customHeight="1">
      <x:c r="A1321" s="19" t="str">
        <x:v>W19-20270113-1320</x:v>
      </x:c>
      <x:c r="B1321" s="13" t="n">
        <x:v>19</x:v>
      </x:c>
      <x:c r="C1321" s="13" t="str">
        <x:v>Этап 5 — Эффективность движения и работа над проектом</x:v>
      </x:c>
      <x:c r="D1321" s="138" t="str">
        <x:v>2027-01-13</x:v>
      </x:c>
      <x:c r="E1321" s="13" t="str">
        <x:v>Среда</x:v>
      </x:c>
      <x:c r="F1321" s="13" t="str">
        <x:v>Восстановление / видео</x:v>
      </x:c>
      <x:c r="G1321" s="44" t="n">
        <x:v>0.01597222222222222</x:v>
      </x:c>
      <x:c r="H1321" s="44" t="n">
        <x:v>0.01875</x:v>
      </x:c>
      <x:c r="I1321" s="32" t="n">
        <x:f>ROUND((H1321-G1321)*1440,0)</x:f>
        <x:v>4</x:v>
      </x:c>
      <x:c r="J1321" s="13" t="str">
        <x:v>Конспект</x:v>
      </x:c>
      <x:c r="K1321" s="13" t="str">
        <x:v>Запиши одну правку на четверг в формате «В следующей попытке я…». Используй cue: «Не повторяй всю трассу ради одного движения: отдельно тренируй вход, crux и выход.».</x:v>
      </x:c>
      <x:c r="L1321" s="13" t="str">
        <x:v>☐ Не начато</x:v>
      </x:c>
      <x:c r="M1321" s="13" t="str">
        <x:v>Обязательно</x:v>
      </x:c>
      <x:c r="N1321" s="13" t="str">
        <x:v>Без нагрузки</x:v>
      </x:c>
      <x:c r="O1321" s="13" t="str"/>
      <x:c r="P1321" s="13" t="str">
        <x:v>milestone_05_efficiency_projecting/week_19_2027-01-11/03_WEDNESDAY.md</x:v>
      </x:c>
      <x:c r="Q1321" s="138" t="str">
        <x:v>Markdown</x:v>
      </x:c>
      <x:c r="R1321" s="20" t="str"/>
    </x:row>
    <x:row r="1322" ht="36" customHeight="1">
      <x:c r="A1322" s="19" t="str">
        <x:v>W19-20270113-1321</x:v>
      </x:c>
      <x:c r="B1322" s="13" t="n">
        <x:v>19</x:v>
      </x:c>
      <x:c r="C1322" s="13" t="str">
        <x:v>Этап 5 — Эффективность движения и работа над проектом</x:v>
      </x:c>
      <x:c r="D1322" s="138" t="str">
        <x:v>2027-01-13</x:v>
      </x:c>
      <x:c r="E1322" s="13" t="str">
        <x:v>Среда</x:v>
      </x:c>
      <x:c r="F1322" s="13" t="str">
        <x:v>Восстановление / видео</x:v>
      </x:c>
      <x:c r="G1322" s="44" t="n">
        <x:v>0.01875</x:v>
      </x:c>
      <x:c r="H1322" s="44" t="n">
        <x:v>0.027083333333333334</x:v>
      </x:c>
      <x:c r="I1322" s="32" t="n">
        <x:f>ROUND((H1322-G1322)*1440,0)</x:f>
        <x:v>12</x:v>
      </x:c>
      <x:c r="J1322" s="13" t="str">
        <x:v>Домашняя мобильность</x:v>
      </x:c>
      <x:c r="K1322" s="13" t="str">
        <x:v>Выполни комплекс H1 «База: таз, корпус и стопы», 12 минут. Ни турника, ни колец для дополнительного хвата.</x:v>
      </x:c>
      <x:c r="L1322" s="13" t="str">
        <x:v>☐ Не начато</x:v>
      </x:c>
      <x:c r="M1322" s="13" t="str">
        <x:v>Обязательно</x:v>
      </x:c>
      <x:c r="N1322" s="13" t="str">
        <x:v>RPE 2–3</x:v>
      </x:c>
      <x:c r="O1322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322" s="13" t="str">
        <x:v>milestone_05_efficiency_projecting/week_19_2027-01-11/03_WEDNESDAY.md</x:v>
      </x:c>
      <x:c r="Q1322" s="138" t="str">
        <x:v>Markdown</x:v>
      </x:c>
      <x:c r="R1322" s="20" t="str"/>
    </x:row>
    <x:row r="1323" ht="36" customHeight="1">
      <x:c r="A1323" s="19" t="str">
        <x:v>W19-20270113-1322</x:v>
      </x:c>
      <x:c r="B1323" s="13" t="n">
        <x:v>19</x:v>
      </x:c>
      <x:c r="C1323" s="13" t="str">
        <x:v>Этап 5 — Эффективность движения и работа над проектом</x:v>
      </x:c>
      <x:c r="D1323" s="138" t="str">
        <x:v>2027-01-13</x:v>
      </x:c>
      <x:c r="E1323" s="13" t="str">
        <x:v>Среда</x:v>
      </x:c>
      <x:c r="F1323" s="13" t="str">
        <x:v>Восстановление / видео</x:v>
      </x:c>
      <x:c r="G1323" s="44" t="n">
        <x:v>0.027083333333333334</x:v>
      </x:c>
      <x:c r="H1323" s="44" t="n">
        <x:v>0.04097222222222222</x:v>
      </x:c>
      <x:c r="I1323" s="32" t="n">
        <x:f>ROUND((H1323-G1323)*1440,0)</x:f>
        <x:v>20</x:v>
      </x:c>
      <x:c r="J1323" s="13" t="str">
        <x:v>Физиотерапия</x:v>
      </x:c>
      <x:c r="K1323" s="13" t="str">
        <x:v>Выполни свой назначенный физиотерапевтом комплекс, если среда входит в его расписание.</x:v>
      </x:c>
      <x:c r="L1323" s="13" t="str">
        <x:v>☐ Не начато</x:v>
      </x:c>
      <x:c r="M1323" s="13" t="str">
        <x:v>По назначению</x:v>
      </x:c>
      <x:c r="N1323" s="13" t="str">
        <x:v>По назначению</x:v>
      </x:c>
      <x:c r="O1323" s="13" t="str">
        <x:v>Назначения физиотерапевта имеют приоритет.</x:v>
      </x:c>
      <x:c r="P1323" s="13" t="str">
        <x:v>milestone_05_efficiency_projecting/week_19_2027-01-11/03_WEDNESDAY.md</x:v>
      </x:c>
      <x:c r="Q1323" s="138" t="str">
        <x:v>Markdown</x:v>
      </x:c>
      <x:c r="R1323" s="20" t="str"/>
    </x:row>
    <x:row r="1324" ht="36" customHeight="1">
      <x:c r="A1324" s="19" t="str">
        <x:v>W19-20270113-1323</x:v>
      </x:c>
      <x:c r="B1324" s="13" t="n">
        <x:v>19</x:v>
      </x:c>
      <x:c r="C1324" s="13" t="str">
        <x:v>Этап 5 — Эффективность движения и работа над проектом</x:v>
      </x:c>
      <x:c r="D1324" s="138" t="str">
        <x:v>2027-01-13</x:v>
      </x:c>
      <x:c r="E1324" s="13" t="str">
        <x:v>Среда</x:v>
      </x:c>
      <x:c r="F1324" s="13" t="str">
        <x:v>Восстановление / видео</x:v>
      </x:c>
      <x:c r="G1324" s="44" t="n">
        <x:v>0.04097222222222222</x:v>
      </x:c>
      <x:c r="H1324" s="44" t="n">
        <x:v>0.043055555555555555</x:v>
      </x:c>
      <x:c r="I1324" s="32" t="n">
        <x:f>ROUND((H1324-G1324)*1440,0)</x:f>
        <x:v>3</x:v>
      </x:c>
      <x:c r="J1324" s="13" t="str">
        <x:v>Запрет лишней нагрузки</x:v>
      </x:c>
      <x:c r="K1324" s="13" t="str">
        <x:v>Поставь отметку: сегодня не было висов, подтягиваний «на проверку», эспандера-сжимателя или тяжёлого ношения.</x:v>
      </x:c>
      <x:c r="L1324" s="13" t="str">
        <x:v>☐ Не начато</x:v>
      </x:c>
      <x:c r="M1324" s="13" t="str">
        <x:v>Обязательно</x:v>
      </x:c>
      <x:c r="N1324" s="13" t="str">
        <x:v>Восстановление</x:v>
      </x:c>
      <x:c r="O1324" s="13" t="str"/>
      <x:c r="P1324" s="13" t="str">
        <x:v>milestone_05_efficiency_projecting/week_19_2027-01-11/03_WEDNESDAY.md</x:v>
      </x:c>
      <x:c r="Q1324" s="138" t="str">
        <x:v>Markdown</x:v>
      </x:c>
      <x:c r="R1324" s="20" t="str"/>
    </x:row>
    <x:row r="1325" ht="36" customHeight="1">
      <x:c r="A1325" s="19" t="str">
        <x:v>W19-20270114-1324</x:v>
      </x:c>
      <x:c r="B1325" s="13" t="n">
        <x:v>19</x:v>
      </x:c>
      <x:c r="C1325" s="13" t="str">
        <x:v>Этап 5 — Эффективность движения и работа над проектом</x:v>
      </x:c>
      <x:c r="D1325" s="138" t="str">
        <x:v>2027-01-14</x:v>
      </x:c>
      <x:c r="E1325" s="13" t="str">
        <x:v>Четверг</x:v>
      </x:c>
      <x:c r="F1325" s="13" t="str">
        <x:v>Тренировка B — пальцы/проект</x:v>
      </x:c>
      <x:c r="G1325" s="44" t="n">
        <x:v>0</x:v>
      </x:c>
      <x:c r="H1325" s="44" t="n">
        <x:v>0.0020833333333333333</x:v>
      </x:c>
      <x:c r="I1325" s="32" t="n">
        <x:f>ROUND((H1325-G1325)*1440,0)</x:f>
        <x:v>3</x:v>
      </x:c>
      <x:c r="J1325" s="13" t="str">
        <x:v>Самопроверка</x:v>
      </x:c>
      <x:c r="K132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325" s="13" t="str">
        <x:v>☐ Не начато</x:v>
      </x:c>
      <x:c r="M1325" s="13" t="str">
        <x:v>Обязательно</x:v>
      </x:c>
      <x:c r="N1325" s="13" t="str">
        <x:v>Без нагрузки</x:v>
      </x:c>
      <x:c r="O1325" s="13" t="str">
        <x:v>Красный флаг = не начинать пальцевую нагрузку.</x:v>
      </x:c>
      <x:c r="P1325" s="13" t="str">
        <x:v>milestone_05_efficiency_projecting/week_19_2027-01-11/04_THURSDAY.md</x:v>
      </x:c>
      <x:c r="Q1325" s="138" t="str">
        <x:v>Markdown</x:v>
      </x:c>
      <x:c r="R1325" s="20" t="str"/>
    </x:row>
    <x:row r="1326" ht="36" customHeight="1">
      <x:c r="A1326" s="19" t="str">
        <x:v>W19-20270114-1325</x:v>
      </x:c>
      <x:c r="B1326" s="13" t="n">
        <x:v>19</x:v>
      </x:c>
      <x:c r="C1326" s="13" t="str">
        <x:v>Этап 5 — Эффективность движения и работа над проектом</x:v>
      </x:c>
      <x:c r="D1326" s="138" t="str">
        <x:v>2027-01-14</x:v>
      </x:c>
      <x:c r="E1326" s="13" t="str">
        <x:v>Четверг</x:v>
      </x:c>
      <x:c r="F1326" s="13" t="str">
        <x:v>Тренировка B — пальцы/проект</x:v>
      </x:c>
      <x:c r="G1326" s="44" t="n">
        <x:v>0.0020833333333333333</x:v>
      </x:c>
      <x:c r="H1326" s="44" t="n">
        <x:v>0.005555555555555556</x:v>
      </x:c>
      <x:c r="I1326" s="32" t="n">
        <x:f>ROUND((H1326-G1326)*1440,0)</x:f>
        <x:v>5</x:v>
      </x:c>
      <x:c r="J1326" s="13" t="str">
        <x:v>Разминка</x:v>
      </x:c>
      <x:c r="K1326" s="13" t="str">
        <x:v>Подними температуру: быстрая ходьба, лестница или лёгкий велотренажёр 5 минут.</x:v>
      </x:c>
      <x:c r="L1326" s="13" t="str">
        <x:v>☐ Не начато</x:v>
      </x:c>
      <x:c r="M1326" s="13" t="str">
        <x:v>Обязательно</x:v>
      </x:c>
      <x:c r="N1326" s="13" t="str">
        <x:v>RPE 2–3</x:v>
      </x:c>
      <x:c r="O1326" s="13" t="str"/>
      <x:c r="P1326" s="13" t="str">
        <x:v>milestone_05_efficiency_projecting/week_19_2027-01-11/04_THURSDAY.md</x:v>
      </x:c>
      <x:c r="Q1326" s="138" t="str">
        <x:v>Markdown</x:v>
      </x:c>
      <x:c r="R1326" s="20" t="str"/>
    </x:row>
    <x:row r="1327" ht="36" customHeight="1">
      <x:c r="A1327" s="19" t="str">
        <x:v>W19-20270114-1326</x:v>
      </x:c>
      <x:c r="B1327" s="13" t="n">
        <x:v>19</x:v>
      </x:c>
      <x:c r="C1327" s="13" t="str">
        <x:v>Этап 5 — Эффективность движения и работа над проектом</x:v>
      </x:c>
      <x:c r="D1327" s="138" t="str">
        <x:v>2027-01-14</x:v>
      </x:c>
      <x:c r="E1327" s="13" t="str">
        <x:v>Четверг</x:v>
      </x:c>
      <x:c r="F1327" s="13" t="str">
        <x:v>Тренировка B — пальцы/проект</x:v>
      </x:c>
      <x:c r="G1327" s="44" t="n">
        <x:v>0.005555555555555556</x:v>
      </x:c>
      <x:c r="H1327" s="44" t="n">
        <x:v>0.009027777777777777</x:v>
      </x:c>
      <x:c r="I1327" s="32" t="n">
        <x:f>ROUND((H1327-G1327)*1440,0)</x:f>
        <x:v>5</x:v>
      </x:c>
      <x:c r="J1327" s="13" t="str">
        <x:v>Разминка</x:v>
      </x:c>
      <x:c r="K132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327" s="13" t="str">
        <x:v>☐ Не начато</x:v>
      </x:c>
      <x:c r="M1327" s="13" t="str">
        <x:v>Обязательно</x:v>
      </x:c>
      <x:c r="N1327" s="13" t="str">
        <x:v>Очень легко</x:v>
      </x:c>
      <x:c r="O1327" s="13" t="str">
        <x:v>Не делай press/отжимания и движения, которые раздражают плечо.</x:v>
      </x:c>
      <x:c r="P1327" s="13" t="str">
        <x:v>milestone_05_efficiency_projecting/week_19_2027-01-11/04_THURSDAY.md</x:v>
      </x:c>
      <x:c r="Q1327" s="138" t="str">
        <x:v>Markdown</x:v>
      </x:c>
      <x:c r="R1327" s="20" t="str"/>
    </x:row>
    <x:row r="1328" ht="36" customHeight="1">
      <x:c r="A1328" s="19" t="str">
        <x:v>W19-20270114-1327</x:v>
      </x:c>
      <x:c r="B1328" s="13" t="n">
        <x:v>19</x:v>
      </x:c>
      <x:c r="C1328" s="13" t="str">
        <x:v>Этап 5 — Эффективность движения и работа над проектом</x:v>
      </x:c>
      <x:c r="D1328" s="138" t="str">
        <x:v>2027-01-14</x:v>
      </x:c>
      <x:c r="E1328" s="13" t="str">
        <x:v>Четверг</x:v>
      </x:c>
      <x:c r="F1328" s="13" t="str">
        <x:v>Тренировка B — пальцы/проект</x:v>
      </x:c>
      <x:c r="G1328" s="44" t="n">
        <x:v>0.009027777777777777</x:v>
      </x:c>
      <x:c r="H1328" s="44" t="n">
        <x:v>0.011805555555555555</x:v>
      </x:c>
      <x:c r="I1328" s="32" t="n">
        <x:f>ROUND((H1328-G1328)*1440,0)</x:f>
        <x:v>4</x:v>
      </x:c>
      <x:c r="J1328" s="13" t="str">
        <x:v>Разминка пальцев</x:v>
      </x:c>
      <x:c r="K132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328" s="13" t="str">
        <x:v>☐ Не начато</x:v>
      </x:c>
      <x:c r="M1328" s="13" t="str">
        <x:v>Обязательно</x:v>
      </x:c>
      <x:c r="N1328" s="13" t="str">
        <x:v>Очень легко</x:v>
      </x:c>
      <x:c r="O1328" s="13" t="str"/>
      <x:c r="P1328" s="13" t="str">
        <x:v>milestone_05_efficiency_projecting/week_19_2027-01-11/04_THURSDAY.md</x:v>
      </x:c>
      <x:c r="Q1328" s="138" t="str">
        <x:v>Markdown</x:v>
      </x:c>
      <x:c r="R1328" s="20" t="str"/>
    </x:row>
    <x:row r="1329" ht="36" customHeight="1">
      <x:c r="A1329" s="19" t="str">
        <x:v>W19-20270114-1328</x:v>
      </x:c>
      <x:c r="B1329" s="13" t="n">
        <x:v>19</x:v>
      </x:c>
      <x:c r="C1329" s="13" t="str">
        <x:v>Этап 5 — Эффективность движения и работа над проектом</x:v>
      </x:c>
      <x:c r="D1329" s="138" t="str">
        <x:v>2027-01-14</x:v>
      </x:c>
      <x:c r="E1329" s="13" t="str">
        <x:v>Четверг</x:v>
      </x:c>
      <x:c r="F1329" s="13" t="str">
        <x:v>Тренировка B — пальцы/проект</x:v>
      </x:c>
      <x:c r="G1329" s="44" t="n">
        <x:v>0.011805555555555555</x:v>
      </x:c>
      <x:c r="H1329" s="44" t="n">
        <x:v>0.014583333333333334</x:v>
      </x:c>
      <x:c r="I1329" s="32" t="n">
        <x:f>ROUND((H1329-G1329)*1440,0)</x:f>
        <x:v>4</x:v>
      </x:c>
      <x:c r="J1329" s="13" t="str">
        <x:v>Разминочное лазание</x:v>
      </x:c>
      <x:c r="K1329" s="13" t="str">
        <x:v>Пройди 2 очень лёгкие трассы уровня 1–2; двигайся медленно, спускайся по зацепам.</x:v>
      </x:c>
      <x:c r="L1329" s="13" t="str">
        <x:v>☐ Не начато</x:v>
      </x:c>
      <x:c r="M1329" s="13" t="str">
        <x:v>Обязательно</x:v>
      </x:c>
      <x:c r="N1329" s="13" t="str">
        <x:v>RPE 2–3</x:v>
      </x:c>
      <x:c r="O1329" s="13" t="str">
        <x:v>Финиш с обязательным болезненным mantle/press пропусти.</x:v>
      </x:c>
      <x:c r="P1329" s="13" t="str">
        <x:v>milestone_05_efficiency_projecting/week_19_2027-01-11/04_THURSDAY.md</x:v>
      </x:c>
      <x:c r="Q1329" s="138" t="str">
        <x:v>Markdown</x:v>
      </x:c>
      <x:c r="R1329" s="20" t="str"/>
    </x:row>
    <x:row r="1330" ht="36" customHeight="1">
      <x:c r="A1330" s="19" t="str">
        <x:v>W19-20270114-1329</x:v>
      </x:c>
      <x:c r="B1330" s="13" t="n">
        <x:v>19</x:v>
      </x:c>
      <x:c r="C1330" s="13" t="str">
        <x:v>Этап 5 — Эффективность движения и работа над проектом</x:v>
      </x:c>
      <x:c r="D1330" s="138" t="str">
        <x:v>2027-01-14</x:v>
      </x:c>
      <x:c r="E1330" s="13" t="str">
        <x:v>Четверг</x:v>
      </x:c>
      <x:c r="F1330" s="13" t="str">
        <x:v>Тренировка B — пальцы/проект</x:v>
      </x:c>
      <x:c r="G1330" s="44" t="n">
        <x:v>0.014583333333333334</x:v>
      </x:c>
      <x:c r="H1330" s="44" t="n">
        <x:v>0.017361111111111112</x:v>
      </x:c>
      <x:c r="I1330" s="32" t="n">
        <x:f>ROUND((H1330-G1330)*1440,0)</x:f>
        <x:v>4</x:v>
      </x:c>
      <x:c r="J1330" s="13" t="str">
        <x:v>Разминочное лазание</x:v>
      </x:c>
      <x:c r="K1330" s="13" t="str">
        <x:v>Пройди 2 трассы уровня 2–3, затем сделай 2–3 движения на комфортной четвёрке. Между ними 45–60 секунд.</x:v>
      </x:c>
      <x:c r="L1330" s="13" t="str">
        <x:v>☐ Не начато</x:v>
      </x:c>
      <x:c r="M1330" s="13" t="str">
        <x:v>Обязательно</x:v>
      </x:c>
      <x:c r="N1330" s="13" t="str">
        <x:v>RPE 3–4</x:v>
      </x:c>
      <x:c r="O1330" s="13" t="str">
        <x:v>Разминка не должна утомить пальцы.</x:v>
      </x:c>
      <x:c r="P1330" s="13" t="str">
        <x:v>milestone_05_efficiency_projecting/week_19_2027-01-11/04_THURSDAY.md</x:v>
      </x:c>
      <x:c r="Q1330" s="138" t="str">
        <x:v>Markdown</x:v>
      </x:c>
      <x:c r="R1330" s="20" t="str"/>
    </x:row>
    <x:row r="1331" ht="36" customHeight="1">
      <x:c r="A1331" s="19" t="str">
        <x:v>W19-20270114-1330</x:v>
      </x:c>
      <x:c r="B1331" s="13" t="n">
        <x:v>19</x:v>
      </x:c>
      <x:c r="C1331" s="13" t="str">
        <x:v>Этап 5 — Эффективность движения и работа над проектом</x:v>
      </x:c>
      <x:c r="D1331" s="138" t="str">
        <x:v>2027-01-14</x:v>
      </x:c>
      <x:c r="E1331" s="13" t="str">
        <x:v>Четверг</x:v>
      </x:c>
      <x:c r="F1331" s="13" t="str">
        <x:v>Тренировка B — пальцы/проект</x:v>
      </x:c>
      <x:c r="G1331" s="44" t="n">
        <x:v>0.017361111111111112</x:v>
      </x:c>
      <x:c r="H1331" s="44" t="n">
        <x:v>0.019444444444444445</x:v>
      </x:c>
      <x:c r="I1331" s="32" t="n">
        <x:f>ROUND((H1331-G1331)*1440,0)</x:f>
        <x:v>3</x:v>
      </x:c>
      <x:c r="J1331" s="13" t="str">
        <x:v>Фингерборд — готовность</x:v>
      </x:c>
      <x:c r="K1331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331" s="13" t="str">
        <x:v>☐ Не начато</x:v>
      </x:c>
      <x:c r="M1331" s="13" t="str">
        <x:v>Обязательно</x:v>
      </x:c>
      <x:c r="N1331" s="13" t="str">
        <x:v>Подготовка</x:v>
      </x:c>
      <x:c r="O1331" s="13" t="str">
        <x:v>Плечо полностью спокойно; full crimp, карманы, одна рука и допвес запрещены.</x:v>
      </x:c>
      <x:c r="P1331" s="13" t="str">
        <x:v>milestone_05_efficiency_projecting/week_19_2027-01-11/04_THURSDAY.md</x:v>
      </x:c>
      <x:c r="Q1331" s="138" t="str">
        <x:v>Markdown</x:v>
      </x:c>
      <x:c r="R1331" s="20" t="str"/>
    </x:row>
    <x:row r="1332" ht="36" customHeight="1">
      <x:c r="A1332" s="19" t="str">
        <x:v>W19-20270114-1331</x:v>
      </x:c>
      <x:c r="B1332" s="13" t="n">
        <x:v>19</x:v>
      </x:c>
      <x:c r="C1332" s="13" t="str">
        <x:v>Этап 5 — Эффективность движения и работа над проектом</x:v>
      </x:c>
      <x:c r="D1332" s="138" t="str">
        <x:v>2027-01-14</x:v>
      </x:c>
      <x:c r="E1332" s="13" t="str">
        <x:v>Четверг</x:v>
      </x:c>
      <x:c r="F1332" s="13" t="str">
        <x:v>Тренировка B — пальцы/проект</x:v>
      </x:c>
      <x:c r="G1332" s="44" t="n">
        <x:v>0.019444444444444445</x:v>
      </x:c>
      <x:c r="H1332" s="44" t="n">
        <x:v>0.029861111111111113</x:v>
      </x:c>
      <x:c r="I1332" s="32" t="n">
        <x:f>ROUND((H1332-G1332)*1440,0)</x:f>
        <x:v>15</x:v>
      </x:c>
      <x:c r="J1332" s="13" t="str">
        <x:v>Фингерборд</x:v>
      </x:c>
      <x:c r="K1332" s="13" t="str">
        <x:v>Выполни протокол: 6 × 10 сек, ноги помогают, RPE 7–8, отдых 2:30. Запусти таймер. Каждый вис прекращай с указанным запасом; форма кисти не меняется.</x:v>
      </x:c>
      <x:c r="L1332" s="13" t="str">
        <x:v>☐ Не начато</x:v>
      </x:c>
      <x:c r="M1332" s="13" t="str">
        <x:v>Обязательно</x:v>
      </x:c>
      <x:c r="N1332" s="13" t="str">
        <x:v>6 × 10 сек, ноги помогают, RPE 7–8, отдых 2:30</x:v>
      </x:c>
      <x:c r="O1332" s="13" t="str">
        <x:v>Острая боль, дрожь формы, падение RPE-контроля или боль плеча = закончить блок.</x:v>
      </x:c>
      <x:c r="P1332" s="13" t="str">
        <x:v>milestone_05_efficiency_projecting/week_19_2027-01-11/04_THURSDAY.md</x:v>
      </x:c>
      <x:c r="Q1332" s="138" t="str">
        <x:v>Markdown</x:v>
      </x:c>
      <x:c r="R1332" s="20" t="str"/>
    </x:row>
    <x:row r="1333" ht="36" customHeight="1">
      <x:c r="A1333" s="19" t="str">
        <x:v>W19-20270114-1332</x:v>
      </x:c>
      <x:c r="B1333" s="13" t="n">
        <x:v>19</x:v>
      </x:c>
      <x:c r="C1333" s="13" t="str">
        <x:v>Этап 5 — Эффективность движения и работа над проектом</x:v>
      </x:c>
      <x:c r="D1333" s="138" t="str">
        <x:v>2027-01-14</x:v>
      </x:c>
      <x:c r="E1333" s="13" t="str">
        <x:v>Четверг</x:v>
      </x:c>
      <x:c r="F1333" s="13" t="str">
        <x:v>Тренировка B — пальцы/проект</x:v>
      </x:c>
      <x:c r="G1333" s="44" t="n">
        <x:v>0.029861111111111113</x:v>
      </x:c>
      <x:c r="H1333" s="44" t="n">
        <x:v>0.03194444444444444</x:v>
      </x:c>
      <x:c r="I1333" s="32" t="n">
        <x:f>ROUND((H1333-G1333)*1440,0)</x:f>
        <x:v>3</x:v>
      </x:c>
      <x:c r="J1333" s="13" t="str">
        <x:v>Фингерборд — запись</x:v>
      </x:c>
      <x:c r="K1333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333" s="13" t="str">
        <x:v>☐ Не начато</x:v>
      </x:c>
      <x:c r="M1333" s="13" t="str">
        <x:v>Обязательно</x:v>
      </x:c>
      <x:c r="N1333" s="13" t="str">
        <x:v>Без нагрузки</x:v>
      </x:c>
      <x:c r="O1333" s="13" t="str"/>
      <x:c r="P1333" s="13" t="str">
        <x:v>milestone_05_efficiency_projecting/week_19_2027-01-11/04_THURSDAY.md</x:v>
      </x:c>
      <x:c r="Q1333" s="138" t="str">
        <x:v>Markdown</x:v>
      </x:c>
      <x:c r="R1333" s="20" t="str"/>
    </x:row>
    <x:row r="1334" ht="36" customHeight="1">
      <x:c r="A1334" s="19" t="str">
        <x:v>W19-20270114-1333</x:v>
      </x:c>
      <x:c r="B1334" s="13" t="n">
        <x:v>19</x:v>
      </x:c>
      <x:c r="C1334" s="13" t="str">
        <x:v>Этап 5 — Эффективность движения и работа над проектом</x:v>
      </x:c>
      <x:c r="D1334" s="138" t="str">
        <x:v>2027-01-14</x:v>
      </x:c>
      <x:c r="E1334" s="13" t="str">
        <x:v>Четверг</x:v>
      </x:c>
      <x:c r="F1334" s="13" t="str">
        <x:v>Тренировка B — пальцы/проект</x:v>
      </x:c>
      <x:c r="G1334" s="44" t="n">
        <x:v>0.03194444444444444</x:v>
      </x:c>
      <x:c r="H1334" s="44" t="n">
        <x:v>0.035416666666666666</x:v>
      </x:c>
      <x:c r="I1334" s="32" t="n">
        <x:f>ROUND((H1334-G1334)*1440,0)</x:f>
        <x:v>5</x:v>
      </x:c>
      <x:c r="J1334" s="13" t="str">
        <x:v>Отдых</x:v>
      </x:c>
      <x:c r="K1334" s="13" t="str">
        <x:v>5 минут полного отдыха: ходьба, вода, без лазания и без тестового виса.</x:v>
      </x:c>
      <x:c r="L1334" s="13" t="str">
        <x:v>☐ Не начато</x:v>
      </x:c>
      <x:c r="M1334" s="13" t="str">
        <x:v>Обязательно</x:v>
      </x:c>
      <x:c r="N1334" s="13" t="str">
        <x:v>Восстановление</x:v>
      </x:c>
      <x:c r="O1334" s="13" t="str"/>
      <x:c r="P1334" s="13" t="str">
        <x:v>milestone_05_efficiency_projecting/week_19_2027-01-11/04_THURSDAY.md</x:v>
      </x:c>
      <x:c r="Q1334" s="138" t="str">
        <x:v>Markdown</x:v>
      </x:c>
      <x:c r="R1334" s="20" t="str"/>
    </x:row>
    <x:row r="1335" ht="36" customHeight="1">
      <x:c r="A1335" s="19" t="str">
        <x:v>W19-20270114-1334</x:v>
      </x:c>
      <x:c r="B1335" s="13" t="n">
        <x:v>19</x:v>
      </x:c>
      <x:c r="C1335" s="13" t="str">
        <x:v>Этап 5 — Эффективность движения и работа над проектом</x:v>
      </x:c>
      <x:c r="D1335" s="138" t="str">
        <x:v>2027-01-14</x:v>
      </x:c>
      <x:c r="E1335" s="13" t="str">
        <x:v>Четверг</x:v>
      </x:c>
      <x:c r="F1335" s="13" t="str">
        <x:v>Тренировка B — пальцы/проект</x:v>
      </x:c>
      <x:c r="G1335" s="44" t="n">
        <x:v>0.035416666666666666</x:v>
      </x:c>
      <x:c r="H1335" s="44" t="n">
        <x:v>0.03819444444444445</x:v>
      </x:c>
      <x:c r="I1335" s="32" t="n">
        <x:f>ROUND((H1335-G1335)*1440,0)</x:f>
        <x:v>4</x:v>
      </x:c>
      <x:c r="J1335" s="13" t="str">
        <x:v>Выбор проекта</x:v>
      </x:c>
      <x:c r="K1335" s="13" t="str">
        <x:v>Выбери трассу по критериям недели: Одна шестёрка как основной проект: старт→crux, сам crux, crux→топ. До 6 качественных попыток.</x:v>
      </x:c>
      <x:c r="L1335" s="13" t="str">
        <x:v>☐ Не начато</x:v>
      </x:c>
      <x:c r="M1335" s="13" t="str">
        <x:v>Обязательно</x:v>
      </x:c>
      <x:c r="N1335" s="13" t="str">
        <x:v>Без нагрузки</x:v>
      </x:c>
      <x:c r="O1335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35" s="13" t="str">
        <x:v>milestone_05_efficiency_projecting/week_19_2027-01-11/04_THURSDAY.md</x:v>
      </x:c>
      <x:c r="Q1335" s="138" t="str">
        <x:v>Markdown</x:v>
      </x:c>
      <x:c r="R1335" s="20" t="str"/>
    </x:row>
    <x:row r="1336" ht="36" customHeight="1">
      <x:c r="A1336" s="19" t="str">
        <x:v>W19-20270114-1335</x:v>
      </x:c>
      <x:c r="B1336" s="13" t="n">
        <x:v>19</x:v>
      </x:c>
      <x:c r="C1336" s="13" t="str">
        <x:v>Этап 5 — Эффективность движения и работа над проектом</x:v>
      </x:c>
      <x:c r="D1336" s="138" t="str">
        <x:v>2027-01-14</x:v>
      </x:c>
      <x:c r="E1336" s="13" t="str">
        <x:v>Четверг</x:v>
      </x:c>
      <x:c r="F1336" s="13" t="str">
        <x:v>Тренировка B — пальцы/проект</x:v>
      </x:c>
      <x:c r="G1336" s="44" t="n">
        <x:v>0.03819444444444445</x:v>
      </x:c>
      <x:c r="H1336" s="44" t="n">
        <x:v>0.041666666666666664</x:v>
      </x:c>
      <x:c r="I1336" s="32" t="n">
        <x:f>ROUND((H1336-G1336)*1440,0)</x:f>
        <x:v>5</x:v>
      </x:c>
      <x:c r="J1336" s="13" t="str">
        <x:v>Проект — попытка 1</x:v>
      </x:c>
      <x:c r="K1336" s="13" t="str">
        <x:v>Сделай первую полную диагностическую попытку. После падения не повторяй сразу: назови точную причину.</x:v>
      </x:c>
      <x:c r="L1336" s="13" t="str">
        <x:v>☐ Не начато</x:v>
      </x:c>
      <x:c r="M1336" s="13" t="str">
        <x:v>Обязательно</x:v>
      </x:c>
      <x:c r="N1336" s="13" t="str">
        <x:v>RPE 7–8</x:v>
      </x:c>
      <x:c r="O1336" s="13" t="str">
        <x:v>Прекратить движение при боли, а не после падения.</x:v>
      </x:c>
      <x:c r="P1336" s="13" t="str">
        <x:v>milestone_05_efficiency_projecting/week_19_2027-01-11/04_THURSDAY.md</x:v>
      </x:c>
      <x:c r="Q1336" s="138" t="str">
        <x:v>Markdown</x:v>
      </x:c>
      <x:c r="R1336" s="20" t="str"/>
    </x:row>
    <x:row r="1337" ht="36" customHeight="1">
      <x:c r="A1337" s="19" t="str">
        <x:v>W19-20270114-1336</x:v>
      </x:c>
      <x:c r="B1337" s="13" t="n">
        <x:v>19</x:v>
      </x:c>
      <x:c r="C1337" s="13" t="str">
        <x:v>Этап 5 — Эффективность движения и работа над проектом</x:v>
      </x:c>
      <x:c r="D1337" s="138" t="str">
        <x:v>2027-01-14</x:v>
      </x:c>
      <x:c r="E1337" s="13" t="str">
        <x:v>Четверг</x:v>
      </x:c>
      <x:c r="F1337" s="13" t="str">
        <x:v>Тренировка B — пальцы/проект</x:v>
      </x:c>
      <x:c r="G1337" s="44" t="n">
        <x:v>0.041666666666666664</x:v>
      </x:c>
      <x:c r="H1337" s="44" t="n">
        <x:v>0.04513888888888889</x:v>
      </x:c>
      <x:c r="I1337" s="32" t="n">
        <x:f>ROUND((H1337-G1337)*1440,0)</x:f>
        <x:v>5</x:v>
      </x:c>
      <x:c r="J1337" s="13" t="str">
        <x:v>Отдых / гипотеза</x:v>
      </x:c>
      <x:c r="K1337" s="13" t="str">
        <x:v>Отдых 4–5 минут. Запиши одну гипотезу: стопа, положение таза, хват или темп.</x:v>
      </x:c>
      <x:c r="L1337" s="13" t="str">
        <x:v>☐ Не начато</x:v>
      </x:c>
      <x:c r="M1337" s="13" t="str">
        <x:v>Обязательно</x:v>
      </x:c>
      <x:c r="N1337" s="13" t="str">
        <x:v>Восстановление</x:v>
      </x:c>
      <x:c r="O1337" s="13" t="str"/>
      <x:c r="P1337" s="13" t="str">
        <x:v>milestone_05_efficiency_projecting/week_19_2027-01-11/04_THURSDAY.md</x:v>
      </x:c>
      <x:c r="Q1337" s="138" t="str">
        <x:v>Markdown</x:v>
      </x:c>
      <x:c r="R1337" s="20" t="str"/>
    </x:row>
    <x:row r="1338" ht="36" customHeight="1">
      <x:c r="A1338" s="19" t="str">
        <x:v>W19-20270114-1337</x:v>
      </x:c>
      <x:c r="B1338" s="13" t="n">
        <x:v>19</x:v>
      </x:c>
      <x:c r="C1338" s="13" t="str">
        <x:v>Этап 5 — Эффективность движения и работа над проектом</x:v>
      </x:c>
      <x:c r="D1338" s="138" t="str">
        <x:v>2027-01-14</x:v>
      </x:c>
      <x:c r="E1338" s="13" t="str">
        <x:v>Четверг</x:v>
      </x:c>
      <x:c r="F1338" s="13" t="str">
        <x:v>Тренировка B — пальцы/проект</x:v>
      </x:c>
      <x:c r="G1338" s="44" t="n">
        <x:v>0.04513888888888889</x:v>
      </x:c>
      <x:c r="H1338" s="44" t="n">
        <x:v>0.049305555555555554</x:v>
      </x:c>
      <x:c r="I1338" s="32" t="n">
        <x:f>ROUND((H1338-G1338)*1440,0)</x:f>
        <x:v>6</x:v>
      </x:c>
      <x:c r="J1338" s="13" t="str">
        <x:v>Проект — попытки 2–3</x:v>
      </x:c>
      <x:c r="K1338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338" s="13" t="str">
        <x:v>☐ Не начато</x:v>
      </x:c>
      <x:c r="M1338" s="13" t="str">
        <x:v>Обязательно</x:v>
      </x:c>
      <x:c r="N1338" s="13" t="str">
        <x:v>RPE 7–8, без отказа</x:v>
      </x:c>
      <x:c r="O1338" s="13" t="str">
        <x:v>Не смотреть beta заранее: сначала собственная гипотеза.</x:v>
      </x:c>
      <x:c r="P1338" s="13" t="str">
        <x:v>milestone_05_efficiency_projecting/week_19_2027-01-11/04_THURSDAY.md</x:v>
      </x:c>
      <x:c r="Q1338" s="138" t="str">
        <x:v>Markdown</x:v>
      </x:c>
      <x:c r="R1338" s="20" t="str"/>
    </x:row>
    <x:row r="1339" ht="36" customHeight="1">
      <x:c r="A1339" s="19" t="str">
        <x:v>W19-20270114-1338</x:v>
      </x:c>
      <x:c r="B1339" s="13" t="n">
        <x:v>19</x:v>
      </x:c>
      <x:c r="C1339" s="13" t="str">
        <x:v>Этап 5 — Эффективность движения и работа над проектом</x:v>
      </x:c>
      <x:c r="D1339" s="138" t="str">
        <x:v>2027-01-14</x:v>
      </x:c>
      <x:c r="E1339" s="13" t="str">
        <x:v>Четверг</x:v>
      </x:c>
      <x:c r="F1339" s="13" t="str">
        <x:v>Тренировка B — пальцы/проект</x:v>
      </x:c>
      <x:c r="G1339" s="44" t="n">
        <x:v>0.049305555555555554</x:v>
      </x:c>
      <x:c r="H1339" s="44" t="n">
        <x:v>0.05277777777777778</x:v>
      </x:c>
      <x:c r="I1339" s="32" t="n">
        <x:f>ROUND((H1339-G1339)*1440,0)</x:f>
        <x:v>5</x:v>
      </x:c>
      <x:c r="J1339" s="13" t="str">
        <x:v>Проект — заключительная попытка</x:v>
      </x:c>
      <x:c r="K1339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339" s="13" t="str">
        <x:v>☐ Не начато</x:v>
      </x:c>
      <x:c r="M1339" s="13" t="str">
        <x:v>Обязательно</x:v>
      </x:c>
      <x:c r="N1339" s="13" t="str">
        <x:v>RPE 8, с запасом</x:v>
      </x:c>
      <x:c r="O1339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39" s="13" t="str">
        <x:v>milestone_05_efficiency_projecting/week_19_2027-01-11/04_THURSDAY.md</x:v>
      </x:c>
      <x:c r="Q1339" s="138" t="str">
        <x:v>Markdown</x:v>
      </x:c>
      <x:c r="R1339" s="20" t="str"/>
    </x:row>
    <x:row r="1340" ht="36" customHeight="1">
      <x:c r="A1340" s="19" t="str">
        <x:v>W19-20270114-1339</x:v>
      </x:c>
      <x:c r="B1340" s="13" t="n">
        <x:v>19</x:v>
      </x:c>
      <x:c r="C1340" s="13" t="str">
        <x:v>Этап 5 — Эффективность движения и работа над проектом</x:v>
      </x:c>
      <x:c r="D1340" s="138" t="str">
        <x:v>2027-01-14</x:v>
      </x:c>
      <x:c r="E1340" s="13" t="str">
        <x:v>Четверг</x:v>
      </x:c>
      <x:c r="F1340" s="13" t="str">
        <x:v>Тренировка B — пальцы/проект</x:v>
      </x:c>
      <x:c r="G1340" s="44" t="n">
        <x:v>0.05277777777777778</x:v>
      </x:c>
      <x:c r="H1340" s="44" t="n">
        <x:v>0.05763888888888889</x:v>
      </x:c>
      <x:c r="I1340" s="32" t="n">
        <x:f>ROUND((H1340-G1340)*1440,0)</x:f>
        <x:v>7</x:v>
      </x:c>
      <x:c r="J1340" s="13" t="str">
        <x:v>Вторичная трасса</x:v>
      </x:c>
      <x:c r="K1340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340" s="13" t="str">
        <x:v>☐ Не начато</x:v>
      </x:c>
      <x:c r="M1340" s="13" t="str">
        <x:v>Обязательно</x:v>
      </x:c>
      <x:c r="N1340" s="13" t="str">
        <x:v>RPE 5–7</x:v>
      </x:c>
      <x:c r="O1340" s="13" t="str">
        <x:v>Пропустить, если хват уже просел.</x:v>
      </x:c>
      <x:c r="P1340" s="13" t="str">
        <x:v>milestone_05_efficiency_projecting/week_19_2027-01-11/04_THURSDAY.md</x:v>
      </x:c>
      <x:c r="Q1340" s="138" t="str">
        <x:v>Markdown</x:v>
      </x:c>
      <x:c r="R1340" s="20" t="str"/>
    </x:row>
    <x:row r="1341" ht="36" customHeight="1">
      <x:c r="A1341" s="19" t="str">
        <x:v>W19-20270114-1340</x:v>
      </x:c>
      <x:c r="B1341" s="13" t="n">
        <x:v>19</x:v>
      </x:c>
      <x:c r="C1341" s="13" t="str">
        <x:v>Этап 5 — Эффективность движения и работа над проектом</x:v>
      </x:c>
      <x:c r="D1341" s="138" t="str">
        <x:v>2027-01-14</x:v>
      </x:c>
      <x:c r="E1341" s="13" t="str">
        <x:v>Четверг</x:v>
      </x:c>
      <x:c r="F1341" s="13" t="str">
        <x:v>Тренировка B — пальцы/проект</x:v>
      </x:c>
      <x:c r="G1341" s="44" t="n">
        <x:v>0.05763888888888889</x:v>
      </x:c>
      <x:c r="H1341" s="44" t="n">
        <x:v>0.06041666666666667</x:v>
      </x:c>
      <x:c r="I1341" s="32" t="n">
        <x:f>ROUND((H1341-G1341)*1440,0)</x:f>
        <x:v>4</x:v>
      </x:c>
      <x:c r="J1341" s="13" t="str">
        <x:v>Завершение</x:v>
      </x:c>
      <x:c r="K1341" s="13" t="str">
        <x:v>Очень лёгкий спуск/ходьба, вода, никаких финишных висов.</x:v>
      </x:c>
      <x:c r="L1341" s="13" t="str">
        <x:v>☐ Не начато</x:v>
      </x:c>
      <x:c r="M1341" s="13" t="str">
        <x:v>Обязательно</x:v>
      </x:c>
      <x:c r="N1341" s="13" t="str">
        <x:v>RPE 1–2</x:v>
      </x:c>
      <x:c r="O1341" s="13" t="str"/>
      <x:c r="P1341" s="13" t="str">
        <x:v>milestone_05_efficiency_projecting/week_19_2027-01-11/04_THURSDAY.md</x:v>
      </x:c>
      <x:c r="Q1341" s="138" t="str">
        <x:v>Markdown</x:v>
      </x:c>
      <x:c r="R1341" s="20" t="str"/>
    </x:row>
    <x:row r="1342" ht="36" customHeight="1">
      <x:c r="A1342" s="19" t="str">
        <x:v>W19-20270114-1341</x:v>
      </x:c>
      <x:c r="B1342" s="13" t="n">
        <x:v>19</x:v>
      </x:c>
      <x:c r="C1342" s="13" t="str">
        <x:v>Этап 5 — Эффективность движения и работа над проектом</x:v>
      </x:c>
      <x:c r="D1342" s="138" t="str">
        <x:v>2027-01-14</x:v>
      </x:c>
      <x:c r="E1342" s="13" t="str">
        <x:v>Четверг</x:v>
      </x:c>
      <x:c r="F1342" s="13" t="str">
        <x:v>Тренировка B — пальцы/проект</x:v>
      </x:c>
      <x:c r="G1342" s="44" t="n">
        <x:v>0.06041666666666667</x:v>
      </x:c>
      <x:c r="H1342" s="44" t="n">
        <x:v>0.0625</x:v>
      </x:c>
      <x:c r="I1342" s="32" t="n">
        <x:f>ROUND((H1342-G1342)*1440,0)</x:f>
        <x:v>3</x:v>
      </x:c>
      <x:c r="J1342" s="13" t="str">
        <x:v>Журнал</x:v>
      </x:c>
      <x:c r="K1342" s="13" t="str">
        <x:v>Запиши попытки, лучшую связку, одну правку и benchmark: Получить минимум две стабильные короткие связки, даже если полного прохода нет.</x:v>
      </x:c>
      <x:c r="L1342" s="13" t="str">
        <x:v>☐ Не начато</x:v>
      </x:c>
      <x:c r="M1342" s="13" t="str">
        <x:v>Обязательно</x:v>
      </x:c>
      <x:c r="N1342" s="13" t="str">
        <x:v>Без нагрузки</x:v>
      </x:c>
      <x:c r="O1342" s="13" t="str"/>
      <x:c r="P1342" s="13" t="str">
        <x:v>milestone_05_efficiency_projecting/week_19_2027-01-11/04_THURSDAY.md</x:v>
      </x:c>
      <x:c r="Q1342" s="138" t="str">
        <x:v>Markdown</x:v>
      </x:c>
      <x:c r="R1342" s="20" t="str"/>
    </x:row>
    <x:row r="1343" ht="36" customHeight="1">
      <x:c r="A1343" s="19" t="str">
        <x:v>W19-20270115-1342</x:v>
      </x:c>
      <x:c r="B1343" s="13" t="n">
        <x:v>19</x:v>
      </x:c>
      <x:c r="C1343" s="13" t="str">
        <x:v>Этап 5 — Эффективность движения и работа над проектом</x:v>
      </x:c>
      <x:c r="D1343" s="138" t="str">
        <x:v>2027-01-15</x:v>
      </x:c>
      <x:c r="E1343" s="13" t="str">
        <x:v>Пятница</x:v>
      </x:c>
      <x:c r="F1343" s="13" t="str">
        <x:v>Дом / теория</x:v>
      </x:c>
      <x:c r="G1343" s="44" t="n">
        <x:v>0</x:v>
      </x:c>
      <x:c r="H1343" s="44" t="n">
        <x:v>0.0020833333333333333</x:v>
      </x:c>
      <x:c r="I1343" s="32" t="n">
        <x:f>ROUND((H1343-G1343)*1440,0)</x:f>
        <x:v>3</x:v>
      </x:c>
      <x:c r="J1343" s="13" t="str">
        <x:v>Самопроверка</x:v>
      </x:c>
      <x:c r="K1343" s="13" t="str">
        <x:v>Оцени утреннюю реакцию после четверга: пальцы/плечо/колено 0–10. Запиши, восстановилась ли обычная сила кисти.</x:v>
      </x:c>
      <x:c r="L1343" s="13" t="str">
        <x:v>☐ Не начато</x:v>
      </x:c>
      <x:c r="M1343" s="13" t="str">
        <x:v>Обязательно</x:v>
      </x:c>
      <x:c r="N1343" s="13" t="str">
        <x:v>Без нагрузки</x:v>
      </x:c>
      <x:c r="O1343" s="13" t="str">
        <x:v>Острая локальная боль пальца или усилившаяся боль плеча = воскресенье только восстановительное.</x:v>
      </x:c>
      <x:c r="P1343" s="13" t="str">
        <x:v>milestone_05_efficiency_projecting/week_19_2027-01-11/05_FRIDAY.md</x:v>
      </x:c>
      <x:c r="Q1343" s="138" t="str">
        <x:v>Markdown</x:v>
      </x:c>
      <x:c r="R1343" s="20" t="str"/>
    </x:row>
    <x:row r="1344" ht="36" customHeight="1">
      <x:c r="A1344" s="19" t="str">
        <x:v>W19-20270115-1343</x:v>
      </x:c>
      <x:c r="B1344" s="13" t="n">
        <x:v>19</x:v>
      </x:c>
      <x:c r="C1344" s="13" t="str">
        <x:v>Этап 5 — Эффективность движения и работа над проектом</x:v>
      </x:c>
      <x:c r="D1344" s="138" t="str">
        <x:v>2027-01-15</x:v>
      </x:c>
      <x:c r="E1344" s="13" t="str">
        <x:v>Пятница</x:v>
      </x:c>
      <x:c r="F1344" s="13" t="str">
        <x:v>Дом / теория</x:v>
      </x:c>
      <x:c r="G1344" s="44" t="n">
        <x:v>0.0020833333333333333</x:v>
      </x:c>
      <x:c r="H1344" s="44" t="n">
        <x:v>0.0125</x:v>
      </x:c>
      <x:c r="I1344" s="32" t="n">
        <x:f>ROUND((H1344-G1344)*1440,0)</x:f>
        <x:v>15</x:v>
      </x:c>
      <x:c r="J1344" s="13" t="str">
        <x:v>Теория</x:v>
      </x:c>
      <x:c r="K1344" s="13" t="str">
        <x:v>Пересмотри ключевой фрагмент ресурса недели: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344" s="13" t="str">
        <x:v>☐ Не начато</x:v>
      </x:c>
      <x:c r="M1344" s="13" t="str">
        <x:v>Обязательно</x:v>
      </x:c>
      <x:c r="N1344" s="13" t="str">
        <x:v>Без нагрузки</x:v>
      </x:c>
      <x:c r="O1344" s="13" t="str"/>
      <x:c r="P1344" s="13" t="str">
        <x:v>milestone_05_efficiency_projecting/week_19_2027-01-11/05_FRIDAY.md</x:v>
      </x:c>
      <x:c r="Q1344" s="138" t="str">
        <x:v>Markdown</x:v>
      </x:c>
      <x:c r="R1344" s="20" t="str"/>
    </x:row>
    <x:row r="1345" ht="36" customHeight="1">
      <x:c r="A1345" s="19" t="str">
        <x:v>W19-20270115-1344</x:v>
      </x:c>
      <x:c r="B1345" s="13" t="n">
        <x:v>19</x:v>
      </x:c>
      <x:c r="C1345" s="13" t="str">
        <x:v>Этап 5 — Эффективность движения и работа над проектом</x:v>
      </x:c>
      <x:c r="D1345" s="138" t="str">
        <x:v>2027-01-15</x:v>
      </x:c>
      <x:c r="E1345" s="13" t="str">
        <x:v>Пятница</x:v>
      </x:c>
      <x:c r="F1345" s="13" t="str">
        <x:v>Дом / теория</x:v>
      </x:c>
      <x:c r="G1345" s="44" t="n">
        <x:v>0.0125</x:v>
      </x:c>
      <x:c r="H1345" s="44" t="n">
        <x:v>0.016666666666666666</x:v>
      </x:c>
      <x:c r="I1345" s="32" t="n">
        <x:f>ROUND((H1345-G1345)*1440,0)</x:f>
        <x:v>6</x:v>
      </x:c>
      <x:c r="J1345" s="13" t="str">
        <x:v>Ментальная репетиция</x:v>
      </x:c>
      <x:c r="K1345" s="13" t="str">
        <x:v>Закрой глаза и 3 раза мысленно пройди одну рабочую трассу: руки → ноги → положение таза → дыхание. Визуализируй cue «Не повторяй всю трассу ради одного движения: отдельно тренируй вход, crux и выход.».</x:v>
      </x:c>
      <x:c r="L1345" s="13" t="str">
        <x:v>☐ Не начато</x:v>
      </x:c>
      <x:c r="M1345" s="13" t="str">
        <x:v>Обязательно</x:v>
      </x:c>
      <x:c r="N1345" s="13" t="str">
        <x:v>Без нагрузки</x:v>
      </x:c>
      <x:c r="O1345" s="13" t="str"/>
      <x:c r="P1345" s="13" t="str">
        <x:v>milestone_05_efficiency_projecting/week_19_2027-01-11/05_FRIDAY.md</x:v>
      </x:c>
      <x:c r="Q1345" s="138" t="str">
        <x:v>Markdown</x:v>
      </x:c>
      <x:c r="R1345" s="20" t="str"/>
    </x:row>
    <x:row r="1346" ht="36" customHeight="1">
      <x:c r="A1346" s="19" t="str">
        <x:v>W19-20270115-1345</x:v>
      </x:c>
      <x:c r="B1346" s="13" t="n">
        <x:v>19</x:v>
      </x:c>
      <x:c r="C1346" s="13" t="str">
        <x:v>Этап 5 — Эффективность движения и работа над проектом</x:v>
      </x:c>
      <x:c r="D1346" s="138" t="str">
        <x:v>2027-01-15</x:v>
      </x:c>
      <x:c r="E1346" s="13" t="str">
        <x:v>Пятница</x:v>
      </x:c>
      <x:c r="F1346" s="13" t="str">
        <x:v>Дом / теория</x:v>
      </x:c>
      <x:c r="G1346" s="44" t="n">
        <x:v>0.016666666666666666</x:v>
      </x:c>
      <x:c r="H1346" s="44" t="n">
        <x:v>0.025</x:v>
      </x:c>
      <x:c r="I1346" s="32" t="n">
        <x:f>ROUND((H1346-G1346)*1440,0)</x:f>
        <x:v>12</x:v>
      </x:c>
      <x:c r="J1346" s="13" t="str">
        <x:v>Домашняя мобильность</x:v>
      </x:c>
      <x:c r="K1346" s="13" t="str">
        <x:v>Выполни H3 «Мобильность таза и контроль корпуса» — 12 минут.</x:v>
      </x:c>
      <x:c r="L1346" s="13" t="str">
        <x:v>☐ Не начато</x:v>
      </x:c>
      <x:c r="M1346" s="13" t="str">
        <x:v>Обязательно</x:v>
      </x:c>
      <x:c r="N1346" s="13" t="str">
        <x:v>RPE 2–3</x:v>
      </x:c>
      <x:c r="O1346" s="13" t="str">
        <x:v>Никаких скручиваний через боль. Плечом не отталкивайся от стены; касание только для равновесия.</x:v>
      </x:c>
      <x:c r="P1346" s="13" t="str">
        <x:v>milestone_05_efficiency_projecting/week_19_2027-01-11/05_FRIDAY.md</x:v>
      </x:c>
      <x:c r="Q1346" s="138" t="str">
        <x:v>Markdown</x:v>
      </x:c>
      <x:c r="R1346" s="20" t="str"/>
    </x:row>
    <x:row r="1347" ht="36" customHeight="1">
      <x:c r="A1347" s="19" t="str">
        <x:v>W19-20270115-1346</x:v>
      </x:c>
      <x:c r="B1347" s="13" t="n">
        <x:v>19</x:v>
      </x:c>
      <x:c r="C1347" s="13" t="str">
        <x:v>Этап 5 — Эффективность движения и работа над проектом</x:v>
      </x:c>
      <x:c r="D1347" s="138" t="str">
        <x:v>2027-01-15</x:v>
      </x:c>
      <x:c r="E1347" s="13" t="str">
        <x:v>Пятница</x:v>
      </x:c>
      <x:c r="F1347" s="13" t="str">
        <x:v>Дом / теория</x:v>
      </x:c>
      <x:c r="G1347" s="44" t="n">
        <x:v>0.025</x:v>
      </x:c>
      <x:c r="H1347" s="44" t="n">
        <x:v>0.03888888888888889</x:v>
      </x:c>
      <x:c r="I1347" s="32" t="n">
        <x:f>ROUND((H1347-G1347)*1440,0)</x:f>
        <x:v>20</x:v>
      </x:c>
      <x:c r="J1347" s="13" t="str">
        <x:v>Физиотерапия</x:v>
      </x:c>
      <x:c r="K1347" s="13" t="str">
        <x:v>Выполни свой назначенный комплекс, если пятница входит в расписание физиотерапевта.</x:v>
      </x:c>
      <x:c r="L1347" s="13" t="str">
        <x:v>☐ Не начато</x:v>
      </x:c>
      <x:c r="M1347" s="13" t="str">
        <x:v>По назначению</x:v>
      </x:c>
      <x:c r="N1347" s="13" t="str">
        <x:v>По назначению</x:v>
      </x:c>
      <x:c r="O1347" s="13" t="str">
        <x:v>Не добавляй упражнения из интернета поверх назначений.</x:v>
      </x:c>
      <x:c r="P1347" s="13" t="str">
        <x:v>milestone_05_efficiency_projecting/week_19_2027-01-11/05_FRIDAY.md</x:v>
      </x:c>
      <x:c r="Q1347" s="138" t="str">
        <x:v>Markdown</x:v>
      </x:c>
      <x:c r="R1347" s="20" t="str"/>
    </x:row>
    <x:row r="1348" ht="36" customHeight="1">
      <x:c r="A1348" s="19" t="str">
        <x:v>W19-20270115-1347</x:v>
      </x:c>
      <x:c r="B1348" s="13" t="n">
        <x:v>19</x:v>
      </x:c>
      <x:c r="C1348" s="13" t="str">
        <x:v>Этап 5 — Эффективность движения и работа над проектом</x:v>
      </x:c>
      <x:c r="D1348" s="138" t="str">
        <x:v>2027-01-15</x:v>
      </x:c>
      <x:c r="E1348" s="13" t="str">
        <x:v>Пятница</x:v>
      </x:c>
      <x:c r="F1348" s="13" t="str">
        <x:v>Дом / теория</x:v>
      </x:c>
      <x:c r="G1348" s="44" t="n">
        <x:v>0.03888888888888889</x:v>
      </x:c>
      <x:c r="H1348" s="44" t="n">
        <x:v>0.041666666666666664</x:v>
      </x:c>
      <x:c r="I1348" s="32" t="n">
        <x:f>ROUND((H1348-G1348)*1440,0)</x:f>
        <x:v>4</x:v>
      </x:c>
      <x:c r="J1348" s="13" t="str">
        <x:v>Журнал</x:v>
      </x:c>
      <x:c r="K1348" s="13" t="str">
        <x:v>Запиши одну вещь, которая сработала на этой неделе, и одну, которую повторишь в воскресенье на лёгкой трассе.</x:v>
      </x:c>
      <x:c r="L1348" s="13" t="str">
        <x:v>☐ Не начато</x:v>
      </x:c>
      <x:c r="M1348" s="13" t="str">
        <x:v>Обязательно</x:v>
      </x:c>
      <x:c r="N1348" s="13" t="str">
        <x:v>Без нагрузки</x:v>
      </x:c>
      <x:c r="O1348" s="13" t="str"/>
      <x:c r="P1348" s="13" t="str">
        <x:v>milestone_05_efficiency_projecting/week_19_2027-01-11/05_FRIDAY.md</x:v>
      </x:c>
      <x:c r="Q1348" s="138" t="str">
        <x:v>Markdown</x:v>
      </x:c>
      <x:c r="R1348" s="20" t="str"/>
    </x:row>
    <x:row r="1349" ht="36" customHeight="1">
      <x:c r="A1349" s="19" t="str">
        <x:v>W19-20270115-1348</x:v>
      </x:c>
      <x:c r="B1349" s="13" t="n">
        <x:v>19</x:v>
      </x:c>
      <x:c r="C1349" s="13" t="str">
        <x:v>Этап 5 — Эффективность движения и работа над проектом</x:v>
      </x:c>
      <x:c r="D1349" s="138" t="str">
        <x:v>2027-01-15</x:v>
      </x:c>
      <x:c r="E1349" s="13" t="str">
        <x:v>Пятница</x:v>
      </x:c>
      <x:c r="F1349" s="13" t="str">
        <x:v>Дом / теория</x:v>
      </x:c>
      <x:c r="G1349" s="44" t="n">
        <x:v>0.041666666666666664</x:v>
      </x:c>
      <x:c r="H1349" s="44" t="n">
        <x:v>0.04375</x:v>
      </x:c>
      <x:c r="I1349" s="32" t="n">
        <x:f>ROUND((H1349-G1349)*1440,0)</x:f>
        <x:v>3</x:v>
      </x:c>
      <x:c r="J1349" s="13" t="str">
        <x:v>Запрет лишней нагрузки</x:v>
      </x:c>
      <x:c r="K1349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349" s="13" t="str">
        <x:v>☐ Не начато</x:v>
      </x:c>
      <x:c r="M1349" s="13" t="str">
        <x:v>Обязательно</x:v>
      </x:c>
      <x:c r="N1349" s="13" t="str">
        <x:v>Восстановление</x:v>
      </x:c>
      <x:c r="O1349" s="13" t="str">
        <x:v>Общая пальцевая нагрузка уже получена в четверг.</x:v>
      </x:c>
      <x:c r="P1349" s="13" t="str">
        <x:v>milestone_05_efficiency_projecting/week_19_2027-01-11/05_FRIDAY.md</x:v>
      </x:c>
      <x:c r="Q1349" s="138" t="str">
        <x:v>Markdown</x:v>
      </x:c>
      <x:c r="R1349" s="20" t="str"/>
    </x:row>
    <x:row r="1350" ht="36" customHeight="1">
      <x:c r="A1350" s="19" t="str">
        <x:v>W19-20270116-1349</x:v>
      </x:c>
      <x:c r="B1350" s="13" t="n">
        <x:v>19</x:v>
      </x:c>
      <x:c r="C1350" s="13" t="str">
        <x:v>Этап 5 — Эффективность движения и работа над проектом</x:v>
      </x:c>
      <x:c r="D1350" s="138" t="str">
        <x:v>2027-01-16</x:v>
      </x:c>
      <x:c r="E1350" s="13" t="str">
        <x:v>Суббота</x:v>
      </x:c>
      <x:c r="F1350" s="13" t="str">
        <x:v>Отдых / подготовка</x:v>
      </x:c>
      <x:c r="G1350" s="44" t="n">
        <x:v>0</x:v>
      </x:c>
      <x:c r="H1350" s="44" t="n">
        <x:v>0.003472222222222222</x:v>
      </x:c>
      <x:c r="I1350" s="32" t="n">
        <x:f>ROUND((H1350-G1350)*1440,0)</x:f>
        <x:v>5</x:v>
      </x:c>
      <x:c r="J1350" s="13" t="str">
        <x:v>Самопроверка</x:v>
      </x:c>
      <x:c r="K1350" s="13" t="str">
        <x:v>Проверь кожу пальцев, ногти, плечо и колено. Никаких тестовых висов.</x:v>
      </x:c>
      <x:c r="L1350" s="13" t="str">
        <x:v>☐ Не начато</x:v>
      </x:c>
      <x:c r="M1350" s="13" t="str">
        <x:v>Обязательно</x:v>
      </x:c>
      <x:c r="N1350" s="13" t="str">
        <x:v>Восстановление</x:v>
      </x:c>
      <x:c r="O1350" s="13" t="str"/>
      <x:c r="P1350" s="13" t="str">
        <x:v>milestone_05_efficiency_projecting/week_19_2027-01-11/06_SATURDAY.md</x:v>
      </x:c>
      <x:c r="Q1350" s="138" t="str">
        <x:v>Markdown</x:v>
      </x:c>
      <x:c r="R1350" s="20" t="str"/>
    </x:row>
    <x:row r="1351" ht="36" customHeight="1">
      <x:c r="A1351" s="19" t="str">
        <x:v>W19-20270116-1350</x:v>
      </x:c>
      <x:c r="B1351" s="13" t="n">
        <x:v>19</x:v>
      </x:c>
      <x:c r="C1351" s="13" t="str">
        <x:v>Этап 5 — Эффективность движения и работа над проектом</x:v>
      </x:c>
      <x:c r="D1351" s="138" t="str">
        <x:v>2027-01-16</x:v>
      </x:c>
      <x:c r="E1351" s="13" t="str">
        <x:v>Суббота</x:v>
      </x:c>
      <x:c r="F1351" s="13" t="str">
        <x:v>Отдых / подготовка</x:v>
      </x:c>
      <x:c r="G1351" s="44" t="n">
        <x:v>0.003472222222222222</x:v>
      </x:c>
      <x:c r="H1351" s="44" t="n">
        <x:v>0.010416666666666666</x:v>
      </x:c>
      <x:c r="I1351" s="32" t="n">
        <x:f>ROUND((H1351-G1351)*1440,0)</x:f>
        <x:v>10</x:v>
      </x:c>
      <x:c r="J1351" s="13" t="str">
        <x:v>Активное восстановление</x:v>
      </x:c>
      <x:c r="K1351" s="13" t="str">
        <x:v>10 минут лёгкой прогулки или бытовой активности. Цель — восстановление, не тренировка.</x:v>
      </x:c>
      <x:c r="L1351" s="13" t="str">
        <x:v>☐ Не начато</x:v>
      </x:c>
      <x:c r="M1351" s="13" t="str">
        <x:v>Обязательно</x:v>
      </x:c>
      <x:c r="N1351" s="13" t="str">
        <x:v>RPE 1–2</x:v>
      </x:c>
      <x:c r="O1351" s="13" t="str"/>
      <x:c r="P1351" s="13" t="str">
        <x:v>milestone_05_efficiency_projecting/week_19_2027-01-11/06_SATURDAY.md</x:v>
      </x:c>
      <x:c r="Q1351" s="138" t="str">
        <x:v>Markdown</x:v>
      </x:c>
      <x:c r="R1351" s="20" t="str"/>
    </x:row>
    <x:row r="1352" ht="36" customHeight="1">
      <x:c r="A1352" s="19" t="str">
        <x:v>W19-20270116-1351</x:v>
      </x:c>
      <x:c r="B1352" s="13" t="n">
        <x:v>19</x:v>
      </x:c>
      <x:c r="C1352" s="13" t="str">
        <x:v>Этап 5 — Эффективность движения и работа над проектом</x:v>
      </x:c>
      <x:c r="D1352" s="138" t="str">
        <x:v>2027-01-16</x:v>
      </x:c>
      <x:c r="E1352" s="13" t="str">
        <x:v>Суббота</x:v>
      </x:c>
      <x:c r="F1352" s="13" t="str">
        <x:v>Отдых / подготовка</x:v>
      </x:c>
      <x:c r="G1352" s="44" t="n">
        <x:v>0.010416666666666666</x:v>
      </x:c>
      <x:c r="H1352" s="44" t="n">
        <x:v>0.013888888888888888</x:v>
      </x:c>
      <x:c r="I1352" s="32" t="n">
        <x:f>ROUND((H1352-G1352)*1440,0)</x:f>
        <x:v>5</x:v>
      </x:c>
      <x:c r="J1352" s="13" t="str">
        <x:v>Уход за кожей</x:v>
      </x:c>
      <x:c r="K1352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352" s="13" t="str">
        <x:v>☐ Не начато</x:v>
      </x:c>
      <x:c r="M1352" s="13" t="str">
        <x:v>Опционально</x:v>
      </x:c>
      <x:c r="N1352" s="13" t="str">
        <x:v>Без нагрузки</x:v>
      </x:c>
      <x:c r="O1352" s="13" t="str">
        <x:v>Повреждённую/болезненную кожу не шлифовать.</x:v>
      </x:c>
      <x:c r="P1352" s="13" t="str">
        <x:v>milestone_05_efficiency_projecting/week_19_2027-01-11/06_SATURDAY.md</x:v>
      </x:c>
      <x:c r="Q1352" s="138" t="str">
        <x:v>Markdown</x:v>
      </x:c>
      <x:c r="R1352" s="20" t="str"/>
    </x:row>
    <x:row r="1353" ht="36" customHeight="1">
      <x:c r="A1353" s="19" t="str">
        <x:v>W19-20270116-1352</x:v>
      </x:c>
      <x:c r="B1353" s="13" t="n">
        <x:v>19</x:v>
      </x:c>
      <x:c r="C1353" s="13" t="str">
        <x:v>Этап 5 — Эффективность движения и работа над проектом</x:v>
      </x:c>
      <x:c r="D1353" s="138" t="str">
        <x:v>2027-01-16</x:v>
      </x:c>
      <x:c r="E1353" s="13" t="str">
        <x:v>Суббота</x:v>
      </x:c>
      <x:c r="F1353" s="13" t="str">
        <x:v>Отдых / подготовка</x:v>
      </x:c>
      <x:c r="G1353" s="44" t="n">
        <x:v>0.013888888888888888</x:v>
      </x:c>
      <x:c r="H1353" s="44" t="n">
        <x:v>0.016666666666666666</x:v>
      </x:c>
      <x:c r="I1353" s="32" t="n">
        <x:f>ROUND((H1353-G1353)*1440,0)</x:f>
        <x:v>4</x:v>
      </x:c>
      <x:c r="J1353" s="13" t="str">
        <x:v>Подготовка</x:v>
      </x:c>
      <x:c r="K1353" s="13" t="str">
        <x:v>Заряди телефон, освободи память для одного видео, положи щётку и магнезию.</x:v>
      </x:c>
      <x:c r="L1353" s="13" t="str">
        <x:v>☐ Не начато</x:v>
      </x:c>
      <x:c r="M1353" s="13" t="str">
        <x:v>Обязательно</x:v>
      </x:c>
      <x:c r="N1353" s="13" t="str">
        <x:v>Без нагрузки</x:v>
      </x:c>
      <x:c r="O1353" s="13" t="str"/>
      <x:c r="P1353" s="13" t="str">
        <x:v>milestone_05_efficiency_projecting/week_19_2027-01-11/06_SATURDAY.md</x:v>
      </x:c>
      <x:c r="Q1353" s="138" t="str">
        <x:v>Markdown</x:v>
      </x:c>
      <x:c r="R1353" s="20" t="str"/>
    </x:row>
    <x:row r="1354" ht="36" customHeight="1">
      <x:c r="A1354" s="19" t="str">
        <x:v>W19-20270116-1353</x:v>
      </x:c>
      <x:c r="B1354" s="13" t="n">
        <x:v>19</x:v>
      </x:c>
      <x:c r="C1354" s="13" t="str">
        <x:v>Этап 5 — Эффективность движения и работа над проектом</x:v>
      </x:c>
      <x:c r="D1354" s="138" t="str">
        <x:v>2027-01-16</x:v>
      </x:c>
      <x:c r="E1354" s="13" t="str">
        <x:v>Суббота</x:v>
      </x:c>
      <x:c r="F1354" s="13" t="str">
        <x:v>Отдых / подготовка</x:v>
      </x:c>
      <x:c r="G1354" s="44" t="n">
        <x:v>0.016666666666666666</x:v>
      </x:c>
      <x:c r="H1354" s="44" t="n">
        <x:v>0.01875</x:v>
      </x:c>
      <x:c r="I1354" s="32" t="n">
        <x:f>ROUND((H1354-G1354)*1440,0)</x:f>
        <x:v>3</x:v>
      </x:c>
      <x:c r="J1354" s="13" t="str">
        <x:v>План воскресенья</x:v>
      </x:c>
      <x:c r="K1354" s="13" t="str">
        <x:v>Выбери заранее одну лёгкую трассу под тему «Разделение проекта». Воскресенье остаётся развлечением, не третьим тяжёлым днём.</x:v>
      </x:c>
      <x:c r="L1354" s="13" t="str">
        <x:v>☐ Не начато</x:v>
      </x:c>
      <x:c r="M1354" s="13" t="str">
        <x:v>Обязательно</x:v>
      </x:c>
      <x:c r="N1354" s="13" t="str">
        <x:v>Без нагрузки</x:v>
      </x:c>
      <x:c r="O1354" s="13" t="str"/>
      <x:c r="P1354" s="13" t="str">
        <x:v>milestone_05_efficiency_projecting/week_19_2027-01-11/06_SATURDAY.md</x:v>
      </x:c>
      <x:c r="Q1354" s="138" t="str">
        <x:v>Markdown</x:v>
      </x:c>
      <x:c r="R1354" s="20" t="str"/>
    </x:row>
    <x:row r="1355" ht="36" customHeight="1">
      <x:c r="A1355" s="19" t="str">
        <x:v>W19-20270116-1354</x:v>
      </x:c>
      <x:c r="B1355" s="13" t="n">
        <x:v>19</x:v>
      </x:c>
      <x:c r="C1355" s="13" t="str">
        <x:v>Этап 5 — Эффективность движения и работа над проектом</x:v>
      </x:c>
      <x:c r="D1355" s="138" t="str">
        <x:v>2027-01-16</x:v>
      </x:c>
      <x:c r="E1355" s="13" t="str">
        <x:v>Суббота</x:v>
      </x:c>
      <x:c r="F1355" s="13" t="str">
        <x:v>Отдых / подготовка</x:v>
      </x:c>
      <x:c r="G1355" s="44" t="n">
        <x:v>0.01875</x:v>
      </x:c>
      <x:c r="H1355" s="44" t="n">
        <x:v>0.020833333333333332</x:v>
      </x:c>
      <x:c r="I1355" s="32" t="n">
        <x:f>ROUND((H1355-G1355)*1440,0)</x:f>
        <x:v>3</x:v>
      </x:c>
      <x:c r="J1355" s="13" t="str">
        <x:v>Сон / восстановление</x:v>
      </x:c>
      <x:c r="K1355" s="13" t="str">
        <x:v>Запланируй обычный сон и нормальный приём пищи; не пытайся «разбудить хват» вечером.</x:v>
      </x:c>
      <x:c r="L1355" s="13" t="str">
        <x:v>☐ Не начато</x:v>
      </x:c>
      <x:c r="M1355" s="13" t="str">
        <x:v>Обязательно</x:v>
      </x:c>
      <x:c r="N1355" s="13" t="str">
        <x:v>Восстановление</x:v>
      </x:c>
      <x:c r="O1355" s="13" t="str"/>
      <x:c r="P1355" s="13" t="str">
        <x:v>milestone_05_efficiency_projecting/week_19_2027-01-11/06_SATURDAY.md</x:v>
      </x:c>
      <x:c r="Q1355" s="138" t="str">
        <x:v>Markdown</x:v>
      </x:c>
      <x:c r="R1355" s="20" t="str"/>
    </x:row>
    <x:row r="1356" ht="36" customHeight="1">
      <x:c r="A1356" s="19" t="str">
        <x:v>W19-20270117-1355</x:v>
      </x:c>
      <x:c r="B1356" s="13" t="n">
        <x:v>19</x:v>
      </x:c>
      <x:c r="C1356" s="13" t="str">
        <x:v>Этап 5 — Эффективность движения и работа над проектом</x:v>
      </x:c>
      <x:c r="D1356" s="138" t="str">
        <x:v>2027-01-17</x:v>
      </x:c>
      <x:c r="E1356" s="13" t="str">
        <x:v>Воскресенье</x:v>
      </x:c>
      <x:c r="F1356" s="13" t="str">
        <x:v>Тренировка C — fun / опционально</x:v>
      </x:c>
      <x:c r="G1356" s="44" t="n">
        <x:v>0</x:v>
      </x:c>
      <x:c r="H1356" s="44" t="n">
        <x:v>0.0020833333333333333</x:v>
      </x:c>
      <x:c r="I1356" s="32" t="n">
        <x:f>ROUND((H1356-G1356)*1440,0)</x:f>
        <x:v>3</x:v>
      </x:c>
      <x:c r="J1356" s="13" t="str">
        <x:v>Выбор сценария</x:v>
      </x:c>
      <x:c r="K1356" s="13" t="str">
        <x:v>Выбери один сценарий: (A) fun-сессия 75 минут в зале или (B) восстановительный день дома 25 минут. Не выполнять оба.</x:v>
      </x:c>
      <x:c r="L1356" s="13" t="str">
        <x:v>☐ Не начато</x:v>
      </x:c>
      <x:c r="M1356" s="13" t="str">
        <x:v>Выбрать один сценарий</x:v>
      </x:c>
      <x:c r="N1356" s="13" t="str">
        <x:v>По состоянию</x:v>
      </x:c>
      <x:c r="O1356" s="13" t="str"/>
      <x:c r="P1356" s="13" t="str">
        <x:v>milestone_05_efficiency_projecting/week_19_2027-01-11/07_SUNDAY.md</x:v>
      </x:c>
      <x:c r="Q1356" s="138" t="str">
        <x:v>Markdown</x:v>
      </x:c>
      <x:c r="R1356" s="20" t="str"/>
    </x:row>
    <x:row r="1357" ht="36" customHeight="1">
      <x:c r="A1357" s="19" t="str">
        <x:v>W19-20270117-1356</x:v>
      </x:c>
      <x:c r="B1357" s="13" t="n">
        <x:v>19</x:v>
      </x:c>
      <x:c r="C1357" s="13" t="str">
        <x:v>Этап 5 — Эффективность движения и работа над проектом</x:v>
      </x:c>
      <x:c r="D1357" s="138" t="str">
        <x:v>2027-01-17</x:v>
      </x:c>
      <x:c r="E1357" s="13" t="str">
        <x:v>Воскресенье</x:v>
      </x:c>
      <x:c r="F1357" s="13" t="str">
        <x:v>Тренировка C — fun / опционально</x:v>
      </x:c>
      <x:c r="G1357" s="44" t="n">
        <x:v>0.0020833333333333333</x:v>
      </x:c>
      <x:c r="H1357" s="44" t="n">
        <x:v>0.005555555555555556</x:v>
      </x:c>
      <x:c r="I1357" s="32" t="n">
        <x:f>ROUND((H1357-G1357)*1440,0)</x:f>
        <x:v>5</x:v>
      </x:c>
      <x:c r="J1357" s="13" t="str">
        <x:v>Разминка A</x:v>
      </x:c>
      <x:c r="K1357" s="13" t="str">
        <x:v>Если идёшь в зал: 5 минут поднятия температуры.</x:v>
      </x:c>
      <x:c r="L1357" s="13" t="str">
        <x:v>☐ Не начато</x:v>
      </x:c>
      <x:c r="M1357" s="13" t="str">
        <x:v>Опционально</x:v>
      </x:c>
      <x:c r="N1357" s="13" t="str">
        <x:v>RPE 2–3</x:v>
      </x:c>
      <x:c r="O1357" s="13" t="str"/>
      <x:c r="P1357" s="13" t="str">
        <x:v>milestone_05_efficiency_projecting/week_19_2027-01-11/07_SUNDAY.md</x:v>
      </x:c>
      <x:c r="Q1357" s="138" t="str">
        <x:v>Markdown</x:v>
      </x:c>
      <x:c r="R1357" s="20" t="str"/>
    </x:row>
    <x:row r="1358" ht="36" customHeight="1">
      <x:c r="A1358" s="19" t="str">
        <x:v>W19-20270117-1357</x:v>
      </x:c>
      <x:c r="B1358" s="13" t="n">
        <x:v>19</x:v>
      </x:c>
      <x:c r="C1358" s="13" t="str">
        <x:v>Этап 5 — Эффективность движения и работа над проектом</x:v>
      </x:c>
      <x:c r="D1358" s="138" t="str">
        <x:v>2027-01-17</x:v>
      </x:c>
      <x:c r="E1358" s="13" t="str">
        <x:v>Воскресенье</x:v>
      </x:c>
      <x:c r="F1358" s="13" t="str">
        <x:v>Тренировка C — fun / опционально</x:v>
      </x:c>
      <x:c r="G1358" s="44" t="n">
        <x:v>0.005555555555555556</x:v>
      </x:c>
      <x:c r="H1358" s="44" t="n">
        <x:v>0.009027777777777777</x:v>
      </x:c>
      <x:c r="I1358" s="32" t="n">
        <x:f>ROUND((H1358-G1358)*1440,0)</x:f>
        <x:v>5</x:v>
      </x:c>
      <x:c r="J1358" s="13" t="str">
        <x:v>Разминка A</x:v>
      </x:c>
      <x:c r="K1358" s="13" t="str">
        <x:v>Динамическая суставная разминка в безболезненном диапазоне; без отжиманий/press.</x:v>
      </x:c>
      <x:c r="L1358" s="13" t="str">
        <x:v>☐ Не начато</x:v>
      </x:c>
      <x:c r="M1358" s="13" t="str">
        <x:v>Опционально</x:v>
      </x:c>
      <x:c r="N1358" s="13" t="str">
        <x:v>Очень легко</x:v>
      </x:c>
      <x:c r="O1358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58" s="13" t="str">
        <x:v>milestone_05_efficiency_projecting/week_19_2027-01-11/07_SUNDAY.md</x:v>
      </x:c>
      <x:c r="Q1358" s="138" t="str">
        <x:v>Markdown</x:v>
      </x:c>
      <x:c r="R1358" s="20" t="str"/>
    </x:row>
    <x:row r="1359" ht="36" customHeight="1">
      <x:c r="A1359" s="19" t="str">
        <x:v>W19-20270117-1358</x:v>
      </x:c>
      <x:c r="B1359" s="13" t="n">
        <x:v>19</x:v>
      </x:c>
      <x:c r="C1359" s="13" t="str">
        <x:v>Этап 5 — Эффективность движения и работа над проектом</x:v>
      </x:c>
      <x:c r="D1359" s="138" t="str">
        <x:v>2027-01-17</x:v>
      </x:c>
      <x:c r="E1359" s="13" t="str">
        <x:v>Воскресенье</x:v>
      </x:c>
      <x:c r="F1359" s="13" t="str">
        <x:v>Тренировка C — fun / опционально</x:v>
      </x:c>
      <x:c r="G1359" s="44" t="n">
        <x:v>0.009027777777777777</x:v>
      </x:c>
      <x:c r="H1359" s="44" t="n">
        <x:v>0.013888888888888888</x:v>
      </x:c>
      <x:c r="I1359" s="32" t="n">
        <x:f>ROUND((H1359-G1359)*1440,0)</x:f>
        <x:v>7</x:v>
      </x:c>
      <x:c r="J1359" s="13" t="str">
        <x:v>Лёгкое лазание A</x:v>
      </x:c>
      <x:c r="K1359" s="13" t="str">
        <x:v>3 очень лёгкие трассы 1–3 с постепенным увеличением сложности.</x:v>
      </x:c>
      <x:c r="L1359" s="13" t="str">
        <x:v>☐ Не начато</x:v>
      </x:c>
      <x:c r="M1359" s="13" t="str">
        <x:v>Опционально</x:v>
      </x:c>
      <x:c r="N1359" s="13" t="str">
        <x:v>RPE 2–4</x:v>
      </x:c>
      <x:c r="O1359" s="13" t="str"/>
      <x:c r="P1359" s="13" t="str">
        <x:v>milestone_05_efficiency_projecting/week_19_2027-01-11/07_SUNDAY.md</x:v>
      </x:c>
      <x:c r="Q1359" s="138" t="str">
        <x:v>Markdown</x:v>
      </x:c>
      <x:c r="R1359" s="20" t="str"/>
    </x:row>
    <x:row r="1360" ht="36" customHeight="1">
      <x:c r="A1360" s="19" t="str">
        <x:v>W19-20270117-1359</x:v>
      </x:c>
      <x:c r="B1360" s="13" t="n">
        <x:v>19</x:v>
      </x:c>
      <x:c r="C1360" s="13" t="str">
        <x:v>Этап 5 — Эффективность движения и работа над проектом</x:v>
      </x:c>
      <x:c r="D1360" s="138" t="str">
        <x:v>2027-01-17</x:v>
      </x:c>
      <x:c r="E1360" s="13" t="str">
        <x:v>Воскресенье</x:v>
      </x:c>
      <x:c r="F1360" s="13" t="str">
        <x:v>Тренировка C — fun / опционально</x:v>
      </x:c>
      <x:c r="G1360" s="44" t="n">
        <x:v>0.013888888888888888</x:v>
      </x:c>
      <x:c r="H1360" s="44" t="n">
        <x:v>0.020833333333333332</x:v>
      </x:c>
      <x:c r="I1360" s="32" t="n">
        <x:f>ROUND((H1360-G1360)*1440,0)</x:f>
        <x:v>10</x:v>
      </x:c>
      <x:c r="J1360" s="13" t="str">
        <x:v>Технический праймер A</x:v>
      </x:c>
      <x:c r="K1360" s="13" t="str">
        <x:v>На одной лёгкой трассе дважды повтори «Разделение проекта». Критерий: Получены минимум две повторяемые короткие связки.</x:v>
      </x:c>
      <x:c r="L1360" s="13" t="str">
        <x:v>☐ Не начато</x:v>
      </x:c>
      <x:c r="M1360" s="13" t="str">
        <x:v>Опционально</x:v>
      </x:c>
      <x:c r="N1360" s="13" t="str">
        <x:v>RPE 3–4</x:v>
      </x:c>
      <x:c r="O1360" s="13" t="str">
        <x:v>При сомнении спросить сотрудника, можно ли безопасно начинать с нужной позиции.</x:v>
      </x:c>
      <x:c r="P1360" s="13" t="str">
        <x:v>milestone_05_efficiency_projecting/week_19_2027-01-11/07_SUNDAY.md</x:v>
      </x:c>
      <x:c r="Q1360" s="138" t="str">
        <x:v>Markdown</x:v>
      </x:c>
      <x:c r="R1360" s="20" t="str"/>
    </x:row>
    <x:row r="1361" ht="36" customHeight="1">
      <x:c r="A1361" s="19" t="str">
        <x:v>W19-20270117-1360</x:v>
      </x:c>
      <x:c r="B1361" s="13" t="n">
        <x:v>19</x:v>
      </x:c>
      <x:c r="C1361" s="13" t="str">
        <x:v>Этап 5 — Эффективность движения и работа над проектом</x:v>
      </x:c>
      <x:c r="D1361" s="138" t="str">
        <x:v>2027-01-17</x:v>
      </x:c>
      <x:c r="E1361" s="13" t="str">
        <x:v>Воскресенье</x:v>
      </x:c>
      <x:c r="F1361" s="13" t="str">
        <x:v>Тренировка C — fun / опционально</x:v>
      </x:c>
      <x:c r="G1361" s="44" t="n">
        <x:v>0.020833333333333332</x:v>
      </x:c>
      <x:c r="H1361" s="44" t="n">
        <x:v>0.03819444444444445</x:v>
      </x:c>
      <x:c r="I1361" s="32" t="n">
        <x:f>ROUND((H1361-G1361)*1440,0)</x:f>
        <x:v>25</x:v>
      </x:c>
      <x:c r="J1361" s="13" t="str">
        <x:v>Свободное лазание A</x:v>
      </x:c>
      <x:c r="K1361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361" s="13" t="str">
        <x:v>☐ Не начато</x:v>
      </x:c>
      <x:c r="M1361" s="13" t="str">
        <x:v>Опционально</x:v>
      </x:c>
      <x:c r="N1361" s="13" t="str">
        <x:v>RPE 4–7</x:v>
      </x:c>
      <x:c r="O1361" s="13" t="str">
        <x:v>Не превращать блок в круг на выносливость.</x:v>
      </x:c>
      <x:c r="P1361" s="13" t="str">
        <x:v>milestone_05_efficiency_projecting/week_19_2027-01-11/07_SUNDAY.md</x:v>
      </x:c>
      <x:c r="Q1361" s="138" t="str">
        <x:v>Markdown</x:v>
      </x:c>
      <x:c r="R1361" s="20" t="str"/>
    </x:row>
    <x:row r="1362" ht="36" customHeight="1">
      <x:c r="A1362" s="19" t="str">
        <x:v>W19-20270117-1361</x:v>
      </x:c>
      <x:c r="B1362" s="13" t="n">
        <x:v>19</x:v>
      </x:c>
      <x:c r="C1362" s="13" t="str">
        <x:v>Этап 5 — Эффективность движения и работа над проектом</x:v>
      </x:c>
      <x:c r="D1362" s="138" t="str">
        <x:v>2027-01-17</x:v>
      </x:c>
      <x:c r="E1362" s="13" t="str">
        <x:v>Воскресенье</x:v>
      </x:c>
      <x:c r="F1362" s="13" t="str">
        <x:v>Тренировка C — fun / опционально</x:v>
      </x:c>
      <x:c r="G1362" s="44" t="n">
        <x:v>0.03819444444444445</x:v>
      </x:c>
      <x:c r="H1362" s="44" t="n">
        <x:v>0.04583333333333333</x:v>
      </x:c>
      <x:c r="I1362" s="32" t="n">
        <x:f>ROUND((H1362-G1362)*1440,0)</x:f>
        <x:v>11</x:v>
      </x:c>
      <x:c r="J1362" s="13" t="str">
        <x:v>Свежая сложная попытка A</x:v>
      </x:c>
      <x:c r="K1362" s="13" t="str">
        <x:v>Только если всё зелёное: попробуй одну рабочую пятёрку или дружелюбную шестёрку по критериям недели — Одна шестёрка как основной проект: старт→crux, сам crux, crux→топ. До 6 качественных попыток. Максимум 2 попытки, отдых 4 минуты.</x:v>
      </x:c>
      <x:c r="L1362" s="13" t="str">
        <x:v>☐ Не начато</x:v>
      </x:c>
      <x:c r="M1362" s="13" t="str">
        <x:v>Опционально</x:v>
      </x:c>
      <x:c r="N1362" s="13" t="str">
        <x:v>RPE 7–8, без отказа</x:v>
      </x:c>
      <x:c r="O1362" s="13" t="str">
        <x:v>Не стартовать с середины, если это мешает людям или требует опасного прыжка на зацеп. Спросить сотрудника при сомнении.</x:v>
      </x:c>
      <x:c r="P1362" s="13" t="str">
        <x:v>milestone_05_efficiency_projecting/week_19_2027-01-11/07_SUNDAY.md</x:v>
      </x:c>
      <x:c r="Q1362" s="138" t="str">
        <x:v>Markdown</x:v>
      </x:c>
      <x:c r="R1362" s="20" t="str"/>
    </x:row>
    <x:row r="1363" ht="36" customHeight="1">
      <x:c r="A1363" s="19" t="str">
        <x:v>W19-20270117-1362</x:v>
      </x:c>
      <x:c r="B1363" s="13" t="n">
        <x:v>19</x:v>
      </x:c>
      <x:c r="C1363" s="13" t="str">
        <x:v>Этап 5 — Эффективность движения и работа над проектом</x:v>
      </x:c>
      <x:c r="D1363" s="138" t="str">
        <x:v>2027-01-17</x:v>
      </x:c>
      <x:c r="E1363" s="13" t="str">
        <x:v>Воскресенье</x:v>
      </x:c>
      <x:c r="F1363" s="13" t="str">
        <x:v>Тренировка C — fun / опционально</x:v>
      </x:c>
      <x:c r="G1363" s="44" t="n">
        <x:v>0.04583333333333333</x:v>
      </x:c>
      <x:c r="H1363" s="44" t="n">
        <x:v>0.05</x:v>
      </x:c>
      <x:c r="I1363" s="32" t="n">
        <x:f>ROUND((H1363-G1363)*1440,0)</x:f>
        <x:v>6</x:v>
      </x:c>
      <x:c r="J1363" s="13" t="str">
        <x:v>Лёгкий финал A</x:v>
      </x:c>
      <x:c r="K1363" s="13" t="str">
        <x:v>Одна любимая лёгкая трасса или спокойный спуск. Фингерборда и capacity-круга нет.</x:v>
      </x:c>
      <x:c r="L1363" s="13" t="str">
        <x:v>☐ Не начато</x:v>
      </x:c>
      <x:c r="M1363" s="13" t="str">
        <x:v>Опционально</x:v>
      </x:c>
      <x:c r="N1363" s="13" t="str">
        <x:v>RPE 2–3</x:v>
      </x:c>
      <x:c r="O1363" s="13" t="str"/>
      <x:c r="P1363" s="13" t="str">
        <x:v>milestone_05_efficiency_projecting/week_19_2027-01-11/07_SUNDAY.md</x:v>
      </x:c>
      <x:c r="Q1363" s="138" t="str">
        <x:v>Markdown</x:v>
      </x:c>
      <x:c r="R1363" s="20" t="str"/>
    </x:row>
    <x:row r="1364" ht="36" customHeight="1">
      <x:c r="A1364" s="19" t="str">
        <x:v>W19-20270117-1363</x:v>
      </x:c>
      <x:c r="B1364" s="13" t="n">
        <x:v>19</x:v>
      </x:c>
      <x:c r="C1364" s="13" t="str">
        <x:v>Этап 5 — Эффективность движения и работа над проектом</x:v>
      </x:c>
      <x:c r="D1364" s="138" t="str">
        <x:v>2027-01-17</x:v>
      </x:c>
      <x:c r="E1364" s="13" t="str">
        <x:v>Воскресенье</x:v>
      </x:c>
      <x:c r="F1364" s="13" t="str">
        <x:v>Тренировка C — fun / опционально</x:v>
      </x:c>
      <x:c r="G1364" s="44" t="n">
        <x:v>0.05</x:v>
      </x:c>
      <x:c r="H1364" s="44" t="n">
        <x:v>0.052083333333333336</x:v>
      </x:c>
      <x:c r="I1364" s="32" t="n">
        <x:f>ROUND((H1364-G1364)*1440,0)</x:f>
        <x:v>3</x:v>
      </x:c>
      <x:c r="J1364" s="13" t="str">
        <x:v>Журнал A</x:v>
      </x:c>
      <x:c r="K1364" s="13" t="str">
        <x:v>Запиши только 3 вещи: что было весело, один удачный технический момент, состояние пальцев после сессии.</x:v>
      </x:c>
      <x:c r="L1364" s="13" t="str">
        <x:v>☐ Не начато</x:v>
      </x:c>
      <x:c r="M1364" s="13" t="str">
        <x:v>Опционально</x:v>
      </x:c>
      <x:c r="N1364" s="13" t="str">
        <x:v>Без нагрузки</x:v>
      </x:c>
      <x:c r="O1364" s="13" t="str"/>
      <x:c r="P1364" s="13" t="str">
        <x:v>milestone_05_efficiency_projecting/week_19_2027-01-11/07_SUNDAY.md</x:v>
      </x:c>
      <x:c r="Q1364" s="138" t="str">
        <x:v>Markdown</x:v>
      </x:c>
      <x:c r="R1364" s="20" t="str"/>
    </x:row>
    <x:row r="1365" ht="36" customHeight="1">
      <x:c r="A1365" s="19" t="str">
        <x:v>W19-20270117-1364</x:v>
      </x:c>
      <x:c r="B1365" s="13" t="n">
        <x:v>19</x:v>
      </x:c>
      <x:c r="C1365" s="13" t="str">
        <x:v>Этап 5 — Эффективность движения и работа над проектом</x:v>
      </x:c>
      <x:c r="D1365" s="138" t="str">
        <x:v>2027-01-17</x:v>
      </x:c>
      <x:c r="E1365" s="13" t="str">
        <x:v>Воскресенье</x:v>
      </x:c>
      <x:c r="F1365" s="13" t="str">
        <x:v>Восстановление B — дома</x:v>
      </x:c>
      <x:c r="G1365" s="44" t="n">
        <x:v>0</x:v>
      </x:c>
      <x:c r="H1365" s="44" t="n">
        <x:v>0.010416666666666666</x:v>
      </x:c>
      <x:c r="I1365" s="32" t="n">
        <x:f>ROUND((H1365-G1365)*1440,0)</x:f>
        <x:v>15</x:v>
      </x:c>
      <x:c r="J1365" s="13" t="str">
        <x:v>Прогулка B</x:v>
      </x:c>
      <x:c r="K1365" s="13" t="str">
        <x:v>Если не идёшь в зал: 15 минут спокойной прогулки.</x:v>
      </x:c>
      <x:c r="L1365" s="13" t="str">
        <x:v>☐ Не начато</x:v>
      </x:c>
      <x:c r="M1365" s="13" t="str">
        <x:v>Опционально</x:v>
      </x:c>
      <x:c r="N1365" s="13" t="str">
        <x:v>RPE 1–2</x:v>
      </x:c>
      <x:c r="O1365" s="13" t="str"/>
      <x:c r="P1365" s="13" t="str">
        <x:v>milestone_05_efficiency_projecting/week_19_2027-01-11/07_SUNDAY.md</x:v>
      </x:c>
      <x:c r="Q1365" s="138" t="str">
        <x:v>Markdown</x:v>
      </x:c>
      <x:c r="R1365" s="20" t="str"/>
    </x:row>
    <x:row r="1366" ht="36" customHeight="1">
      <x:c r="A1366" s="19" t="str">
        <x:v>W19-20270117-1365</x:v>
      </x:c>
      <x:c r="B1366" s="13" t="n">
        <x:v>19</x:v>
      </x:c>
      <x:c r="C1366" s="13" t="str">
        <x:v>Этап 5 — Эффективность движения и работа над проектом</x:v>
      </x:c>
      <x:c r="D1366" s="138" t="str">
        <x:v>2027-01-17</x:v>
      </x:c>
      <x:c r="E1366" s="13" t="str">
        <x:v>Воскресенье</x:v>
      </x:c>
      <x:c r="F1366" s="13" t="str">
        <x:v>Восстановление B — дома</x:v>
      </x:c>
      <x:c r="G1366" s="44" t="n">
        <x:v>0.010416666666666666</x:v>
      </x:c>
      <x:c r="H1366" s="44" t="n">
        <x:v>0.015277777777777777</x:v>
      </x:c>
      <x:c r="I1366" s="32" t="n">
        <x:f>ROUND((H1366-G1366)*1440,0)</x:f>
        <x:v>7</x:v>
      </x:c>
      <x:c r="J1366" s="13" t="str">
        <x:v>Визуализация B</x:v>
      </x:c>
      <x:c r="K1366" s="13" t="str">
        <x:v>7 минут: мысленно повтори тему недели «Разделение проекта» и одну трассу четверга.</x:v>
      </x:c>
      <x:c r="L1366" s="13" t="str">
        <x:v>☐ Не начато</x:v>
      </x:c>
      <x:c r="M1366" s="13" t="str">
        <x:v>Опционально</x:v>
      </x:c>
      <x:c r="N1366" s="13" t="str">
        <x:v>Без нагрузки</x:v>
      </x:c>
      <x:c r="O1366" s="13" t="str"/>
      <x:c r="P1366" s="13" t="str">
        <x:v>milestone_05_efficiency_projecting/week_19_2027-01-11/07_SUNDAY.md</x:v>
      </x:c>
      <x:c r="Q1366" s="138" t="str">
        <x:v>Markdown</x:v>
      </x:c>
      <x:c r="R1366" s="20" t="str"/>
    </x:row>
    <x:row r="1367" ht="36" customHeight="1">
      <x:c r="A1367" s="19" t="str">
        <x:v>W19-20270117-1366</x:v>
      </x:c>
      <x:c r="B1367" s="13" t="n">
        <x:v>19</x:v>
      </x:c>
      <x:c r="C1367" s="13" t="str">
        <x:v>Этап 5 — Эффективность движения и работа над проектом</x:v>
      </x:c>
      <x:c r="D1367" s="138" t="str">
        <x:v>2027-01-17</x:v>
      </x:c>
      <x:c r="E1367" s="13" t="str">
        <x:v>Воскресенье</x:v>
      </x:c>
      <x:c r="F1367" s="13" t="str">
        <x:v>Восстановление B — дома</x:v>
      </x:c>
      <x:c r="G1367" s="44" t="n">
        <x:v>0.015277777777777777</x:v>
      </x:c>
      <x:c r="H1367" s="44" t="n">
        <x:v>0.017361111111111112</x:v>
      </x:c>
      <x:c r="I1367" s="32" t="n">
        <x:f>ROUND((H1367-G1367)*1440,0)</x:f>
        <x:v>3</x:v>
      </x:c>
      <x:c r="J1367" s="13" t="str">
        <x:v>Итог недели B</x:v>
      </x:c>
      <x:c r="K1367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367" s="13" t="str">
        <x:v>☐ Не начато</x:v>
      </x:c>
      <x:c r="M1367" s="13" t="str">
        <x:v>Опционально</x:v>
      </x:c>
      <x:c r="N1367" s="13" t="str">
        <x:v>Без нагрузки</x:v>
      </x:c>
      <x:c r="O1367" s="13" t="str"/>
      <x:c r="P1367" s="13" t="str">
        <x:v>milestone_05_efficiency_projecting/week_19_2027-01-11/07_SUNDAY.md</x:v>
      </x:c>
      <x:c r="Q1367" s="138" t="str">
        <x:v>Markdown</x:v>
      </x:c>
      <x:c r="R1367" s="20" t="str"/>
    </x:row>
    <x:row r="1368" ht="36" customHeight="1">
      <x:c r="A1368" s="19" t="str">
        <x:v>W20-20270118-1367</x:v>
      </x:c>
      <x:c r="B1368" s="13" t="n">
        <x:v>20</x:v>
      </x:c>
      <x:c r="C1368" s="13" t="str">
        <x:v>Этап 5 — Эффективность движения и работа над проектом</x:v>
      </x:c>
      <x:c r="D1368" s="138" t="str">
        <x:v>2027-01-18</x:v>
      </x:c>
      <x:c r="E1368" s="13" t="str">
        <x:v>Понедельник</x:v>
      </x:c>
      <x:c r="F1368" s="13" t="str">
        <x:v>Дом / теория</x:v>
      </x:c>
      <x:c r="G1368" s="44" t="n">
        <x:v>0</x:v>
      </x:c>
      <x:c r="H1368" s="44" t="n">
        <x:v>0.0020833333333333333</x:v>
      </x:c>
      <x:c r="I1368" s="32" t="n">
        <x:f>ROUND((H1368-G1368)*1440,0)</x:f>
        <x:v>3</x:v>
      </x:c>
      <x:c r="J1368" s="13" t="str">
        <x:v>Самопроверка</x:v>
      </x:c>
      <x:c r="K1368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368" s="13" t="str">
        <x:v>☐ Не начато</x:v>
      </x:c>
      <x:c r="M1368" s="13" t="str">
        <x:v>Обязательно</x:v>
      </x:c>
      <x:c r="N1368" s="13" t="str">
        <x:v>Очень легко</x:v>
      </x:c>
      <x:c r="O1368" s="13" t="str">
        <x:v>Не диагностируй травму самостоятельно; используй правила из документа безопасности.</x:v>
      </x:c>
      <x:c r="P1368" s="13" t="str">
        <x:v>milestone_05_efficiency_projecting/week_20_2027-01-18/01_MONDAY.md</x:v>
      </x:c>
      <x:c r="Q1368" s="138" t="str">
        <x:v>Markdown</x:v>
      </x:c>
      <x:c r="R1368" s="20" t="str"/>
    </x:row>
    <x:row r="1369" ht="36" customHeight="1">
      <x:c r="A1369" s="19" t="str">
        <x:v>W20-20270118-1368</x:v>
      </x:c>
      <x:c r="B1369" s="13" t="n">
        <x:v>20</x:v>
      </x:c>
      <x:c r="C1369" s="13" t="str">
        <x:v>Этап 5 — Эффективность движения и работа над проектом</x:v>
      </x:c>
      <x:c r="D1369" s="138" t="str">
        <x:v>2027-01-18</x:v>
      </x:c>
      <x:c r="E1369" s="13" t="str">
        <x:v>Понедельник</x:v>
      </x:c>
      <x:c r="F1369" s="13" t="str">
        <x:v>Дом / теория</x:v>
      </x:c>
      <x:c r="G1369" s="44" t="n">
        <x:v>0.0020833333333333333</x:v>
      </x:c>
      <x:c r="H1369" s="44" t="n">
        <x:v>0.005555555555555556</x:v>
      </x:c>
      <x:c r="I1369" s="32" t="n">
        <x:f>ROUND((H1369-G1369)*1440,0)</x:f>
        <x:v>5</x:v>
      </x:c>
      <x:c r="J1369" s="13" t="str">
        <x:v>Планирование</x:v>
      </x:c>
      <x:c r="K1369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«Полная попытка имеет смысл только после того, как ключевые части стали воспроизводимыми.»</x:v>
      </x:c>
      <x:c r="L1369" s="13" t="str">
        <x:v>☐ Не начато</x:v>
      </x:c>
      <x:c r="M1369" s="13" t="str">
        <x:v>Обязательно</x:v>
      </x:c>
      <x:c r="N1369" s="13" t="str">
        <x:v>Без нагрузки</x:v>
      </x:c>
      <x:c r="O1369" s="13" t="str"/>
      <x:c r="P1369" s="13" t="str">
        <x:v>milestone_05_efficiency_projecting/week_20_2027-01-18/01_MONDAY.md</x:v>
      </x:c>
      <x:c r="Q1369" s="138" t="str">
        <x:v>Markdown</x:v>
      </x:c>
      <x:c r="R1369" s="20" t="str"/>
    </x:row>
    <x:row r="1370" ht="36" customHeight="1">
      <x:c r="A1370" s="19" t="str">
        <x:v>W20-20270118-1369</x:v>
      </x:c>
      <x:c r="B1370" s="13" t="n">
        <x:v>20</x:v>
      </x:c>
      <x:c r="C1370" s="13" t="str">
        <x:v>Этап 5 — Эффективность движения и работа над проектом</x:v>
      </x:c>
      <x:c r="D1370" s="138" t="str">
        <x:v>2027-01-18</x:v>
      </x:c>
      <x:c r="E1370" s="13" t="str">
        <x:v>Понедельник</x:v>
      </x:c>
      <x:c r="F1370" s="13" t="str">
        <x:v>Дом / теория</x:v>
      </x:c>
      <x:c r="G1370" s="44" t="n">
        <x:v>0.005555555555555556</x:v>
      </x:c>
      <x:c r="H1370" s="44" t="n">
        <x:v>0.01597222222222222</x:v>
      </x:c>
      <x:c r="I1370" s="32" t="n">
        <x:f>ROUND((H1370-G1370)*1440,0)</x:f>
        <x:v>15</x:v>
      </x:c>
      <x:c r="J1370" s="13" t="str">
        <x:v>Теория</x:v>
      </x:c>
      <x:c r="K1370" s="13" t="str">
        <x:v>Посмотри/прочитай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370" s="13" t="str">
        <x:v>☐ Не начато</x:v>
      </x:c>
      <x:c r="M1370" s="13" t="str">
        <x:v>Обязательно</x:v>
      </x:c>
      <x:c r="N1370" s="13" t="str">
        <x:v>Без нагрузки</x:v>
      </x:c>
      <x:c r="O1370" s="13" t="str"/>
      <x:c r="P1370" s="13" t="str">
        <x:v>milestone_05_efficiency_projecting/week_20_2027-01-18/01_MONDAY.md</x:v>
      </x:c>
      <x:c r="Q1370" s="138" t="str">
        <x:v>Markdown</x:v>
      </x:c>
      <x:c r="R1370" s="20" t="str"/>
    </x:row>
    <x:row r="1371" ht="36" customHeight="1">
      <x:c r="A1371" s="19" t="str">
        <x:v>W20-20270118-1370</x:v>
      </x:c>
      <x:c r="B1371" s="13" t="n">
        <x:v>20</x:v>
      </x:c>
      <x:c r="C1371" s="13" t="str">
        <x:v>Этап 5 — Эффективность движения и работа над проектом</x:v>
      </x:c>
      <x:c r="D1371" s="138" t="str">
        <x:v>2027-01-18</x:v>
      </x:c>
      <x:c r="E1371" s="13" t="str">
        <x:v>Понедельник</x:v>
      </x:c>
      <x:c r="F1371" s="13" t="str">
        <x:v>Дом / теория</x:v>
      </x:c>
      <x:c r="G1371" s="44" t="n">
        <x:v>0.01597222222222222</x:v>
      </x:c>
      <x:c r="H1371" s="44" t="n">
        <x:v>0.019444444444444445</x:v>
      </x:c>
      <x:c r="I1371" s="32" t="n">
        <x:f>ROUND((H1371-G1371)*1440,0)</x:f>
        <x:v>5</x:v>
      </x:c>
      <x:c r="J1371" s="13" t="str">
        <x:v>Конспект</x:v>
      </x:c>
      <x:c r="K1371" s="13" t="str">
        <x:v>Запиши ровно 3 пункта: (1) что делать ногами/тазом; (2) что не делать руками; (3) какой признак успеха проверишь на стене для темы «Связывание и сравнение».</x:v>
      </x:c>
      <x:c r="L1371" s="13" t="str">
        <x:v>☐ Не начато</x:v>
      </x:c>
      <x:c r="M1371" s="13" t="str">
        <x:v>Обязательно</x:v>
      </x:c>
      <x:c r="N1371" s="13" t="str">
        <x:v>Без нагрузки</x:v>
      </x:c>
      <x:c r="O1371" s="13" t="str"/>
      <x:c r="P1371" s="13" t="str">
        <x:v>milestone_05_efficiency_projecting/week_20_2027-01-18/01_MONDAY.md</x:v>
      </x:c>
      <x:c r="Q1371" s="138" t="str">
        <x:v>Markdown</x:v>
      </x:c>
      <x:c r="R1371" s="20" t="str"/>
    </x:row>
    <x:row r="1372" ht="36" customHeight="1">
      <x:c r="A1372" s="19" t="str">
        <x:v>W20-20270118-1371</x:v>
      </x:c>
      <x:c r="B1372" s="13" t="n">
        <x:v>20</x:v>
      </x:c>
      <x:c r="C1372" s="13" t="str">
        <x:v>Этап 5 — Эффективность движения и работа над проектом</x:v>
      </x:c>
      <x:c r="D1372" s="138" t="str">
        <x:v>2027-01-18</x:v>
      </x:c>
      <x:c r="E1372" s="13" t="str">
        <x:v>Понедельник</x:v>
      </x:c>
      <x:c r="F1372" s="13" t="str">
        <x:v>Дом / теория</x:v>
      </x:c>
      <x:c r="G1372" s="44" t="n">
        <x:v>0.019444444444444445</x:v>
      </x:c>
      <x:c r="H1372" s="44" t="n">
        <x:v>0.027777777777777776</x:v>
      </x:c>
      <x:c r="I1372" s="32" t="n">
        <x:f>ROUND((H1372-G1372)*1440,0)</x:f>
        <x:v>12</x:v>
      </x:c>
      <x:c r="J1372" s="13" t="str">
        <x:v>Домашняя мобильность</x:v>
      </x:c>
      <x:c r="K1372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1372" s="13" t="str">
        <x:v>☐ Не начато</x:v>
      </x:c>
      <x:c r="M1372" s="13" t="str">
        <x:v>Обязательно</x:v>
      </x:c>
      <x:c r="N1372" s="13" t="str">
        <x:v>RPE 2–3</x:v>
      </x:c>
      <x:c r="O1372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372" s="13" t="str">
        <x:v>milestone_05_efficiency_projecting/week_20_2027-01-18/01_MONDAY.md</x:v>
      </x:c>
      <x:c r="Q1372" s="138" t="str">
        <x:v>Markdown</x:v>
      </x:c>
      <x:c r="R1372" s="20" t="str"/>
    </x:row>
    <x:row r="1373" ht="36" customHeight="1">
      <x:c r="A1373" s="19" t="str">
        <x:v>W20-20270118-1372</x:v>
      </x:c>
      <x:c r="B1373" s="13" t="n">
        <x:v>20</x:v>
      </x:c>
      <x:c r="C1373" s="13" t="str">
        <x:v>Этап 5 — Эффективность движения и работа над проектом</x:v>
      </x:c>
      <x:c r="D1373" s="138" t="str">
        <x:v>2027-01-18</x:v>
      </x:c>
      <x:c r="E1373" s="13" t="str">
        <x:v>Понедельник</x:v>
      </x:c>
      <x:c r="F1373" s="13" t="str">
        <x:v>Дом / теория</x:v>
      </x:c>
      <x:c r="G1373" s="44" t="n">
        <x:v>0.027777777777777776</x:v>
      </x:c>
      <x:c r="H1373" s="44" t="n">
        <x:v>0.041666666666666664</x:v>
      </x:c>
      <x:c r="I1373" s="32" t="n">
        <x:f>ROUND((H1373-G1373)*1440,0)</x:f>
        <x:v>20</x:v>
      </x:c>
      <x:c r="J1373" s="13" t="str">
        <x:v>Физиотерапия</x:v>
      </x:c>
      <x:c r="K1373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373" s="13" t="str">
        <x:v>☐ Не начато</x:v>
      </x:c>
      <x:c r="M1373" s="13" t="str">
        <x:v>По назначению</x:v>
      </x:c>
      <x:c r="N1373" s="13" t="str">
        <x:v>По назначению физиотерапевта</x:v>
      </x:c>
      <x:c r="O1373" s="13" t="str">
        <x:v>Любые указания физиотерапевта имеют приоритет над этим планом.</x:v>
      </x:c>
      <x:c r="P1373" s="13" t="str">
        <x:v>milestone_05_efficiency_projecting/week_20_2027-01-18/01_MONDAY.md</x:v>
      </x:c>
      <x:c r="Q1373" s="138" t="str">
        <x:v>Markdown</x:v>
      </x:c>
      <x:c r="R1373" s="20" t="str"/>
    </x:row>
    <x:row r="1374" ht="36" customHeight="1">
      <x:c r="A1374" s="19" t="str">
        <x:v>W20-20270118-1373</x:v>
      </x:c>
      <x:c r="B1374" s="13" t="n">
        <x:v>20</x:v>
      </x:c>
      <x:c r="C1374" s="13" t="str">
        <x:v>Этап 5 — Эффективность движения и работа над проектом</x:v>
      </x:c>
      <x:c r="D1374" s="138" t="str">
        <x:v>2027-01-18</x:v>
      </x:c>
      <x:c r="E1374" s="13" t="str">
        <x:v>Понедельник</x:v>
      </x:c>
      <x:c r="F1374" s="13" t="str">
        <x:v>Дом / теория</x:v>
      </x:c>
      <x:c r="G1374" s="44" t="n">
        <x:v>0.041666666666666664</x:v>
      </x:c>
      <x:c r="H1374" s="44" t="n">
        <x:v>0.04375</x:v>
      </x:c>
      <x:c r="I1374" s="32" t="n">
        <x:f>ROUND((H1374-G1374)*1440,0)</x:f>
        <x:v>3</x:v>
      </x:c>
      <x:c r="J1374" s="13" t="str">
        <x:v>Подготовка</x:v>
      </x:c>
      <x:c r="K1374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374" s="13" t="str">
        <x:v>☐ Не начато</x:v>
      </x:c>
      <x:c r="M1374" s="13" t="str">
        <x:v>Обязательно</x:v>
      </x:c>
      <x:c r="N1374" s="13" t="str">
        <x:v>Без нагрузки</x:v>
      </x:c>
      <x:c r="O1374" s="13" t="str">
        <x:v>Кольца и турник — только в рамках программы физиотерапевта.</x:v>
      </x:c>
      <x:c r="P1374" s="13" t="str">
        <x:v>milestone_05_efficiency_projecting/week_20_2027-01-18/01_MONDAY.md</x:v>
      </x:c>
      <x:c r="Q1374" s="138" t="str">
        <x:v>Markdown</x:v>
      </x:c>
      <x:c r="R1374" s="20" t="str"/>
    </x:row>
    <x:row r="1375" ht="36" customHeight="1">
      <x:c r="A1375" s="19" t="str">
        <x:v>W20-20270119-1374</x:v>
      </x:c>
      <x:c r="B1375" s="13" t="n">
        <x:v>20</x:v>
      </x:c>
      <x:c r="C1375" s="13" t="str">
        <x:v>Этап 5 — Эффективность движения и работа над проектом</x:v>
      </x:c>
      <x:c r="D1375" s="138" t="str">
        <x:v>2027-01-19</x:v>
      </x:c>
      <x:c r="E1375" s="13" t="str">
        <x:v>Вторник</x:v>
      </x:c>
      <x:c r="F1375" s="13" t="str">
        <x:v>Тренировка A — техника/объём</x:v>
      </x:c>
      <x:c r="G1375" s="44" t="n">
        <x:v>0</x:v>
      </x:c>
      <x:c r="H1375" s="44" t="n">
        <x:v>0.0020833333333333333</x:v>
      </x:c>
      <x:c r="I1375" s="32" t="n">
        <x:f>ROUND((H1375-G1375)*1440,0)</x:f>
        <x:v>3</x:v>
      </x:c>
      <x:c r="J1375" s="13" t="str">
        <x:v>Самопроверка</x:v>
      </x:c>
      <x:c r="K137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375" s="13" t="str">
        <x:v>☐ Не начато</x:v>
      </x:c>
      <x:c r="M1375" s="13" t="str">
        <x:v>Обязательно</x:v>
      </x:c>
      <x:c r="N1375" s="13" t="str">
        <x:v>Без нагрузки</x:v>
      </x:c>
      <x:c r="O1375" s="13" t="str">
        <x:v>Красный флаг = не начинать пальцевую нагрузку.</x:v>
      </x:c>
      <x:c r="P1375" s="13" t="str">
        <x:v>milestone_05_efficiency_projecting/week_20_2027-01-18/02_TUESDAY.md</x:v>
      </x:c>
      <x:c r="Q1375" s="138" t="str">
        <x:v>Markdown</x:v>
      </x:c>
      <x:c r="R1375" s="20" t="str"/>
    </x:row>
    <x:row r="1376" ht="36" customHeight="1">
      <x:c r="A1376" s="19" t="str">
        <x:v>W20-20270119-1375</x:v>
      </x:c>
      <x:c r="B1376" s="13" t="n">
        <x:v>20</x:v>
      </x:c>
      <x:c r="C1376" s="13" t="str">
        <x:v>Этап 5 — Эффективность движения и работа над проектом</x:v>
      </x:c>
      <x:c r="D1376" s="138" t="str">
        <x:v>2027-01-19</x:v>
      </x:c>
      <x:c r="E1376" s="13" t="str">
        <x:v>Вторник</x:v>
      </x:c>
      <x:c r="F1376" s="13" t="str">
        <x:v>Тренировка A — техника/объём</x:v>
      </x:c>
      <x:c r="G1376" s="44" t="n">
        <x:v>0.0020833333333333333</x:v>
      </x:c>
      <x:c r="H1376" s="44" t="n">
        <x:v>0.005555555555555556</x:v>
      </x:c>
      <x:c r="I1376" s="32" t="n">
        <x:f>ROUND((H1376-G1376)*1440,0)</x:f>
        <x:v>5</x:v>
      </x:c>
      <x:c r="J1376" s="13" t="str">
        <x:v>Разминка</x:v>
      </x:c>
      <x:c r="K1376" s="13" t="str">
        <x:v>Подними температуру: быстрая ходьба, лестница или лёгкий велотренажёр 5 минут.</x:v>
      </x:c>
      <x:c r="L1376" s="13" t="str">
        <x:v>☐ Не начато</x:v>
      </x:c>
      <x:c r="M1376" s="13" t="str">
        <x:v>Обязательно</x:v>
      </x:c>
      <x:c r="N1376" s="13" t="str">
        <x:v>RPE 2–3</x:v>
      </x:c>
      <x:c r="O1376" s="13" t="str"/>
      <x:c r="P1376" s="13" t="str">
        <x:v>milestone_05_efficiency_projecting/week_20_2027-01-18/02_TUESDAY.md</x:v>
      </x:c>
      <x:c r="Q1376" s="138" t="str">
        <x:v>Markdown</x:v>
      </x:c>
      <x:c r="R1376" s="20" t="str"/>
    </x:row>
    <x:row r="1377" ht="36" customHeight="1">
      <x:c r="A1377" s="19" t="str">
        <x:v>W20-20270119-1376</x:v>
      </x:c>
      <x:c r="B1377" s="13" t="n">
        <x:v>20</x:v>
      </x:c>
      <x:c r="C1377" s="13" t="str">
        <x:v>Этап 5 — Эффективность движения и работа над проектом</x:v>
      </x:c>
      <x:c r="D1377" s="138" t="str">
        <x:v>2027-01-19</x:v>
      </x:c>
      <x:c r="E1377" s="13" t="str">
        <x:v>Вторник</x:v>
      </x:c>
      <x:c r="F1377" s="13" t="str">
        <x:v>Тренировка A — техника/объём</x:v>
      </x:c>
      <x:c r="G1377" s="44" t="n">
        <x:v>0.005555555555555556</x:v>
      </x:c>
      <x:c r="H1377" s="44" t="n">
        <x:v>0.009027777777777777</x:v>
      </x:c>
      <x:c r="I1377" s="32" t="n">
        <x:f>ROUND((H1377-G1377)*1440,0)</x:f>
        <x:v>5</x:v>
      </x:c>
      <x:c r="J1377" s="13" t="str">
        <x:v>Разминка</x:v>
      </x:c>
      <x:c r="K137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377" s="13" t="str">
        <x:v>☐ Не начато</x:v>
      </x:c>
      <x:c r="M1377" s="13" t="str">
        <x:v>Обязательно</x:v>
      </x:c>
      <x:c r="N1377" s="13" t="str">
        <x:v>Очень легко</x:v>
      </x:c>
      <x:c r="O1377" s="13" t="str">
        <x:v>Не делай press/отжимания и движения, которые раздражают плечо.</x:v>
      </x:c>
      <x:c r="P1377" s="13" t="str">
        <x:v>milestone_05_efficiency_projecting/week_20_2027-01-18/02_TUESDAY.md</x:v>
      </x:c>
      <x:c r="Q1377" s="138" t="str">
        <x:v>Markdown</x:v>
      </x:c>
      <x:c r="R1377" s="20" t="str"/>
    </x:row>
    <x:row r="1378" ht="36" customHeight="1">
      <x:c r="A1378" s="19" t="str">
        <x:v>W20-20270119-1377</x:v>
      </x:c>
      <x:c r="B1378" s="13" t="n">
        <x:v>20</x:v>
      </x:c>
      <x:c r="C1378" s="13" t="str">
        <x:v>Этап 5 — Эффективность движения и работа над проектом</x:v>
      </x:c>
      <x:c r="D1378" s="138" t="str">
        <x:v>2027-01-19</x:v>
      </x:c>
      <x:c r="E1378" s="13" t="str">
        <x:v>Вторник</x:v>
      </x:c>
      <x:c r="F1378" s="13" t="str">
        <x:v>Тренировка A — техника/объём</x:v>
      </x:c>
      <x:c r="G1378" s="44" t="n">
        <x:v>0.009027777777777777</x:v>
      </x:c>
      <x:c r="H1378" s="44" t="n">
        <x:v>0.011805555555555555</x:v>
      </x:c>
      <x:c r="I1378" s="32" t="n">
        <x:f>ROUND((H1378-G1378)*1440,0)</x:f>
        <x:v>4</x:v>
      </x:c>
      <x:c r="J1378" s="13" t="str">
        <x:v>Разминка пальцев</x:v>
      </x:c>
      <x:c r="K137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378" s="13" t="str">
        <x:v>☐ Не начато</x:v>
      </x:c>
      <x:c r="M1378" s="13" t="str">
        <x:v>Обязательно</x:v>
      </x:c>
      <x:c r="N1378" s="13" t="str">
        <x:v>Очень легко</x:v>
      </x:c>
      <x:c r="O1378" s="13" t="str"/>
      <x:c r="P1378" s="13" t="str">
        <x:v>milestone_05_efficiency_projecting/week_20_2027-01-18/02_TUESDAY.md</x:v>
      </x:c>
      <x:c r="Q1378" s="138" t="str">
        <x:v>Markdown</x:v>
      </x:c>
      <x:c r="R1378" s="20" t="str"/>
    </x:row>
    <x:row r="1379" ht="36" customHeight="1">
      <x:c r="A1379" s="19" t="str">
        <x:v>W20-20270119-1378</x:v>
      </x:c>
      <x:c r="B1379" s="13" t="n">
        <x:v>20</x:v>
      </x:c>
      <x:c r="C1379" s="13" t="str">
        <x:v>Этап 5 — Эффективность движения и работа над проектом</x:v>
      </x:c>
      <x:c r="D1379" s="138" t="str">
        <x:v>2027-01-19</x:v>
      </x:c>
      <x:c r="E1379" s="13" t="str">
        <x:v>Вторник</x:v>
      </x:c>
      <x:c r="F1379" s="13" t="str">
        <x:v>Тренировка A — техника/объём</x:v>
      </x:c>
      <x:c r="G1379" s="44" t="n">
        <x:v>0.011805555555555555</x:v>
      </x:c>
      <x:c r="H1379" s="44" t="n">
        <x:v>0.014583333333333334</x:v>
      </x:c>
      <x:c r="I1379" s="32" t="n">
        <x:f>ROUND((H1379-G1379)*1440,0)</x:f>
        <x:v>4</x:v>
      </x:c>
      <x:c r="J1379" s="13" t="str">
        <x:v>Разминочное лазание</x:v>
      </x:c>
      <x:c r="K1379" s="13" t="str">
        <x:v>Пройди 2 очень лёгкие трассы уровня 1–2; двигайся медленно, спускайся по зацепам.</x:v>
      </x:c>
      <x:c r="L1379" s="13" t="str">
        <x:v>☐ Не начато</x:v>
      </x:c>
      <x:c r="M1379" s="13" t="str">
        <x:v>Обязательно</x:v>
      </x:c>
      <x:c r="N1379" s="13" t="str">
        <x:v>RPE 2–3</x:v>
      </x:c>
      <x:c r="O1379" s="13" t="str">
        <x:v>Финиш с обязательным болезненным mantle/press пропусти.</x:v>
      </x:c>
      <x:c r="P1379" s="13" t="str">
        <x:v>milestone_05_efficiency_projecting/week_20_2027-01-18/02_TUESDAY.md</x:v>
      </x:c>
      <x:c r="Q1379" s="138" t="str">
        <x:v>Markdown</x:v>
      </x:c>
      <x:c r="R1379" s="20" t="str"/>
    </x:row>
    <x:row r="1380" ht="36" customHeight="1">
      <x:c r="A1380" s="19" t="str">
        <x:v>W20-20270119-1379</x:v>
      </x:c>
      <x:c r="B1380" s="13" t="n">
        <x:v>20</x:v>
      </x:c>
      <x:c r="C1380" s="13" t="str">
        <x:v>Этап 5 — Эффективность движения и работа над проектом</x:v>
      </x:c>
      <x:c r="D1380" s="138" t="str">
        <x:v>2027-01-19</x:v>
      </x:c>
      <x:c r="E1380" s="13" t="str">
        <x:v>Вторник</x:v>
      </x:c>
      <x:c r="F1380" s="13" t="str">
        <x:v>Тренировка A — техника/объём</x:v>
      </x:c>
      <x:c r="G1380" s="44" t="n">
        <x:v>0.014583333333333334</x:v>
      </x:c>
      <x:c r="H1380" s="44" t="n">
        <x:v>0.017361111111111112</x:v>
      </x:c>
      <x:c r="I1380" s="32" t="n">
        <x:f>ROUND((H1380-G1380)*1440,0)</x:f>
        <x:v>4</x:v>
      </x:c>
      <x:c r="J1380" s="13" t="str">
        <x:v>Разминочное лазание</x:v>
      </x:c>
      <x:c r="K1380" s="13" t="str">
        <x:v>Пройди 2 трассы уровня 2–3, затем сделай 2–3 движения на комфортной четвёрке. Между ними 45–60 секунд.</x:v>
      </x:c>
      <x:c r="L1380" s="13" t="str">
        <x:v>☐ Не начато</x:v>
      </x:c>
      <x:c r="M1380" s="13" t="str">
        <x:v>Обязательно</x:v>
      </x:c>
      <x:c r="N1380" s="13" t="str">
        <x:v>RPE 3–4</x:v>
      </x:c>
      <x:c r="O1380" s="13" t="str">
        <x:v>Разминка не должна утомить пальцы.</x:v>
      </x:c>
      <x:c r="P1380" s="13" t="str">
        <x:v>milestone_05_efficiency_projecting/week_20_2027-01-18/02_TUESDAY.md</x:v>
      </x:c>
      <x:c r="Q1380" s="138" t="str">
        <x:v>Markdown</x:v>
      </x:c>
      <x:c r="R1380" s="20" t="str"/>
    </x:row>
    <x:row r="1381" ht="36" customHeight="1">
      <x:c r="A1381" s="19" t="str">
        <x:v>W20-20270119-1380</x:v>
      </x:c>
      <x:c r="B1381" s="13" t="n">
        <x:v>20</x:v>
      </x:c>
      <x:c r="C1381" s="13" t="str">
        <x:v>Этап 5 — Эффективность движения и работа над проектом</x:v>
      </x:c>
      <x:c r="D1381" s="138" t="str">
        <x:v>2027-01-19</x:v>
      </x:c>
      <x:c r="E1381" s="13" t="str">
        <x:v>Вторник</x:v>
      </x:c>
      <x:c r="F1381" s="13" t="str">
        <x:v>Тренировка A — техника/объём</x:v>
      </x:c>
      <x:c r="G1381" s="44" t="n">
        <x:v>0.017361111111111112</x:v>
      </x:c>
      <x:c r="H1381" s="44" t="n">
        <x:v>0.029861111111111113</x:v>
      </x:c>
      <x:c r="I1381" s="32" t="n">
        <x:f>ROUND((H1381-G1381)*1440,0)</x:f>
        <x:v>18</x:v>
      </x:c>
      <x:c r="J1381" s="13" t="str">
        <x:v>Техника</x:v>
      </x:c>
      <x:c r="K1381" s="13" t="str">
        <x:v>На двух знакомых четвёрках повтори «Связывание и сравнение»: Перед попыткой воспроизведи всю последовательность. Сделай 3–4 полные попытки с полным отдыхом.</x:v>
      </x:c>
      <x:c r="L1381" s="13" t="str">
        <x:v>☐ Не начато</x:v>
      </x:c>
      <x:c r="M1381" s="13" t="str">
        <x:v>Обязательно</x:v>
      </x:c>
      <x:c r="N1381" s="13" t="str">
        <x:v>RPE 4–5</x:v>
      </x:c>
      <x:c r="O1381" s="13" t="str">
        <x:v>Это разгрузочная неделя; фингерборд только лёгкий.</x:v>
      </x:c>
      <x:c r="P1381" s="13" t="str">
        <x:v>milestone_05_efficiency_projecting/week_20_2027-01-18/02_TUESDAY.md</x:v>
      </x:c>
      <x:c r="Q1381" s="138" t="str">
        <x:v>Markdown</x:v>
      </x:c>
      <x:c r="R1381" s="20" t="str"/>
    </x:row>
    <x:row r="1382" ht="36" customHeight="1">
      <x:c r="A1382" s="19" t="str">
        <x:v>W20-20270119-1381</x:v>
      </x:c>
      <x:c r="B1382" s="13" t="n">
        <x:v>20</x:v>
      </x:c>
      <x:c r="C1382" s="13" t="str">
        <x:v>Этап 5 — Эффективность движения и работа над проектом</x:v>
      </x:c>
      <x:c r="D1382" s="138" t="str">
        <x:v>2027-01-19</x:v>
      </x:c>
      <x:c r="E1382" s="13" t="str">
        <x:v>Вторник</x:v>
      </x:c>
      <x:c r="F1382" s="13" t="str">
        <x:v>Тренировка A — техника/объём</x:v>
      </x:c>
      <x:c r="G1382" s="44" t="n">
        <x:v>0.029861111111111113</x:v>
      </x:c>
      <x:c r="H1382" s="44" t="n">
        <x:v>0.043055555555555555</x:v>
      </x:c>
      <x:c r="I1382" s="32" t="n">
        <x:f>ROUND((H1382-G1382)*1440,0)</x:f>
        <x:v>19</x:v>
      </x:c>
      <x:c r="J1382" s="13" t="str">
        <x:v>Качественный объём</x:v>
      </x:c>
      <x:c r="K1382" s="13" t="str">
        <x:v>Одна знакомая пятёрка: максимум 3 попытки, отдых 3:00. Цель — чистая связка, не усталость.</x:v>
      </x:c>
      <x:c r="L1382" s="13" t="str">
        <x:v>☐ Не начато</x:v>
      </x:c>
      <x:c r="M1382" s="13" t="str">
        <x:v>Обязательно</x:v>
      </x:c>
      <x:c r="N1382" s="13" t="str">
        <x:v>RPE 6–7</x:v>
      </x:c>
      <x:c r="O1382" s="13" t="str">
        <x:v>Разгрузка. Фингерборд только лёгкий. Закончить до заметного распада техники.</x:v>
      </x:c>
      <x:c r="P1382" s="13" t="str">
        <x:v>milestone_05_efficiency_projecting/week_20_2027-01-18/02_TUESDAY.md</x:v>
      </x:c>
      <x:c r="Q1382" s="138" t="str">
        <x:v>Markdown</x:v>
      </x:c>
      <x:c r="R1382" s="20" t="str"/>
    </x:row>
    <x:row r="1383" ht="36" customHeight="1">
      <x:c r="A1383" s="19" t="str">
        <x:v>W20-20270119-1382</x:v>
      </x:c>
      <x:c r="B1383" s="13" t="n">
        <x:v>20</x:v>
      </x:c>
      <x:c r="C1383" s="13" t="str">
        <x:v>Этап 5 — Эффективность движения и работа над проектом</x:v>
      </x:c>
      <x:c r="D1383" s="138" t="str">
        <x:v>2027-01-19</x:v>
      </x:c>
      <x:c r="E1383" s="13" t="str">
        <x:v>Вторник</x:v>
      </x:c>
      <x:c r="F1383" s="13" t="str">
        <x:v>Тренировка A — техника/объём</x:v>
      </x:c>
      <x:c r="G1383" s="44" t="n">
        <x:v>0.043055555555555555</x:v>
      </x:c>
      <x:c r="H1383" s="44" t="n">
        <x:v>0.05</x:v>
      </x:c>
      <x:c r="I1383" s="32" t="n">
        <x:f>ROUND((H1383-G1383)*1440,0)</x:f>
        <x:v>10</x:v>
      </x:c>
      <x:c r="J1383" s="13" t="str">
        <x:v>Лёгкая выносливость</x:v>
      </x:c>
      <x:c r="K1383" s="13" t="str">
        <x:v>Выполни 1 раунд × 3 очень лёгкие трассы. Остановись до пампа выше 4/10.</x:v>
      </x:c>
      <x:c r="L1383" s="13" t="str">
        <x:v>☐ Не начато</x:v>
      </x:c>
      <x:c r="M1383" s="13" t="str">
        <x:v>Обязательно</x:v>
      </x:c>
      <x:c r="N1383" s="13" t="str">
        <x:v>RPE 4</x:v>
      </x:c>
      <x:c r="O1383" s="13" t="str"/>
      <x:c r="P1383" s="13" t="str">
        <x:v>milestone_05_efficiency_projecting/week_20_2027-01-18/02_TUESDAY.md</x:v>
      </x:c>
      <x:c r="Q1383" s="138" t="str">
        <x:v>Markdown</x:v>
      </x:c>
      <x:c r="R1383" s="20" t="str"/>
    </x:row>
    <x:row r="1384" ht="36" customHeight="1">
      <x:c r="A1384" s="19" t="str">
        <x:v>W20-20270119-1383</x:v>
      </x:c>
      <x:c r="B1384" s="13" t="n">
        <x:v>20</x:v>
      </x:c>
      <x:c r="C1384" s="13" t="str">
        <x:v>Этап 5 — Эффективность движения и работа над проектом</x:v>
      </x:c>
      <x:c r="D1384" s="138" t="str">
        <x:v>2027-01-19</x:v>
      </x:c>
      <x:c r="E1384" s="13" t="str">
        <x:v>Вторник</x:v>
      </x:c>
      <x:c r="F1384" s="13" t="str">
        <x:v>Тренировка A — техника/объём</x:v>
      </x:c>
      <x:c r="G1384" s="44" t="n">
        <x:v>0.05</x:v>
      </x:c>
      <x:c r="H1384" s="44" t="n">
        <x:v>0.05763888888888889</x:v>
      </x:c>
      <x:c r="I1384" s="32" t="n">
        <x:f>ROUND((H1384-G1384)*1440,0)</x:f>
        <x:v>11</x:v>
      </x:c>
      <x:c r="J1384" s="13" t="str">
        <x:v>Видео/сравнение</x:v>
      </x:c>
      <x:c r="K1384" s="13" t="str">
        <x:v>Просмотри одно старое и одно новое видео; запиши одно улучшение и одну следующую задачу.</x:v>
      </x:c>
      <x:c r="L1384" s="13" t="str">
        <x:v>☐ Не начато</x:v>
      </x:c>
      <x:c r="M1384" s="13" t="str">
        <x:v>Обязательно</x:v>
      </x:c>
      <x:c r="N1384" s="13" t="str">
        <x:v>Без нагрузки</x:v>
      </x:c>
      <x:c r="O1384" s="13" t="str"/>
      <x:c r="P1384" s="13" t="str">
        <x:v>milestone_05_efficiency_projecting/week_20_2027-01-18/02_TUESDAY.md</x:v>
      </x:c>
      <x:c r="Q1384" s="138" t="str">
        <x:v>Markdown</x:v>
      </x:c>
      <x:c r="R1384" s="20" t="str"/>
    </x:row>
    <x:row r="1385" ht="36" customHeight="1">
      <x:c r="A1385" s="19" t="str">
        <x:v>W20-20270119-1384</x:v>
      </x:c>
      <x:c r="B1385" s="13" t="n">
        <x:v>20</x:v>
      </x:c>
      <x:c r="C1385" s="13" t="str">
        <x:v>Этап 5 — Эффективность движения и работа над проектом</x:v>
      </x:c>
      <x:c r="D1385" s="138" t="str">
        <x:v>2027-01-19</x:v>
      </x:c>
      <x:c r="E1385" s="13" t="str">
        <x:v>Вторник</x:v>
      </x:c>
      <x:c r="F1385" s="13" t="str">
        <x:v>Тренировка A — техника/объём</x:v>
      </x:c>
      <x:c r="G1385" s="44" t="n">
        <x:v>0.05763888888888889</x:v>
      </x:c>
      <x:c r="H1385" s="44" t="n">
        <x:v>0.0625</x:v>
      </x:c>
      <x:c r="I1385" s="32" t="n">
        <x:f>ROUND((H1385-G1385)*1440,0)</x:f>
        <x:v>7</x:v>
      </x:c>
      <x:c r="J1385" s="13" t="str">
        <x:v>Журнал / завершение</x:v>
      </x:c>
      <x:c r="K1385" s="13" t="str">
        <x:v>Запиши: Сравнить длину лучшей связки и количество лишних перестановок ног с неделей 12.</x:v>
      </x:c>
      <x:c r="L1385" s="13" t="str">
        <x:v>☐ Не начато</x:v>
      </x:c>
      <x:c r="M1385" s="13" t="str">
        <x:v>Обязательно</x:v>
      </x:c>
      <x:c r="N1385" s="13" t="str">
        <x:v>Очень легко</x:v>
      </x:c>
      <x:c r="O1385" s="13" t="str"/>
      <x:c r="P1385" s="13" t="str">
        <x:v>milestone_05_efficiency_projecting/week_20_2027-01-18/02_TUESDAY.md</x:v>
      </x:c>
      <x:c r="Q1385" s="138" t="str">
        <x:v>Markdown</x:v>
      </x:c>
      <x:c r="R1385" s="20" t="str"/>
    </x:row>
    <x:row r="1386" ht="36" customHeight="1">
      <x:c r="A1386" s="19" t="str">
        <x:v>W20-20270120-1385</x:v>
      </x:c>
      <x:c r="B1386" s="13" t="n">
        <x:v>20</x:v>
      </x:c>
      <x:c r="C1386" s="13" t="str">
        <x:v>Этап 5 — Эффективность движения и работа над проектом</x:v>
      </x:c>
      <x:c r="D1386" s="138" t="str">
        <x:v>2027-01-20</x:v>
      </x:c>
      <x:c r="E1386" s="13" t="str">
        <x:v>Среда</x:v>
      </x:c>
      <x:c r="F1386" s="13" t="str">
        <x:v>Восстановление / видео</x:v>
      </x:c>
      <x:c r="G1386" s="44" t="n">
        <x:v>0</x:v>
      </x:c>
      <x:c r="H1386" s="44" t="n">
        <x:v>0.006944444444444444</x:v>
      </x:c>
      <x:c r="I1386" s="32" t="n">
        <x:f>ROUND((H1386-G1386)*1440,0)</x:f>
        <x:v>10</x:v>
      </x:c>
      <x:c r="J1386" s="13" t="str">
        <x:v>Восстановление</x:v>
      </x:c>
      <x:c r="K1386" s="13" t="str">
        <x:v>10 минут спокойной ходьбы. Руки расслаблены; это не тренировка выносливости.</x:v>
      </x:c>
      <x:c r="L1386" s="13" t="str">
        <x:v>☐ Не начато</x:v>
      </x:c>
      <x:c r="M1386" s="13" t="str">
        <x:v>Обязательно</x:v>
      </x:c>
      <x:c r="N1386" s="13" t="str">
        <x:v>RPE 1–2</x:v>
      </x:c>
      <x:c r="O1386" s="13" t="str"/>
      <x:c r="P1386" s="13" t="str">
        <x:v>milestone_05_efficiency_projecting/week_20_2027-01-18/03_WEDNESDAY.md</x:v>
      </x:c>
      <x:c r="Q1386" s="138" t="str">
        <x:v>Markdown</x:v>
      </x:c>
      <x:c r="R1386" s="20" t="str"/>
    </x:row>
    <x:row r="1387" ht="36" customHeight="1">
      <x:c r="A1387" s="19" t="str">
        <x:v>W20-20270120-1386</x:v>
      </x:c>
      <x:c r="B1387" s="13" t="n">
        <x:v>20</x:v>
      </x:c>
      <x:c r="C1387" s="13" t="str">
        <x:v>Этап 5 — Эффективность движения и работа над проектом</x:v>
      </x:c>
      <x:c r="D1387" s="138" t="str">
        <x:v>2027-01-20</x:v>
      </x:c>
      <x:c r="E1387" s="13" t="str">
        <x:v>Среда</x:v>
      </x:c>
      <x:c r="F1387" s="13" t="str">
        <x:v>Восстановление / видео</x:v>
      </x:c>
      <x:c r="G1387" s="44" t="n">
        <x:v>0.006944444444444444</x:v>
      </x:c>
      <x:c r="H1387" s="44" t="n">
        <x:v>0.009027777777777777</x:v>
      </x:c>
      <x:c r="I1387" s="32" t="n">
        <x:f>ROUND((H1387-G1387)*1440,0)</x:f>
        <x:v>3</x:v>
      </x:c>
      <x:c r="J1387" s="13" t="str">
        <x:v>Самопроверка</x:v>
      </x:c>
      <x:c r="K1387" s="13" t="str">
        <x:v>Оцени реакцию после вторника: плечо, пальцы, правое колено 0–10. Запиши, что изменилось относительно вчерашнего утра.</x:v>
      </x:c>
      <x:c r="L1387" s="13" t="str">
        <x:v>☐ Не начато</x:v>
      </x:c>
      <x:c r="M1387" s="13" t="str">
        <x:v>Обязательно</x:v>
      </x:c>
      <x:c r="N1387" s="13" t="str">
        <x:v>Без нагрузки</x:v>
      </x:c>
      <x:c r="O1387" s="13" t="str">
        <x:v>Острая локальная боль пальца или ухудшение плеча = не делать четверговую пальцевую нагрузку.</x:v>
      </x:c>
      <x:c r="P1387" s="13" t="str">
        <x:v>milestone_05_efficiency_projecting/week_20_2027-01-18/03_WEDNESDAY.md</x:v>
      </x:c>
      <x:c r="Q1387" s="138" t="str">
        <x:v>Markdown</x:v>
      </x:c>
      <x:c r="R1387" s="20" t="str"/>
    </x:row>
    <x:row r="1388" ht="36" customHeight="1">
      <x:c r="A1388" s="19" t="str">
        <x:v>W20-20270120-1387</x:v>
      </x:c>
      <x:c r="B1388" s="13" t="n">
        <x:v>20</x:v>
      </x:c>
      <x:c r="C1388" s="13" t="str">
        <x:v>Этап 5 — Эффективность движения и работа над проектом</x:v>
      </x:c>
      <x:c r="D1388" s="138" t="str">
        <x:v>2027-01-20</x:v>
      </x:c>
      <x:c r="E1388" s="13" t="str">
        <x:v>Среда</x:v>
      </x:c>
      <x:c r="F1388" s="13" t="str">
        <x:v>Восстановление / видео</x:v>
      </x:c>
      <x:c r="G1388" s="44" t="n">
        <x:v>0.009027777777777777</x:v>
      </x:c>
      <x:c r="H1388" s="44" t="n">
        <x:v>0.01597222222222222</x:v>
      </x:c>
      <x:c r="I1388" s="32" t="n">
        <x:f>ROUND((H1388-G1388)*1440,0)</x:f>
        <x:v>10</x:v>
      </x:c>
      <x:c r="J1388" s="13" t="str">
        <x:v>Видеоразбор</x:v>
      </x:c>
      <x:c r="K138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388" s="13" t="str">
        <x:v>☐ Не начато</x:v>
      </x:c>
      <x:c r="M1388" s="13" t="str">
        <x:v>Обязательно</x:v>
      </x:c>
      <x:c r="N1388" s="13" t="str">
        <x:v>Без нагрузки</x:v>
      </x:c>
      <x:c r="O1388" s="13" t="str"/>
      <x:c r="P1388" s="13" t="str">
        <x:v>milestone_05_efficiency_projecting/week_20_2027-01-18/03_WEDNESDAY.md</x:v>
      </x:c>
      <x:c r="Q1388" s="138" t="str">
        <x:v>Markdown</x:v>
      </x:c>
      <x:c r="R1388" s="20" t="str"/>
    </x:row>
    <x:row r="1389" ht="36" customHeight="1">
      <x:c r="A1389" s="19" t="str">
        <x:v>W20-20270120-1388</x:v>
      </x:c>
      <x:c r="B1389" s="13" t="n">
        <x:v>20</x:v>
      </x:c>
      <x:c r="C1389" s="13" t="str">
        <x:v>Этап 5 — Эффективность движения и работа над проектом</x:v>
      </x:c>
      <x:c r="D1389" s="138" t="str">
        <x:v>2027-01-20</x:v>
      </x:c>
      <x:c r="E1389" s="13" t="str">
        <x:v>Среда</x:v>
      </x:c>
      <x:c r="F1389" s="13" t="str">
        <x:v>Восстановление / видео</x:v>
      </x:c>
      <x:c r="G1389" s="44" t="n">
        <x:v>0.01597222222222222</x:v>
      </x:c>
      <x:c r="H1389" s="44" t="n">
        <x:v>0.01875</x:v>
      </x:c>
      <x:c r="I1389" s="32" t="n">
        <x:f>ROUND((H1389-G1389)*1440,0)</x:f>
        <x:v>4</x:v>
      </x:c>
      <x:c r="J1389" s="13" t="str">
        <x:v>Конспект</x:v>
      </x:c>
      <x:c r="K1389" s="13" t="str">
        <x:v>Запиши одну правку на четверг в формате «В следующей попытке я…». Используй cue: «Полная попытка имеет смысл только после того, как ключевые части стали воспроизводимыми.».</x:v>
      </x:c>
      <x:c r="L1389" s="13" t="str">
        <x:v>☐ Не начато</x:v>
      </x:c>
      <x:c r="M1389" s="13" t="str">
        <x:v>Обязательно</x:v>
      </x:c>
      <x:c r="N1389" s="13" t="str">
        <x:v>Без нагрузки</x:v>
      </x:c>
      <x:c r="O1389" s="13" t="str"/>
      <x:c r="P1389" s="13" t="str">
        <x:v>milestone_05_efficiency_projecting/week_20_2027-01-18/03_WEDNESDAY.md</x:v>
      </x:c>
      <x:c r="Q1389" s="138" t="str">
        <x:v>Markdown</x:v>
      </x:c>
      <x:c r="R1389" s="20" t="str"/>
    </x:row>
    <x:row r="1390" ht="36" customHeight="1">
      <x:c r="A1390" s="19" t="str">
        <x:v>W20-20270120-1389</x:v>
      </x:c>
      <x:c r="B1390" s="13" t="n">
        <x:v>20</x:v>
      </x:c>
      <x:c r="C1390" s="13" t="str">
        <x:v>Этап 5 — Эффективность движения и работа над проектом</x:v>
      </x:c>
      <x:c r="D1390" s="138" t="str">
        <x:v>2027-01-20</x:v>
      </x:c>
      <x:c r="E1390" s="13" t="str">
        <x:v>Среда</x:v>
      </x:c>
      <x:c r="F1390" s="13" t="str">
        <x:v>Восстановление / видео</x:v>
      </x:c>
      <x:c r="G1390" s="44" t="n">
        <x:v>0.01875</x:v>
      </x:c>
      <x:c r="H1390" s="44" t="n">
        <x:v>0.027083333333333334</x:v>
      </x:c>
      <x:c r="I1390" s="32" t="n">
        <x:f>ROUND((H1390-G1390)*1440,0)</x:f>
        <x:v>12</x:v>
      </x:c>
      <x:c r="J1390" s="13" t="str">
        <x:v>Домашняя мобильность</x:v>
      </x:c>
      <x:c r="K1390" s="13" t="str">
        <x:v>Выполни комплекс H2 «Баланс и опора ног», 12 минут. Ни турника, ни колец для дополнительного хвата.</x:v>
      </x:c>
      <x:c r="L1390" s="13" t="str">
        <x:v>☐ Не начато</x:v>
      </x:c>
      <x:c r="M1390" s="13" t="str">
        <x:v>Обязательно</x:v>
      </x:c>
      <x:c r="N1390" s="13" t="str">
        <x:v>RPE 2–3</x:v>
      </x:c>
      <x:c r="O1390" s="13" t="str">
        <x:v>Не уходи в глубокий присед. Стена используется как страховка; упражнение не должно провоцировать правое колено.</x:v>
      </x:c>
      <x:c r="P1390" s="13" t="str">
        <x:v>milestone_05_efficiency_projecting/week_20_2027-01-18/03_WEDNESDAY.md</x:v>
      </x:c>
      <x:c r="Q1390" s="138" t="str">
        <x:v>Markdown</x:v>
      </x:c>
      <x:c r="R1390" s="20" t="str"/>
    </x:row>
    <x:row r="1391" ht="36" customHeight="1">
      <x:c r="A1391" s="19" t="str">
        <x:v>W20-20270120-1390</x:v>
      </x:c>
      <x:c r="B1391" s="13" t="n">
        <x:v>20</x:v>
      </x:c>
      <x:c r="C1391" s="13" t="str">
        <x:v>Этап 5 — Эффективность движения и работа над проектом</x:v>
      </x:c>
      <x:c r="D1391" s="138" t="str">
        <x:v>2027-01-20</x:v>
      </x:c>
      <x:c r="E1391" s="13" t="str">
        <x:v>Среда</x:v>
      </x:c>
      <x:c r="F1391" s="13" t="str">
        <x:v>Восстановление / видео</x:v>
      </x:c>
      <x:c r="G1391" s="44" t="n">
        <x:v>0.027083333333333334</x:v>
      </x:c>
      <x:c r="H1391" s="44" t="n">
        <x:v>0.04097222222222222</x:v>
      </x:c>
      <x:c r="I1391" s="32" t="n">
        <x:f>ROUND((H1391-G1391)*1440,0)</x:f>
        <x:v>20</x:v>
      </x:c>
      <x:c r="J1391" s="13" t="str">
        <x:v>Физиотерапия</x:v>
      </x:c>
      <x:c r="K1391" s="13" t="str">
        <x:v>Выполни свой назначенный физиотерапевтом комплекс, если среда входит в его расписание.</x:v>
      </x:c>
      <x:c r="L1391" s="13" t="str">
        <x:v>☐ Не начато</x:v>
      </x:c>
      <x:c r="M1391" s="13" t="str">
        <x:v>По назначению</x:v>
      </x:c>
      <x:c r="N1391" s="13" t="str">
        <x:v>По назначению</x:v>
      </x:c>
      <x:c r="O1391" s="13" t="str">
        <x:v>Назначения физиотерапевта имеют приоритет.</x:v>
      </x:c>
      <x:c r="P1391" s="13" t="str">
        <x:v>milestone_05_efficiency_projecting/week_20_2027-01-18/03_WEDNESDAY.md</x:v>
      </x:c>
      <x:c r="Q1391" s="138" t="str">
        <x:v>Markdown</x:v>
      </x:c>
      <x:c r="R1391" s="20" t="str"/>
    </x:row>
    <x:row r="1392" ht="36" customHeight="1">
      <x:c r="A1392" s="19" t="str">
        <x:v>W20-20270120-1391</x:v>
      </x:c>
      <x:c r="B1392" s="13" t="n">
        <x:v>20</x:v>
      </x:c>
      <x:c r="C1392" s="13" t="str">
        <x:v>Этап 5 — Эффективность движения и работа над проектом</x:v>
      </x:c>
      <x:c r="D1392" s="138" t="str">
        <x:v>2027-01-20</x:v>
      </x:c>
      <x:c r="E1392" s="13" t="str">
        <x:v>Среда</x:v>
      </x:c>
      <x:c r="F1392" s="13" t="str">
        <x:v>Восстановление / видео</x:v>
      </x:c>
      <x:c r="G1392" s="44" t="n">
        <x:v>0.04097222222222222</x:v>
      </x:c>
      <x:c r="H1392" s="44" t="n">
        <x:v>0.043055555555555555</x:v>
      </x:c>
      <x:c r="I1392" s="32" t="n">
        <x:f>ROUND((H1392-G1392)*1440,0)</x:f>
        <x:v>3</x:v>
      </x:c>
      <x:c r="J1392" s="13" t="str">
        <x:v>Запрет лишней нагрузки</x:v>
      </x:c>
      <x:c r="K1392" s="13" t="str">
        <x:v>Поставь отметку: сегодня не было висов, подтягиваний «на проверку», эспандера-сжимателя или тяжёлого ношения.</x:v>
      </x:c>
      <x:c r="L1392" s="13" t="str">
        <x:v>☐ Не начато</x:v>
      </x:c>
      <x:c r="M1392" s="13" t="str">
        <x:v>Обязательно</x:v>
      </x:c>
      <x:c r="N1392" s="13" t="str">
        <x:v>Восстановление</x:v>
      </x:c>
      <x:c r="O1392" s="13" t="str"/>
      <x:c r="P1392" s="13" t="str">
        <x:v>milestone_05_efficiency_projecting/week_20_2027-01-18/03_WEDNESDAY.md</x:v>
      </x:c>
      <x:c r="Q1392" s="138" t="str">
        <x:v>Markdown</x:v>
      </x:c>
      <x:c r="R1392" s="20" t="str"/>
    </x:row>
    <x:row r="1393" ht="36" customHeight="1">
      <x:c r="A1393" s="19" t="str">
        <x:v>W20-20270121-1392</x:v>
      </x:c>
      <x:c r="B1393" s="13" t="n">
        <x:v>20</x:v>
      </x:c>
      <x:c r="C1393" s="13" t="str">
        <x:v>Этап 5 — Эффективность движения и работа над проектом</x:v>
      </x:c>
      <x:c r="D1393" s="138" t="str">
        <x:v>2027-01-21</x:v>
      </x:c>
      <x:c r="E1393" s="13" t="str">
        <x:v>Четверг</x:v>
      </x:c>
      <x:c r="F1393" s="13" t="str">
        <x:v>Тренировка B — пальцы/проект</x:v>
      </x:c>
      <x:c r="G1393" s="44" t="n">
        <x:v>0</x:v>
      </x:c>
      <x:c r="H1393" s="44" t="n">
        <x:v>0.0020833333333333333</x:v>
      </x:c>
      <x:c r="I1393" s="32" t="n">
        <x:f>ROUND((H1393-G1393)*1440,0)</x:f>
        <x:v>3</x:v>
      </x:c>
      <x:c r="J1393" s="13" t="str">
        <x:v>Самопроверка</x:v>
      </x:c>
      <x:c r="K139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393" s="13" t="str">
        <x:v>☐ Не начато</x:v>
      </x:c>
      <x:c r="M1393" s="13" t="str">
        <x:v>Обязательно</x:v>
      </x:c>
      <x:c r="N1393" s="13" t="str">
        <x:v>Без нагрузки</x:v>
      </x:c>
      <x:c r="O1393" s="13" t="str">
        <x:v>Красный флаг = не начинать пальцевую нагрузку.</x:v>
      </x:c>
      <x:c r="P1393" s="13" t="str">
        <x:v>milestone_05_efficiency_projecting/week_20_2027-01-18/04_THURSDAY.md</x:v>
      </x:c>
      <x:c r="Q1393" s="138" t="str">
        <x:v>Markdown</x:v>
      </x:c>
      <x:c r="R1393" s="20" t="str"/>
    </x:row>
    <x:row r="1394" ht="36" customHeight="1">
      <x:c r="A1394" s="19" t="str">
        <x:v>W20-20270121-1393</x:v>
      </x:c>
      <x:c r="B1394" s="13" t="n">
        <x:v>20</x:v>
      </x:c>
      <x:c r="C1394" s="13" t="str">
        <x:v>Этап 5 — Эффективность движения и работа над проектом</x:v>
      </x:c>
      <x:c r="D1394" s="138" t="str">
        <x:v>2027-01-21</x:v>
      </x:c>
      <x:c r="E1394" s="13" t="str">
        <x:v>Четверг</x:v>
      </x:c>
      <x:c r="F1394" s="13" t="str">
        <x:v>Тренировка B — пальцы/проект</x:v>
      </x:c>
      <x:c r="G1394" s="44" t="n">
        <x:v>0.0020833333333333333</x:v>
      </x:c>
      <x:c r="H1394" s="44" t="n">
        <x:v>0.005555555555555556</x:v>
      </x:c>
      <x:c r="I1394" s="32" t="n">
        <x:f>ROUND((H1394-G1394)*1440,0)</x:f>
        <x:v>5</x:v>
      </x:c>
      <x:c r="J1394" s="13" t="str">
        <x:v>Разминка</x:v>
      </x:c>
      <x:c r="K1394" s="13" t="str">
        <x:v>Подними температуру: быстрая ходьба, лестница или лёгкий велотренажёр 5 минут.</x:v>
      </x:c>
      <x:c r="L1394" s="13" t="str">
        <x:v>☐ Не начато</x:v>
      </x:c>
      <x:c r="M1394" s="13" t="str">
        <x:v>Обязательно</x:v>
      </x:c>
      <x:c r="N1394" s="13" t="str">
        <x:v>RPE 2–3</x:v>
      </x:c>
      <x:c r="O1394" s="13" t="str"/>
      <x:c r="P1394" s="13" t="str">
        <x:v>milestone_05_efficiency_projecting/week_20_2027-01-18/04_THURSDAY.md</x:v>
      </x:c>
      <x:c r="Q1394" s="138" t="str">
        <x:v>Markdown</x:v>
      </x:c>
      <x:c r="R1394" s="20" t="str"/>
    </x:row>
    <x:row r="1395" ht="36" customHeight="1">
      <x:c r="A1395" s="19" t="str">
        <x:v>W20-20270121-1394</x:v>
      </x:c>
      <x:c r="B1395" s="13" t="n">
        <x:v>20</x:v>
      </x:c>
      <x:c r="C1395" s="13" t="str">
        <x:v>Этап 5 — Эффективность движения и работа над проектом</x:v>
      </x:c>
      <x:c r="D1395" s="138" t="str">
        <x:v>2027-01-21</x:v>
      </x:c>
      <x:c r="E1395" s="13" t="str">
        <x:v>Четверг</x:v>
      </x:c>
      <x:c r="F1395" s="13" t="str">
        <x:v>Тренировка B — пальцы/проект</x:v>
      </x:c>
      <x:c r="G1395" s="44" t="n">
        <x:v>0.005555555555555556</x:v>
      </x:c>
      <x:c r="H1395" s="44" t="n">
        <x:v>0.009027777777777777</x:v>
      </x:c>
      <x:c r="I1395" s="32" t="n">
        <x:f>ROUND((H1395-G1395)*1440,0)</x:f>
        <x:v>5</x:v>
      </x:c>
      <x:c r="J1395" s="13" t="str">
        <x:v>Разминка</x:v>
      </x:c>
      <x:c r="K139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395" s="13" t="str">
        <x:v>☐ Не начато</x:v>
      </x:c>
      <x:c r="M1395" s="13" t="str">
        <x:v>Обязательно</x:v>
      </x:c>
      <x:c r="N1395" s="13" t="str">
        <x:v>Очень легко</x:v>
      </x:c>
      <x:c r="O1395" s="13" t="str">
        <x:v>Не делай press/отжимания и движения, которые раздражают плечо.</x:v>
      </x:c>
      <x:c r="P1395" s="13" t="str">
        <x:v>milestone_05_efficiency_projecting/week_20_2027-01-18/04_THURSDAY.md</x:v>
      </x:c>
      <x:c r="Q1395" s="138" t="str">
        <x:v>Markdown</x:v>
      </x:c>
      <x:c r="R1395" s="20" t="str"/>
    </x:row>
    <x:row r="1396" ht="36" customHeight="1">
      <x:c r="A1396" s="19" t="str">
        <x:v>W20-20270121-1395</x:v>
      </x:c>
      <x:c r="B1396" s="13" t="n">
        <x:v>20</x:v>
      </x:c>
      <x:c r="C1396" s="13" t="str">
        <x:v>Этап 5 — Эффективность движения и работа над проектом</x:v>
      </x:c>
      <x:c r="D1396" s="138" t="str">
        <x:v>2027-01-21</x:v>
      </x:c>
      <x:c r="E1396" s="13" t="str">
        <x:v>Четверг</x:v>
      </x:c>
      <x:c r="F1396" s="13" t="str">
        <x:v>Тренировка B — пальцы/проект</x:v>
      </x:c>
      <x:c r="G1396" s="44" t="n">
        <x:v>0.009027777777777777</x:v>
      </x:c>
      <x:c r="H1396" s="44" t="n">
        <x:v>0.011805555555555555</x:v>
      </x:c>
      <x:c r="I1396" s="32" t="n">
        <x:f>ROUND((H1396-G1396)*1440,0)</x:f>
        <x:v>4</x:v>
      </x:c>
      <x:c r="J1396" s="13" t="str">
        <x:v>Разминка пальцев</x:v>
      </x:c>
      <x:c r="K139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396" s="13" t="str">
        <x:v>☐ Не начато</x:v>
      </x:c>
      <x:c r="M1396" s="13" t="str">
        <x:v>Обязательно</x:v>
      </x:c>
      <x:c r="N1396" s="13" t="str">
        <x:v>Очень легко</x:v>
      </x:c>
      <x:c r="O1396" s="13" t="str"/>
      <x:c r="P1396" s="13" t="str">
        <x:v>milestone_05_efficiency_projecting/week_20_2027-01-18/04_THURSDAY.md</x:v>
      </x:c>
      <x:c r="Q1396" s="138" t="str">
        <x:v>Markdown</x:v>
      </x:c>
      <x:c r="R1396" s="20" t="str"/>
    </x:row>
    <x:row r="1397" ht="36" customHeight="1">
      <x:c r="A1397" s="19" t="str">
        <x:v>W20-20270121-1396</x:v>
      </x:c>
      <x:c r="B1397" s="13" t="n">
        <x:v>20</x:v>
      </x:c>
      <x:c r="C1397" s="13" t="str">
        <x:v>Этап 5 — Эффективность движения и работа над проектом</x:v>
      </x:c>
      <x:c r="D1397" s="138" t="str">
        <x:v>2027-01-21</x:v>
      </x:c>
      <x:c r="E1397" s="13" t="str">
        <x:v>Четверг</x:v>
      </x:c>
      <x:c r="F1397" s="13" t="str">
        <x:v>Тренировка B — пальцы/проект</x:v>
      </x:c>
      <x:c r="G1397" s="44" t="n">
        <x:v>0.011805555555555555</x:v>
      </x:c>
      <x:c r="H1397" s="44" t="n">
        <x:v>0.014583333333333334</x:v>
      </x:c>
      <x:c r="I1397" s="32" t="n">
        <x:f>ROUND((H1397-G1397)*1440,0)</x:f>
        <x:v>4</x:v>
      </x:c>
      <x:c r="J1397" s="13" t="str">
        <x:v>Разминочное лазание</x:v>
      </x:c>
      <x:c r="K1397" s="13" t="str">
        <x:v>Пройди 2 очень лёгкие трассы уровня 1–2; двигайся медленно, спускайся по зацепам.</x:v>
      </x:c>
      <x:c r="L1397" s="13" t="str">
        <x:v>☐ Не начато</x:v>
      </x:c>
      <x:c r="M1397" s="13" t="str">
        <x:v>Обязательно</x:v>
      </x:c>
      <x:c r="N1397" s="13" t="str">
        <x:v>RPE 2–3</x:v>
      </x:c>
      <x:c r="O1397" s="13" t="str">
        <x:v>Финиш с обязательным болезненным mantle/press пропусти.</x:v>
      </x:c>
      <x:c r="P1397" s="13" t="str">
        <x:v>milestone_05_efficiency_projecting/week_20_2027-01-18/04_THURSDAY.md</x:v>
      </x:c>
      <x:c r="Q1397" s="138" t="str">
        <x:v>Markdown</x:v>
      </x:c>
      <x:c r="R1397" s="20" t="str"/>
    </x:row>
    <x:row r="1398" ht="36" customHeight="1">
      <x:c r="A1398" s="19" t="str">
        <x:v>W20-20270121-1397</x:v>
      </x:c>
      <x:c r="B1398" s="13" t="n">
        <x:v>20</x:v>
      </x:c>
      <x:c r="C1398" s="13" t="str">
        <x:v>Этап 5 — Эффективность движения и работа над проектом</x:v>
      </x:c>
      <x:c r="D1398" s="138" t="str">
        <x:v>2027-01-21</x:v>
      </x:c>
      <x:c r="E1398" s="13" t="str">
        <x:v>Четверг</x:v>
      </x:c>
      <x:c r="F1398" s="13" t="str">
        <x:v>Тренировка B — пальцы/проект</x:v>
      </x:c>
      <x:c r="G1398" s="44" t="n">
        <x:v>0.014583333333333334</x:v>
      </x:c>
      <x:c r="H1398" s="44" t="n">
        <x:v>0.017361111111111112</x:v>
      </x:c>
      <x:c r="I1398" s="32" t="n">
        <x:f>ROUND((H1398-G1398)*1440,0)</x:f>
        <x:v>4</x:v>
      </x:c>
      <x:c r="J1398" s="13" t="str">
        <x:v>Разминочное лазание</x:v>
      </x:c>
      <x:c r="K1398" s="13" t="str">
        <x:v>Пройди 2 трассы уровня 2–3, затем сделай 2–3 движения на комфортной четвёрке. Между ними 45–60 секунд.</x:v>
      </x:c>
      <x:c r="L1398" s="13" t="str">
        <x:v>☐ Не начато</x:v>
      </x:c>
      <x:c r="M1398" s="13" t="str">
        <x:v>Обязательно</x:v>
      </x:c>
      <x:c r="N1398" s="13" t="str">
        <x:v>RPE 3–4</x:v>
      </x:c>
      <x:c r="O1398" s="13" t="str">
        <x:v>Разминка не должна утомить пальцы.</x:v>
      </x:c>
      <x:c r="P1398" s="13" t="str">
        <x:v>milestone_05_efficiency_projecting/week_20_2027-01-18/04_THURSDAY.md</x:v>
      </x:c>
      <x:c r="Q1398" s="138" t="str">
        <x:v>Markdown</x:v>
      </x:c>
      <x:c r="R1398" s="20" t="str"/>
    </x:row>
    <x:row r="1399" ht="36" customHeight="1">
      <x:c r="A1399" s="19" t="str">
        <x:v>W20-20270121-1398</x:v>
      </x:c>
      <x:c r="B1399" s="13" t="n">
        <x:v>20</x:v>
      </x:c>
      <x:c r="C1399" s="13" t="str">
        <x:v>Этап 5 — Эффективность движения и работа над проектом</x:v>
      </x:c>
      <x:c r="D1399" s="138" t="str">
        <x:v>2027-01-21</x:v>
      </x:c>
      <x:c r="E1399" s="13" t="str">
        <x:v>Четверг</x:v>
      </x:c>
      <x:c r="F1399" s="13" t="str">
        <x:v>Тренировка B — пальцы/проект</x:v>
      </x:c>
      <x:c r="G1399" s="44" t="n">
        <x:v>0.017361111111111112</x:v>
      </x:c>
      <x:c r="H1399" s="44" t="n">
        <x:v>0.019444444444444445</x:v>
      </x:c>
      <x:c r="I1399" s="32" t="n">
        <x:f>ROUND((H1399-G1399)*1440,0)</x:f>
        <x:v>3</x:v>
      </x:c>
      <x:c r="J1399" s="13" t="str">
        <x:v>Фингерборд — готовность</x:v>
      </x:c>
      <x:c r="K1399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399" s="13" t="str">
        <x:v>☐ Не начато</x:v>
      </x:c>
      <x:c r="M1399" s="13" t="str">
        <x:v>Обязательно</x:v>
      </x:c>
      <x:c r="N1399" s="13" t="str">
        <x:v>Подготовка</x:v>
      </x:c>
      <x:c r="O1399" s="13" t="str">
        <x:v>Плечо полностью спокойно; full crimp, карманы, одна рука и допвес запрещены.</x:v>
      </x:c>
      <x:c r="P1399" s="13" t="str">
        <x:v>milestone_05_efficiency_projecting/week_20_2027-01-18/04_THURSDAY.md</x:v>
      </x:c>
      <x:c r="Q1399" s="138" t="str">
        <x:v>Markdown</x:v>
      </x:c>
      <x:c r="R1399" s="20" t="str"/>
    </x:row>
    <x:row r="1400" ht="36" customHeight="1">
      <x:c r="A1400" s="19" t="str">
        <x:v>W20-20270121-1399</x:v>
      </x:c>
      <x:c r="B1400" s="13" t="n">
        <x:v>20</x:v>
      </x:c>
      <x:c r="C1400" s="13" t="str">
        <x:v>Этап 5 — Эффективность движения и работа над проектом</x:v>
      </x:c>
      <x:c r="D1400" s="138" t="str">
        <x:v>2027-01-21</x:v>
      </x:c>
      <x:c r="E1400" s="13" t="str">
        <x:v>Четверг</x:v>
      </x:c>
      <x:c r="F1400" s="13" t="str">
        <x:v>Тренировка B — пальцы/проект</x:v>
      </x:c>
      <x:c r="G1400" s="44" t="n">
        <x:v>0.019444444444444445</x:v>
      </x:c>
      <x:c r="H1400" s="44" t="n">
        <x:v>0.029861111111111113</x:v>
      </x:c>
      <x:c r="I1400" s="32" t="n">
        <x:f>ROUND((H1400-G1400)*1440,0)</x:f>
        <x:v>15</x:v>
      </x:c>
      <x:c r="J1400" s="13" t="str">
        <x:v>Фингерборд</x:v>
      </x:c>
      <x:c r="K1400" s="13" t="str">
        <x:v>Выполни протокол: 3 × 7 сек, ноги помогают, RPE 6, отдых 2:00. Запусти таймер. Каждый вис прекращай с указанным запасом; форма кисти не меняется.</x:v>
      </x:c>
      <x:c r="L1400" s="13" t="str">
        <x:v>☐ Не начато</x:v>
      </x:c>
      <x:c r="M1400" s="13" t="str">
        <x:v>Обязательно</x:v>
      </x:c>
      <x:c r="N1400" s="13" t="str">
        <x:v>3 × 7 сек, ноги помогают, RPE 6, отдых 2:00</x:v>
      </x:c>
      <x:c r="O1400" s="13" t="str">
        <x:v>Острая боль, дрожь формы, падение RPE-контроля или боль плеча = закончить блок.</x:v>
      </x:c>
      <x:c r="P1400" s="13" t="str">
        <x:v>milestone_05_efficiency_projecting/week_20_2027-01-18/04_THURSDAY.md</x:v>
      </x:c>
      <x:c r="Q1400" s="138" t="str">
        <x:v>Markdown</x:v>
      </x:c>
      <x:c r="R1400" s="20" t="str"/>
    </x:row>
    <x:row r="1401" ht="36" customHeight="1">
      <x:c r="A1401" s="19" t="str">
        <x:v>W20-20270121-1400</x:v>
      </x:c>
      <x:c r="B1401" s="13" t="n">
        <x:v>20</x:v>
      </x:c>
      <x:c r="C1401" s="13" t="str">
        <x:v>Этап 5 — Эффективность движения и работа над проектом</x:v>
      </x:c>
      <x:c r="D1401" s="138" t="str">
        <x:v>2027-01-21</x:v>
      </x:c>
      <x:c r="E1401" s="13" t="str">
        <x:v>Четверг</x:v>
      </x:c>
      <x:c r="F1401" s="13" t="str">
        <x:v>Тренировка B — пальцы/проект</x:v>
      </x:c>
      <x:c r="G1401" s="44" t="n">
        <x:v>0.029861111111111113</x:v>
      </x:c>
      <x:c r="H1401" s="44" t="n">
        <x:v>0.03194444444444444</x:v>
      </x:c>
      <x:c r="I1401" s="32" t="n">
        <x:f>ROUND((H1401-G1401)*1440,0)</x:f>
        <x:v>3</x:v>
      </x:c>
      <x:c r="J1401" s="13" t="str">
        <x:v>Фингерборд — запись</x:v>
      </x:c>
      <x:c r="K1401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401" s="13" t="str">
        <x:v>☐ Не начато</x:v>
      </x:c>
      <x:c r="M1401" s="13" t="str">
        <x:v>Обязательно</x:v>
      </x:c>
      <x:c r="N1401" s="13" t="str">
        <x:v>Без нагрузки</x:v>
      </x:c>
      <x:c r="O1401" s="13" t="str"/>
      <x:c r="P1401" s="13" t="str">
        <x:v>milestone_05_efficiency_projecting/week_20_2027-01-18/04_THURSDAY.md</x:v>
      </x:c>
      <x:c r="Q1401" s="138" t="str">
        <x:v>Markdown</x:v>
      </x:c>
      <x:c r="R1401" s="20" t="str"/>
    </x:row>
    <x:row r="1402" ht="36" customHeight="1">
      <x:c r="A1402" s="19" t="str">
        <x:v>W20-20270121-1401</x:v>
      </x:c>
      <x:c r="B1402" s="13" t="n">
        <x:v>20</x:v>
      </x:c>
      <x:c r="C1402" s="13" t="str">
        <x:v>Этап 5 — Эффективность движения и работа над проектом</x:v>
      </x:c>
      <x:c r="D1402" s="138" t="str">
        <x:v>2027-01-21</x:v>
      </x:c>
      <x:c r="E1402" s="13" t="str">
        <x:v>Четверг</x:v>
      </x:c>
      <x:c r="F1402" s="13" t="str">
        <x:v>Тренировка B — пальцы/проект</x:v>
      </x:c>
      <x:c r="G1402" s="44" t="n">
        <x:v>0.03194444444444444</x:v>
      </x:c>
      <x:c r="H1402" s="44" t="n">
        <x:v>0.035416666666666666</x:v>
      </x:c>
      <x:c r="I1402" s="32" t="n">
        <x:f>ROUND((H1402-G1402)*1440,0)</x:f>
        <x:v>5</x:v>
      </x:c>
      <x:c r="J1402" s="13" t="str">
        <x:v>Отдых</x:v>
      </x:c>
      <x:c r="K1402" s="13" t="str">
        <x:v>5 минут полного отдыха: ходьба, вода, без лазания и без тестового виса.</x:v>
      </x:c>
      <x:c r="L1402" s="13" t="str">
        <x:v>☐ Не начато</x:v>
      </x:c>
      <x:c r="M1402" s="13" t="str">
        <x:v>Обязательно</x:v>
      </x:c>
      <x:c r="N1402" s="13" t="str">
        <x:v>Восстановление</x:v>
      </x:c>
      <x:c r="O1402" s="13" t="str"/>
      <x:c r="P1402" s="13" t="str">
        <x:v>milestone_05_efficiency_projecting/week_20_2027-01-18/04_THURSDAY.md</x:v>
      </x:c>
      <x:c r="Q1402" s="138" t="str">
        <x:v>Markdown</x:v>
      </x:c>
      <x:c r="R1402" s="20" t="str"/>
    </x:row>
    <x:row r="1403" ht="36" customHeight="1">
      <x:c r="A1403" s="19" t="str">
        <x:v>W20-20270121-1402</x:v>
      </x:c>
      <x:c r="B1403" s="13" t="n">
        <x:v>20</x:v>
      </x:c>
      <x:c r="C1403" s="13" t="str">
        <x:v>Этап 5 — Эффективность движения и работа над проектом</x:v>
      </x:c>
      <x:c r="D1403" s="138" t="str">
        <x:v>2027-01-21</x:v>
      </x:c>
      <x:c r="E1403" s="13" t="str">
        <x:v>Четверг</x:v>
      </x:c>
      <x:c r="F1403" s="13" t="str">
        <x:v>Тренировка B — пальцы/проект</x:v>
      </x:c>
      <x:c r="G1403" s="44" t="n">
        <x:v>0.035416666666666666</x:v>
      </x:c>
      <x:c r="H1403" s="44" t="n">
        <x:v>0.03819444444444445</x:v>
      </x:c>
      <x:c r="I1403" s="32" t="n">
        <x:f>ROUND((H1403-G1403)*1440,0)</x:f>
        <x:v>4</x:v>
      </x:c>
      <x:c r="J1403" s="13" t="str">
        <x:v>Выбор проекта</x:v>
      </x:c>
      <x:c r="K1403" s="13" t="str">
        <x:v>Выбери трассу по критериям недели: Основная шестёрка, максимум 3–4 попытки с полным отдыхом; снять одну целиком.</x:v>
      </x:c>
      <x:c r="L1403" s="13" t="str">
        <x:v>☐ Не начато</x:v>
      </x:c>
      <x:c r="M1403" s="13" t="str">
        <x:v>Обязательно</x:v>
      </x:c>
      <x:c r="N1403" s="13" t="str">
        <x:v>Без нагрузки</x:v>
      </x:c>
      <x:c r="O1403" s="13" t="str">
        <x:v>Разгрузка. Фингерборд только лёгкий. Закончить до заметного распада техники.</x:v>
      </x:c>
      <x:c r="P1403" s="13" t="str">
        <x:v>milestone_05_efficiency_projecting/week_20_2027-01-18/04_THURSDAY.md</x:v>
      </x:c>
      <x:c r="Q1403" s="138" t="str">
        <x:v>Markdown</x:v>
      </x:c>
      <x:c r="R1403" s="20" t="str"/>
    </x:row>
    <x:row r="1404" ht="36" customHeight="1">
      <x:c r="A1404" s="19" t="str">
        <x:v>W20-20270121-1403</x:v>
      </x:c>
      <x:c r="B1404" s="13" t="n">
        <x:v>20</x:v>
      </x:c>
      <x:c r="C1404" s="13" t="str">
        <x:v>Этап 5 — Эффективность движения и работа над проектом</x:v>
      </x:c>
      <x:c r="D1404" s="138" t="str">
        <x:v>2027-01-21</x:v>
      </x:c>
      <x:c r="E1404" s="13" t="str">
        <x:v>Четверг</x:v>
      </x:c>
      <x:c r="F1404" s="13" t="str">
        <x:v>Тренировка B — пальцы/проект</x:v>
      </x:c>
      <x:c r="G1404" s="44" t="n">
        <x:v>0.03819444444444445</x:v>
      </x:c>
      <x:c r="H1404" s="44" t="n">
        <x:v>0.041666666666666664</x:v>
      </x:c>
      <x:c r="I1404" s="32" t="n">
        <x:f>ROUND((H1404-G1404)*1440,0)</x:f>
        <x:v>5</x:v>
      </x:c>
      <x:c r="J1404" s="13" t="str">
        <x:v>Проект — попытка 1</x:v>
      </x:c>
      <x:c r="K1404" s="13" t="str">
        <x:v>Сделай первую полную диагностическую попытку. После падения не повторяй сразу: назови точную причину.</x:v>
      </x:c>
      <x:c r="L1404" s="13" t="str">
        <x:v>☐ Не начато</x:v>
      </x:c>
      <x:c r="M1404" s="13" t="str">
        <x:v>Обязательно</x:v>
      </x:c>
      <x:c r="N1404" s="13" t="str">
        <x:v>RPE 7–8</x:v>
      </x:c>
      <x:c r="O1404" s="13" t="str">
        <x:v>Прекратить движение при боли, а не после падения.</x:v>
      </x:c>
      <x:c r="P1404" s="13" t="str">
        <x:v>milestone_05_efficiency_projecting/week_20_2027-01-18/04_THURSDAY.md</x:v>
      </x:c>
      <x:c r="Q1404" s="138" t="str">
        <x:v>Markdown</x:v>
      </x:c>
      <x:c r="R1404" s="20" t="str"/>
    </x:row>
    <x:row r="1405" ht="36" customHeight="1">
      <x:c r="A1405" s="19" t="str">
        <x:v>W20-20270121-1404</x:v>
      </x:c>
      <x:c r="B1405" s="13" t="n">
        <x:v>20</x:v>
      </x:c>
      <x:c r="C1405" s="13" t="str">
        <x:v>Этап 5 — Эффективность движения и работа над проектом</x:v>
      </x:c>
      <x:c r="D1405" s="138" t="str">
        <x:v>2027-01-21</x:v>
      </x:c>
      <x:c r="E1405" s="13" t="str">
        <x:v>Четверг</x:v>
      </x:c>
      <x:c r="F1405" s="13" t="str">
        <x:v>Тренировка B — пальцы/проект</x:v>
      </x:c>
      <x:c r="G1405" s="44" t="n">
        <x:v>0.041666666666666664</x:v>
      </x:c>
      <x:c r="H1405" s="44" t="n">
        <x:v>0.04513888888888889</x:v>
      </x:c>
      <x:c r="I1405" s="32" t="n">
        <x:f>ROUND((H1405-G1405)*1440,0)</x:f>
        <x:v>5</x:v>
      </x:c>
      <x:c r="J1405" s="13" t="str">
        <x:v>Отдых / гипотеза</x:v>
      </x:c>
      <x:c r="K1405" s="13" t="str">
        <x:v>Отдых 4–5 минут. Запиши одну гипотезу: стопа, положение таза, хват или темп.</x:v>
      </x:c>
      <x:c r="L1405" s="13" t="str">
        <x:v>☐ Не начато</x:v>
      </x:c>
      <x:c r="M1405" s="13" t="str">
        <x:v>Обязательно</x:v>
      </x:c>
      <x:c r="N1405" s="13" t="str">
        <x:v>Восстановление</x:v>
      </x:c>
      <x:c r="O1405" s="13" t="str"/>
      <x:c r="P1405" s="13" t="str">
        <x:v>milestone_05_efficiency_projecting/week_20_2027-01-18/04_THURSDAY.md</x:v>
      </x:c>
      <x:c r="Q1405" s="138" t="str">
        <x:v>Markdown</x:v>
      </x:c>
      <x:c r="R1405" s="20" t="str"/>
    </x:row>
    <x:row r="1406" ht="36" customHeight="1">
      <x:c r="A1406" s="19" t="str">
        <x:v>W20-20270121-1405</x:v>
      </x:c>
      <x:c r="B1406" s="13" t="n">
        <x:v>20</x:v>
      </x:c>
      <x:c r="C1406" s="13" t="str">
        <x:v>Этап 5 — Эффективность движения и работа над проектом</x:v>
      </x:c>
      <x:c r="D1406" s="138" t="str">
        <x:v>2027-01-21</x:v>
      </x:c>
      <x:c r="E1406" s="13" t="str">
        <x:v>Четверг</x:v>
      </x:c>
      <x:c r="F1406" s="13" t="str">
        <x:v>Тренировка B — пальцы/проект</x:v>
      </x:c>
      <x:c r="G1406" s="44" t="n">
        <x:v>0.04513888888888889</x:v>
      </x:c>
      <x:c r="H1406" s="44" t="n">
        <x:v>0.049305555555555554</x:v>
      </x:c>
      <x:c r="I1406" s="32" t="n">
        <x:f>ROUND((H1406-G1406)*1440,0)</x:f>
        <x:v>6</x:v>
      </x:c>
      <x:c r="J1406" s="13" t="str">
        <x:v>Проект — попытки 2–3</x:v>
      </x:c>
      <x:c r="K1406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406" s="13" t="str">
        <x:v>☐ Не начато</x:v>
      </x:c>
      <x:c r="M1406" s="13" t="str">
        <x:v>Обязательно</x:v>
      </x:c>
      <x:c r="N1406" s="13" t="str">
        <x:v>RPE 7–8, без отказа</x:v>
      </x:c>
      <x:c r="O1406" s="13" t="str">
        <x:v>Не смотреть beta заранее: сначала собственная гипотеза.</x:v>
      </x:c>
      <x:c r="P1406" s="13" t="str">
        <x:v>milestone_05_efficiency_projecting/week_20_2027-01-18/04_THURSDAY.md</x:v>
      </x:c>
      <x:c r="Q1406" s="138" t="str">
        <x:v>Markdown</x:v>
      </x:c>
      <x:c r="R1406" s="20" t="str"/>
    </x:row>
    <x:row r="1407" ht="36" customHeight="1">
      <x:c r="A1407" s="19" t="str">
        <x:v>W20-20270121-1406</x:v>
      </x:c>
      <x:c r="B1407" s="13" t="n">
        <x:v>20</x:v>
      </x:c>
      <x:c r="C1407" s="13" t="str">
        <x:v>Этап 5 — Эффективность движения и работа над проектом</x:v>
      </x:c>
      <x:c r="D1407" s="138" t="str">
        <x:v>2027-01-21</x:v>
      </x:c>
      <x:c r="E1407" s="13" t="str">
        <x:v>Четверг</x:v>
      </x:c>
      <x:c r="F1407" s="13" t="str">
        <x:v>Тренировка B — пальцы/проект</x:v>
      </x:c>
      <x:c r="G1407" s="44" t="n">
        <x:v>0.049305555555555554</x:v>
      </x:c>
      <x:c r="H1407" s="44" t="n">
        <x:v>0.05277777777777778</x:v>
      </x:c>
      <x:c r="I1407" s="32" t="n">
        <x:f>ROUND((H1407-G1407)*1440,0)</x:f>
        <x:v>5</x:v>
      </x:c>
      <x:c r="J1407" s="13" t="str">
        <x:v>Проект — заключительная попытка</x:v>
      </x:c>
      <x:c r="K1407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407" s="13" t="str">
        <x:v>☐ Не начато</x:v>
      </x:c>
      <x:c r="M1407" s="13" t="str">
        <x:v>Обязательно</x:v>
      </x:c>
      <x:c r="N1407" s="13" t="str">
        <x:v>RPE 8, с запасом</x:v>
      </x:c>
      <x:c r="O1407" s="13" t="str">
        <x:v>Разгрузка. Фингерборд только лёгкий. Закончить до заметного распада техники.</x:v>
      </x:c>
      <x:c r="P1407" s="13" t="str">
        <x:v>milestone_05_efficiency_projecting/week_20_2027-01-18/04_THURSDAY.md</x:v>
      </x:c>
      <x:c r="Q1407" s="138" t="str">
        <x:v>Markdown</x:v>
      </x:c>
      <x:c r="R1407" s="20" t="str"/>
    </x:row>
    <x:row r="1408" ht="36" customHeight="1">
      <x:c r="A1408" s="19" t="str">
        <x:v>W20-20270121-1407</x:v>
      </x:c>
      <x:c r="B1408" s="13" t="n">
        <x:v>20</x:v>
      </x:c>
      <x:c r="C1408" s="13" t="str">
        <x:v>Этап 5 — Эффективность движения и работа над проектом</x:v>
      </x:c>
      <x:c r="D1408" s="138" t="str">
        <x:v>2027-01-21</x:v>
      </x:c>
      <x:c r="E1408" s="13" t="str">
        <x:v>Четверг</x:v>
      </x:c>
      <x:c r="F1408" s="13" t="str">
        <x:v>Тренировка B — пальцы/проект</x:v>
      </x:c>
      <x:c r="G1408" s="44" t="n">
        <x:v>0.05277777777777778</x:v>
      </x:c>
      <x:c r="H1408" s="44" t="n">
        <x:v>0.05763888888888889</x:v>
      </x:c>
      <x:c r="I1408" s="32" t="n">
        <x:f>ROUND((H1408-G1408)*1440,0)</x:f>
        <x:v>7</x:v>
      </x:c>
      <x:c r="J1408" s="13" t="str">
        <x:v>Вторичная трасса</x:v>
      </x:c>
      <x:c r="K1408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408" s="13" t="str">
        <x:v>☐ Не начато</x:v>
      </x:c>
      <x:c r="M1408" s="13" t="str">
        <x:v>Обязательно</x:v>
      </x:c>
      <x:c r="N1408" s="13" t="str">
        <x:v>RPE 5–7</x:v>
      </x:c>
      <x:c r="O1408" s="13" t="str">
        <x:v>Пропустить, если хват уже просел.</x:v>
      </x:c>
      <x:c r="P1408" s="13" t="str">
        <x:v>milestone_05_efficiency_projecting/week_20_2027-01-18/04_THURSDAY.md</x:v>
      </x:c>
      <x:c r="Q1408" s="138" t="str">
        <x:v>Markdown</x:v>
      </x:c>
      <x:c r="R1408" s="20" t="str"/>
    </x:row>
    <x:row r="1409" ht="36" customHeight="1">
      <x:c r="A1409" s="19" t="str">
        <x:v>W20-20270121-1408</x:v>
      </x:c>
      <x:c r="B1409" s="13" t="n">
        <x:v>20</x:v>
      </x:c>
      <x:c r="C1409" s="13" t="str">
        <x:v>Этап 5 — Эффективность движения и работа над проектом</x:v>
      </x:c>
      <x:c r="D1409" s="138" t="str">
        <x:v>2027-01-21</x:v>
      </x:c>
      <x:c r="E1409" s="13" t="str">
        <x:v>Четверг</x:v>
      </x:c>
      <x:c r="F1409" s="13" t="str">
        <x:v>Тренировка B — пальцы/проект</x:v>
      </x:c>
      <x:c r="G1409" s="44" t="n">
        <x:v>0.05763888888888889</x:v>
      </x:c>
      <x:c r="H1409" s="44" t="n">
        <x:v>0.06041666666666667</x:v>
      </x:c>
      <x:c r="I1409" s="32" t="n">
        <x:f>ROUND((H1409-G1409)*1440,0)</x:f>
        <x:v>4</x:v>
      </x:c>
      <x:c r="J1409" s="13" t="str">
        <x:v>Завершение</x:v>
      </x:c>
      <x:c r="K1409" s="13" t="str">
        <x:v>Очень лёгкий спуск/ходьба, вода, никаких финишных висов.</x:v>
      </x:c>
      <x:c r="L1409" s="13" t="str">
        <x:v>☐ Не начато</x:v>
      </x:c>
      <x:c r="M1409" s="13" t="str">
        <x:v>Обязательно</x:v>
      </x:c>
      <x:c r="N1409" s="13" t="str">
        <x:v>RPE 1–2</x:v>
      </x:c>
      <x:c r="O1409" s="13" t="str"/>
      <x:c r="P1409" s="13" t="str">
        <x:v>milestone_05_efficiency_projecting/week_20_2027-01-18/04_THURSDAY.md</x:v>
      </x:c>
      <x:c r="Q1409" s="138" t="str">
        <x:v>Markdown</x:v>
      </x:c>
      <x:c r="R1409" s="20" t="str"/>
    </x:row>
    <x:row r="1410" ht="36" customHeight="1">
      <x:c r="A1410" s="19" t="str">
        <x:v>W20-20270121-1409</x:v>
      </x:c>
      <x:c r="B1410" s="13" t="n">
        <x:v>20</x:v>
      </x:c>
      <x:c r="C1410" s="13" t="str">
        <x:v>Этап 5 — Эффективность движения и работа над проектом</x:v>
      </x:c>
      <x:c r="D1410" s="138" t="str">
        <x:v>2027-01-21</x:v>
      </x:c>
      <x:c r="E1410" s="13" t="str">
        <x:v>Четверг</x:v>
      </x:c>
      <x:c r="F1410" s="13" t="str">
        <x:v>Тренировка B — пальцы/проект</x:v>
      </x:c>
      <x:c r="G1410" s="44" t="n">
        <x:v>0.06041666666666667</x:v>
      </x:c>
      <x:c r="H1410" s="44" t="n">
        <x:v>0.0625</x:v>
      </x:c>
      <x:c r="I1410" s="32" t="n">
        <x:f>ROUND((H1410-G1410)*1440,0)</x:f>
        <x:v>3</x:v>
      </x:c>
      <x:c r="J1410" s="13" t="str">
        <x:v>Журнал</x:v>
      </x:c>
      <x:c r="K1410" s="13" t="str">
        <x:v>Запиши попытки, лучшую связку, одну правку и benchmark: Сравнить длину лучшей связки и количество лишних перестановок ног с неделей 12.</x:v>
      </x:c>
      <x:c r="L1410" s="13" t="str">
        <x:v>☐ Не начато</x:v>
      </x:c>
      <x:c r="M1410" s="13" t="str">
        <x:v>Обязательно</x:v>
      </x:c>
      <x:c r="N1410" s="13" t="str">
        <x:v>Без нагрузки</x:v>
      </x:c>
      <x:c r="O1410" s="13" t="str"/>
      <x:c r="P1410" s="13" t="str">
        <x:v>milestone_05_efficiency_projecting/week_20_2027-01-18/04_THURSDAY.md</x:v>
      </x:c>
      <x:c r="Q1410" s="138" t="str">
        <x:v>Markdown</x:v>
      </x:c>
      <x:c r="R1410" s="20" t="str"/>
    </x:row>
    <x:row r="1411" ht="36" customHeight="1">
      <x:c r="A1411" s="19" t="str">
        <x:v>W20-20270122-1410</x:v>
      </x:c>
      <x:c r="B1411" s="13" t="n">
        <x:v>20</x:v>
      </x:c>
      <x:c r="C1411" s="13" t="str">
        <x:v>Этап 5 — Эффективность движения и работа над проектом</x:v>
      </x:c>
      <x:c r="D1411" s="138" t="str">
        <x:v>2027-01-22</x:v>
      </x:c>
      <x:c r="E1411" s="13" t="str">
        <x:v>Пятница</x:v>
      </x:c>
      <x:c r="F1411" s="13" t="str">
        <x:v>Дом / теория</x:v>
      </x:c>
      <x:c r="G1411" s="44" t="n">
        <x:v>0</x:v>
      </x:c>
      <x:c r="H1411" s="44" t="n">
        <x:v>0.0020833333333333333</x:v>
      </x:c>
      <x:c r="I1411" s="32" t="n">
        <x:f>ROUND((H1411-G1411)*1440,0)</x:f>
        <x:v>3</x:v>
      </x:c>
      <x:c r="J1411" s="13" t="str">
        <x:v>Самопроверка</x:v>
      </x:c>
      <x:c r="K1411" s="13" t="str">
        <x:v>Оцени утреннюю реакцию после четверга: пальцы/плечо/колено 0–10. Запиши, восстановилась ли обычная сила кисти.</x:v>
      </x:c>
      <x:c r="L1411" s="13" t="str">
        <x:v>☐ Не начато</x:v>
      </x:c>
      <x:c r="M1411" s="13" t="str">
        <x:v>Обязательно</x:v>
      </x:c>
      <x:c r="N1411" s="13" t="str">
        <x:v>Без нагрузки</x:v>
      </x:c>
      <x:c r="O1411" s="13" t="str">
        <x:v>Острая локальная боль пальца или усилившаяся боль плеча = воскресенье только восстановительное.</x:v>
      </x:c>
      <x:c r="P1411" s="13" t="str">
        <x:v>milestone_05_efficiency_projecting/week_20_2027-01-18/05_FRIDAY.md</x:v>
      </x:c>
      <x:c r="Q1411" s="138" t="str">
        <x:v>Markdown</x:v>
      </x:c>
      <x:c r="R1411" s="20" t="str"/>
    </x:row>
    <x:row r="1412" ht="36" customHeight="1">
      <x:c r="A1412" s="19" t="str">
        <x:v>W20-20270122-1411</x:v>
      </x:c>
      <x:c r="B1412" s="13" t="n">
        <x:v>20</x:v>
      </x:c>
      <x:c r="C1412" s="13" t="str">
        <x:v>Этап 5 — Эффективность движения и работа над проектом</x:v>
      </x:c>
      <x:c r="D1412" s="138" t="str">
        <x:v>2027-01-22</x:v>
      </x:c>
      <x:c r="E1412" s="13" t="str">
        <x:v>Пятница</x:v>
      </x:c>
      <x:c r="F1412" s="13" t="str">
        <x:v>Дом / теория</x:v>
      </x:c>
      <x:c r="G1412" s="44" t="n">
        <x:v>0.0020833333333333333</x:v>
      </x:c>
      <x:c r="H1412" s="44" t="n">
        <x:v>0.0125</x:v>
      </x:c>
      <x:c r="I1412" s="32" t="n">
        <x:f>ROUND((H1412-G1412)*1440,0)</x:f>
        <x:v>15</x:v>
      </x:c>
      <x:c r="J1412" s="13" t="str">
        <x:v>Теория</x:v>
      </x:c>
      <x:c r="K1412" s="13" t="str">
        <x:v>Пересмотри ключевой фрагмент ресурса недели: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412" s="13" t="str">
        <x:v>☐ Не начато</x:v>
      </x:c>
      <x:c r="M1412" s="13" t="str">
        <x:v>Обязательно</x:v>
      </x:c>
      <x:c r="N1412" s="13" t="str">
        <x:v>Без нагрузки</x:v>
      </x:c>
      <x:c r="O1412" s="13" t="str"/>
      <x:c r="P1412" s="13" t="str">
        <x:v>milestone_05_efficiency_projecting/week_20_2027-01-18/05_FRIDAY.md</x:v>
      </x:c>
      <x:c r="Q1412" s="138" t="str">
        <x:v>Markdown</x:v>
      </x:c>
      <x:c r="R1412" s="20" t="str"/>
    </x:row>
    <x:row r="1413" ht="36" customHeight="1">
      <x:c r="A1413" s="19" t="str">
        <x:v>W20-20270122-1412</x:v>
      </x:c>
      <x:c r="B1413" s="13" t="n">
        <x:v>20</x:v>
      </x:c>
      <x:c r="C1413" s="13" t="str">
        <x:v>Этап 5 — Эффективность движения и работа над проектом</x:v>
      </x:c>
      <x:c r="D1413" s="138" t="str">
        <x:v>2027-01-22</x:v>
      </x:c>
      <x:c r="E1413" s="13" t="str">
        <x:v>Пятница</x:v>
      </x:c>
      <x:c r="F1413" s="13" t="str">
        <x:v>Дом / теория</x:v>
      </x:c>
      <x:c r="G1413" s="44" t="n">
        <x:v>0.0125</x:v>
      </x:c>
      <x:c r="H1413" s="44" t="n">
        <x:v>0.016666666666666666</x:v>
      </x:c>
      <x:c r="I1413" s="32" t="n">
        <x:f>ROUND((H1413-G1413)*1440,0)</x:f>
        <x:v>6</x:v>
      </x:c>
      <x:c r="J1413" s="13" t="str">
        <x:v>Ментальная репетиция</x:v>
      </x:c>
      <x:c r="K1413" s="13" t="str">
        <x:v>Закрой глаза и 3 раза мысленно пройди одну рабочую трассу: руки → ноги → положение таза → дыхание. Визуализируй cue «Полная попытка имеет смысл только после того, как ключевые части стали воспроизводимыми.».</x:v>
      </x:c>
      <x:c r="L1413" s="13" t="str">
        <x:v>☐ Не начато</x:v>
      </x:c>
      <x:c r="M1413" s="13" t="str">
        <x:v>Обязательно</x:v>
      </x:c>
      <x:c r="N1413" s="13" t="str">
        <x:v>Без нагрузки</x:v>
      </x:c>
      <x:c r="O1413" s="13" t="str"/>
      <x:c r="P1413" s="13" t="str">
        <x:v>milestone_05_efficiency_projecting/week_20_2027-01-18/05_FRIDAY.md</x:v>
      </x:c>
      <x:c r="Q1413" s="138" t="str">
        <x:v>Markdown</x:v>
      </x:c>
      <x:c r="R1413" s="20" t="str"/>
    </x:row>
    <x:row r="1414" ht="36" customHeight="1">
      <x:c r="A1414" s="19" t="str">
        <x:v>W20-20270122-1413</x:v>
      </x:c>
      <x:c r="B1414" s="13" t="n">
        <x:v>20</x:v>
      </x:c>
      <x:c r="C1414" s="13" t="str">
        <x:v>Этап 5 — Эффективность движения и работа над проектом</x:v>
      </x:c>
      <x:c r="D1414" s="138" t="str">
        <x:v>2027-01-22</x:v>
      </x:c>
      <x:c r="E1414" s="13" t="str">
        <x:v>Пятница</x:v>
      </x:c>
      <x:c r="F1414" s="13" t="str">
        <x:v>Дом / теория</x:v>
      </x:c>
      <x:c r="G1414" s="44" t="n">
        <x:v>0.016666666666666666</x:v>
      </x:c>
      <x:c r="H1414" s="44" t="n">
        <x:v>0.025</x:v>
      </x:c>
      <x:c r="I1414" s="32" t="n">
        <x:f>ROUND((H1414-G1414)*1440,0)</x:f>
        <x:v>12</x:v>
      </x:c>
      <x:c r="J1414" s="13" t="str">
        <x:v>Домашняя мобильность</x:v>
      </x:c>
      <x:c r="K1414" s="13" t="str">
        <x:v>Выполни H3 «Мобильность таза и контроль корпуса» — 12 минут.</x:v>
      </x:c>
      <x:c r="L1414" s="13" t="str">
        <x:v>☐ Не начато</x:v>
      </x:c>
      <x:c r="M1414" s="13" t="str">
        <x:v>Обязательно</x:v>
      </x:c>
      <x:c r="N1414" s="13" t="str">
        <x:v>RPE 2–3</x:v>
      </x:c>
      <x:c r="O1414" s="13" t="str">
        <x:v>Никаких скручиваний через боль. Плечом не отталкивайся от стены; касание только для равновесия.</x:v>
      </x:c>
      <x:c r="P1414" s="13" t="str">
        <x:v>milestone_05_efficiency_projecting/week_20_2027-01-18/05_FRIDAY.md</x:v>
      </x:c>
      <x:c r="Q1414" s="138" t="str">
        <x:v>Markdown</x:v>
      </x:c>
      <x:c r="R1414" s="20" t="str"/>
    </x:row>
    <x:row r="1415" ht="36" customHeight="1">
      <x:c r="A1415" s="19" t="str">
        <x:v>W20-20270122-1414</x:v>
      </x:c>
      <x:c r="B1415" s="13" t="n">
        <x:v>20</x:v>
      </x:c>
      <x:c r="C1415" s="13" t="str">
        <x:v>Этап 5 — Эффективность движения и работа над проектом</x:v>
      </x:c>
      <x:c r="D1415" s="138" t="str">
        <x:v>2027-01-22</x:v>
      </x:c>
      <x:c r="E1415" s="13" t="str">
        <x:v>Пятница</x:v>
      </x:c>
      <x:c r="F1415" s="13" t="str">
        <x:v>Дом / теория</x:v>
      </x:c>
      <x:c r="G1415" s="44" t="n">
        <x:v>0.025</x:v>
      </x:c>
      <x:c r="H1415" s="44" t="n">
        <x:v>0.03888888888888889</x:v>
      </x:c>
      <x:c r="I1415" s="32" t="n">
        <x:f>ROUND((H1415-G1415)*1440,0)</x:f>
        <x:v>20</x:v>
      </x:c>
      <x:c r="J1415" s="13" t="str">
        <x:v>Физиотерапия</x:v>
      </x:c>
      <x:c r="K1415" s="13" t="str">
        <x:v>Выполни свой назначенный комплекс, если пятница входит в расписание физиотерапевта.</x:v>
      </x:c>
      <x:c r="L1415" s="13" t="str">
        <x:v>☐ Не начато</x:v>
      </x:c>
      <x:c r="M1415" s="13" t="str">
        <x:v>По назначению</x:v>
      </x:c>
      <x:c r="N1415" s="13" t="str">
        <x:v>По назначению</x:v>
      </x:c>
      <x:c r="O1415" s="13" t="str">
        <x:v>Не добавляй упражнения из интернета поверх назначений.</x:v>
      </x:c>
      <x:c r="P1415" s="13" t="str">
        <x:v>milestone_05_efficiency_projecting/week_20_2027-01-18/05_FRIDAY.md</x:v>
      </x:c>
      <x:c r="Q1415" s="138" t="str">
        <x:v>Markdown</x:v>
      </x:c>
      <x:c r="R1415" s="20" t="str"/>
    </x:row>
    <x:row r="1416" ht="36" customHeight="1">
      <x:c r="A1416" s="19" t="str">
        <x:v>W20-20270122-1415</x:v>
      </x:c>
      <x:c r="B1416" s="13" t="n">
        <x:v>20</x:v>
      </x:c>
      <x:c r="C1416" s="13" t="str">
        <x:v>Этап 5 — Эффективность движения и работа над проектом</x:v>
      </x:c>
      <x:c r="D1416" s="138" t="str">
        <x:v>2027-01-22</x:v>
      </x:c>
      <x:c r="E1416" s="13" t="str">
        <x:v>Пятница</x:v>
      </x:c>
      <x:c r="F1416" s="13" t="str">
        <x:v>Дом / теория</x:v>
      </x:c>
      <x:c r="G1416" s="44" t="n">
        <x:v>0.03888888888888889</x:v>
      </x:c>
      <x:c r="H1416" s="44" t="n">
        <x:v>0.041666666666666664</x:v>
      </x:c>
      <x:c r="I1416" s="32" t="n">
        <x:f>ROUND((H1416-G1416)*1440,0)</x:f>
        <x:v>4</x:v>
      </x:c>
      <x:c r="J1416" s="13" t="str">
        <x:v>Журнал</x:v>
      </x:c>
      <x:c r="K1416" s="13" t="str">
        <x:v>Запиши одну вещь, которая сработала на этой неделе, и одну, которую повторишь в воскресенье на лёгкой трассе.</x:v>
      </x:c>
      <x:c r="L1416" s="13" t="str">
        <x:v>☐ Не начато</x:v>
      </x:c>
      <x:c r="M1416" s="13" t="str">
        <x:v>Обязательно</x:v>
      </x:c>
      <x:c r="N1416" s="13" t="str">
        <x:v>Без нагрузки</x:v>
      </x:c>
      <x:c r="O1416" s="13" t="str"/>
      <x:c r="P1416" s="13" t="str">
        <x:v>milestone_05_efficiency_projecting/week_20_2027-01-18/05_FRIDAY.md</x:v>
      </x:c>
      <x:c r="Q1416" s="138" t="str">
        <x:v>Markdown</x:v>
      </x:c>
      <x:c r="R1416" s="20" t="str"/>
    </x:row>
    <x:row r="1417" ht="36" customHeight="1">
      <x:c r="A1417" s="19" t="str">
        <x:v>W20-20270122-1416</x:v>
      </x:c>
      <x:c r="B1417" s="13" t="n">
        <x:v>20</x:v>
      </x:c>
      <x:c r="C1417" s="13" t="str">
        <x:v>Этап 5 — Эффективность движения и работа над проектом</x:v>
      </x:c>
      <x:c r="D1417" s="138" t="str">
        <x:v>2027-01-22</x:v>
      </x:c>
      <x:c r="E1417" s="13" t="str">
        <x:v>Пятница</x:v>
      </x:c>
      <x:c r="F1417" s="13" t="str">
        <x:v>Дом / теория</x:v>
      </x:c>
      <x:c r="G1417" s="44" t="n">
        <x:v>0.041666666666666664</x:v>
      </x:c>
      <x:c r="H1417" s="44" t="n">
        <x:v>0.04375</x:v>
      </x:c>
      <x:c r="I1417" s="32" t="n">
        <x:f>ROUND((H1417-G1417)*1440,0)</x:f>
        <x:v>3</x:v>
      </x:c>
      <x:c r="J1417" s="13" t="str">
        <x:v>Запрет лишней нагрузки</x:v>
      </x:c>
      <x:c r="K1417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417" s="13" t="str">
        <x:v>☐ Не начато</x:v>
      </x:c>
      <x:c r="M1417" s="13" t="str">
        <x:v>Обязательно</x:v>
      </x:c>
      <x:c r="N1417" s="13" t="str">
        <x:v>Восстановление</x:v>
      </x:c>
      <x:c r="O1417" s="13" t="str">
        <x:v>Общая пальцевая нагрузка уже получена в четверг.</x:v>
      </x:c>
      <x:c r="P1417" s="13" t="str">
        <x:v>milestone_05_efficiency_projecting/week_20_2027-01-18/05_FRIDAY.md</x:v>
      </x:c>
      <x:c r="Q1417" s="138" t="str">
        <x:v>Markdown</x:v>
      </x:c>
      <x:c r="R1417" s="20" t="str"/>
    </x:row>
    <x:row r="1418" ht="36" customHeight="1">
      <x:c r="A1418" s="19" t="str">
        <x:v>W20-20270123-1417</x:v>
      </x:c>
      <x:c r="B1418" s="13" t="n">
        <x:v>20</x:v>
      </x:c>
      <x:c r="C1418" s="13" t="str">
        <x:v>Этап 5 — Эффективность движения и работа над проектом</x:v>
      </x:c>
      <x:c r="D1418" s="138" t="str">
        <x:v>2027-01-23</x:v>
      </x:c>
      <x:c r="E1418" s="13" t="str">
        <x:v>Суббота</x:v>
      </x:c>
      <x:c r="F1418" s="13" t="str">
        <x:v>Отдых / подготовка</x:v>
      </x:c>
      <x:c r="G1418" s="44" t="n">
        <x:v>0</x:v>
      </x:c>
      <x:c r="H1418" s="44" t="n">
        <x:v>0.003472222222222222</x:v>
      </x:c>
      <x:c r="I1418" s="32" t="n">
        <x:f>ROUND((H1418-G1418)*1440,0)</x:f>
        <x:v>5</x:v>
      </x:c>
      <x:c r="J1418" s="13" t="str">
        <x:v>Самопроверка</x:v>
      </x:c>
      <x:c r="K1418" s="13" t="str">
        <x:v>Проверь кожу пальцев, ногти, плечо и колено. Никаких тестовых висов.</x:v>
      </x:c>
      <x:c r="L1418" s="13" t="str">
        <x:v>☐ Не начато</x:v>
      </x:c>
      <x:c r="M1418" s="13" t="str">
        <x:v>Обязательно</x:v>
      </x:c>
      <x:c r="N1418" s="13" t="str">
        <x:v>Восстановление</x:v>
      </x:c>
      <x:c r="O1418" s="13" t="str"/>
      <x:c r="P1418" s="13" t="str">
        <x:v>milestone_05_efficiency_projecting/week_20_2027-01-18/06_SATURDAY.md</x:v>
      </x:c>
      <x:c r="Q1418" s="138" t="str">
        <x:v>Markdown</x:v>
      </x:c>
      <x:c r="R1418" s="20" t="str"/>
    </x:row>
    <x:row r="1419" ht="36" customHeight="1">
      <x:c r="A1419" s="19" t="str">
        <x:v>W20-20270123-1418</x:v>
      </x:c>
      <x:c r="B1419" s="13" t="n">
        <x:v>20</x:v>
      </x:c>
      <x:c r="C1419" s="13" t="str">
        <x:v>Этап 5 — Эффективность движения и работа над проектом</x:v>
      </x:c>
      <x:c r="D1419" s="138" t="str">
        <x:v>2027-01-23</x:v>
      </x:c>
      <x:c r="E1419" s="13" t="str">
        <x:v>Суббота</x:v>
      </x:c>
      <x:c r="F1419" s="13" t="str">
        <x:v>Отдых / подготовка</x:v>
      </x:c>
      <x:c r="G1419" s="44" t="n">
        <x:v>0.003472222222222222</x:v>
      </x:c>
      <x:c r="H1419" s="44" t="n">
        <x:v>0.010416666666666666</x:v>
      </x:c>
      <x:c r="I1419" s="32" t="n">
        <x:f>ROUND((H1419-G1419)*1440,0)</x:f>
        <x:v>10</x:v>
      </x:c>
      <x:c r="J1419" s="13" t="str">
        <x:v>Активное восстановление</x:v>
      </x:c>
      <x:c r="K1419" s="13" t="str">
        <x:v>10 минут лёгкой прогулки или бытовой активности. Цель — восстановление, не тренировка.</x:v>
      </x:c>
      <x:c r="L1419" s="13" t="str">
        <x:v>☐ Не начато</x:v>
      </x:c>
      <x:c r="M1419" s="13" t="str">
        <x:v>Обязательно</x:v>
      </x:c>
      <x:c r="N1419" s="13" t="str">
        <x:v>RPE 1–2</x:v>
      </x:c>
      <x:c r="O1419" s="13" t="str"/>
      <x:c r="P1419" s="13" t="str">
        <x:v>milestone_05_efficiency_projecting/week_20_2027-01-18/06_SATURDAY.md</x:v>
      </x:c>
      <x:c r="Q1419" s="138" t="str">
        <x:v>Markdown</x:v>
      </x:c>
      <x:c r="R1419" s="20" t="str"/>
    </x:row>
    <x:row r="1420" ht="36" customHeight="1">
      <x:c r="A1420" s="19" t="str">
        <x:v>W20-20270123-1419</x:v>
      </x:c>
      <x:c r="B1420" s="13" t="n">
        <x:v>20</x:v>
      </x:c>
      <x:c r="C1420" s="13" t="str">
        <x:v>Этап 5 — Эффективность движения и работа над проектом</x:v>
      </x:c>
      <x:c r="D1420" s="138" t="str">
        <x:v>2027-01-23</x:v>
      </x:c>
      <x:c r="E1420" s="13" t="str">
        <x:v>Суббота</x:v>
      </x:c>
      <x:c r="F1420" s="13" t="str">
        <x:v>Отдых / подготовка</x:v>
      </x:c>
      <x:c r="G1420" s="44" t="n">
        <x:v>0.010416666666666666</x:v>
      </x:c>
      <x:c r="H1420" s="44" t="n">
        <x:v>0.013888888888888888</x:v>
      </x:c>
      <x:c r="I1420" s="32" t="n">
        <x:f>ROUND((H1420-G1420)*1440,0)</x:f>
        <x:v>5</x:v>
      </x:c>
      <x:c r="J1420" s="13" t="str">
        <x:v>Уход за кожей</x:v>
      </x:c>
      <x:c r="K1420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420" s="13" t="str">
        <x:v>☐ Не начато</x:v>
      </x:c>
      <x:c r="M1420" s="13" t="str">
        <x:v>Опционально</x:v>
      </x:c>
      <x:c r="N1420" s="13" t="str">
        <x:v>Без нагрузки</x:v>
      </x:c>
      <x:c r="O1420" s="13" t="str">
        <x:v>Повреждённую/болезненную кожу не шлифовать.</x:v>
      </x:c>
      <x:c r="P1420" s="13" t="str">
        <x:v>milestone_05_efficiency_projecting/week_20_2027-01-18/06_SATURDAY.md</x:v>
      </x:c>
      <x:c r="Q1420" s="138" t="str">
        <x:v>Markdown</x:v>
      </x:c>
      <x:c r="R1420" s="20" t="str"/>
    </x:row>
    <x:row r="1421" ht="36" customHeight="1">
      <x:c r="A1421" s="19" t="str">
        <x:v>W20-20270123-1420</x:v>
      </x:c>
      <x:c r="B1421" s="13" t="n">
        <x:v>20</x:v>
      </x:c>
      <x:c r="C1421" s="13" t="str">
        <x:v>Этап 5 — Эффективность движения и работа над проектом</x:v>
      </x:c>
      <x:c r="D1421" s="138" t="str">
        <x:v>2027-01-23</x:v>
      </x:c>
      <x:c r="E1421" s="13" t="str">
        <x:v>Суббота</x:v>
      </x:c>
      <x:c r="F1421" s="13" t="str">
        <x:v>Отдых / подготовка</x:v>
      </x:c>
      <x:c r="G1421" s="44" t="n">
        <x:v>0.013888888888888888</x:v>
      </x:c>
      <x:c r="H1421" s="44" t="n">
        <x:v>0.016666666666666666</x:v>
      </x:c>
      <x:c r="I1421" s="32" t="n">
        <x:f>ROUND((H1421-G1421)*1440,0)</x:f>
        <x:v>4</x:v>
      </x:c>
      <x:c r="J1421" s="13" t="str">
        <x:v>Подготовка</x:v>
      </x:c>
      <x:c r="K1421" s="13" t="str">
        <x:v>Заряди телефон, освободи память для одного видео, положи щётку и магнезию.</x:v>
      </x:c>
      <x:c r="L1421" s="13" t="str">
        <x:v>☐ Не начато</x:v>
      </x:c>
      <x:c r="M1421" s="13" t="str">
        <x:v>Обязательно</x:v>
      </x:c>
      <x:c r="N1421" s="13" t="str">
        <x:v>Без нагрузки</x:v>
      </x:c>
      <x:c r="O1421" s="13" t="str"/>
      <x:c r="P1421" s="13" t="str">
        <x:v>milestone_05_efficiency_projecting/week_20_2027-01-18/06_SATURDAY.md</x:v>
      </x:c>
      <x:c r="Q1421" s="138" t="str">
        <x:v>Markdown</x:v>
      </x:c>
      <x:c r="R1421" s="20" t="str"/>
    </x:row>
    <x:row r="1422" ht="36" customHeight="1">
      <x:c r="A1422" s="19" t="str">
        <x:v>W20-20270123-1421</x:v>
      </x:c>
      <x:c r="B1422" s="13" t="n">
        <x:v>20</x:v>
      </x:c>
      <x:c r="C1422" s="13" t="str">
        <x:v>Этап 5 — Эффективность движения и работа над проектом</x:v>
      </x:c>
      <x:c r="D1422" s="138" t="str">
        <x:v>2027-01-23</x:v>
      </x:c>
      <x:c r="E1422" s="13" t="str">
        <x:v>Суббота</x:v>
      </x:c>
      <x:c r="F1422" s="13" t="str">
        <x:v>Отдых / подготовка</x:v>
      </x:c>
      <x:c r="G1422" s="44" t="n">
        <x:v>0.016666666666666666</x:v>
      </x:c>
      <x:c r="H1422" s="44" t="n">
        <x:v>0.01875</x:v>
      </x:c>
      <x:c r="I1422" s="32" t="n">
        <x:f>ROUND((H1422-G1422)*1440,0)</x:f>
        <x:v>3</x:v>
      </x:c>
      <x:c r="J1422" s="13" t="str">
        <x:v>План воскресенья</x:v>
      </x:c>
      <x:c r="K1422" s="13" t="str">
        <x:v>Выбери заранее одну лёгкую трассу под тему «Связывание и сравнение». Воскресенье остаётся развлечением, не третьим тяжёлым днём.</x:v>
      </x:c>
      <x:c r="L1422" s="13" t="str">
        <x:v>☐ Не начато</x:v>
      </x:c>
      <x:c r="M1422" s="13" t="str">
        <x:v>Обязательно</x:v>
      </x:c>
      <x:c r="N1422" s="13" t="str">
        <x:v>Без нагрузки</x:v>
      </x:c>
      <x:c r="O1422" s="13" t="str"/>
      <x:c r="P1422" s="13" t="str">
        <x:v>milestone_05_efficiency_projecting/week_20_2027-01-18/06_SATURDAY.md</x:v>
      </x:c>
      <x:c r="Q1422" s="138" t="str">
        <x:v>Markdown</x:v>
      </x:c>
      <x:c r="R1422" s="20" t="str"/>
    </x:row>
    <x:row r="1423" ht="36" customHeight="1">
      <x:c r="A1423" s="19" t="str">
        <x:v>W20-20270123-1422</x:v>
      </x:c>
      <x:c r="B1423" s="13" t="n">
        <x:v>20</x:v>
      </x:c>
      <x:c r="C1423" s="13" t="str">
        <x:v>Этап 5 — Эффективность движения и работа над проектом</x:v>
      </x:c>
      <x:c r="D1423" s="138" t="str">
        <x:v>2027-01-23</x:v>
      </x:c>
      <x:c r="E1423" s="13" t="str">
        <x:v>Суббота</x:v>
      </x:c>
      <x:c r="F1423" s="13" t="str">
        <x:v>Отдых / подготовка</x:v>
      </x:c>
      <x:c r="G1423" s="44" t="n">
        <x:v>0.01875</x:v>
      </x:c>
      <x:c r="H1423" s="44" t="n">
        <x:v>0.020833333333333332</x:v>
      </x:c>
      <x:c r="I1423" s="32" t="n">
        <x:f>ROUND((H1423-G1423)*1440,0)</x:f>
        <x:v>3</x:v>
      </x:c>
      <x:c r="J1423" s="13" t="str">
        <x:v>Сон / восстановление</x:v>
      </x:c>
      <x:c r="K1423" s="13" t="str">
        <x:v>Запланируй обычный сон и нормальный приём пищи; не пытайся «разбудить хват» вечером.</x:v>
      </x:c>
      <x:c r="L1423" s="13" t="str">
        <x:v>☐ Не начато</x:v>
      </x:c>
      <x:c r="M1423" s="13" t="str">
        <x:v>Обязательно</x:v>
      </x:c>
      <x:c r="N1423" s="13" t="str">
        <x:v>Восстановление</x:v>
      </x:c>
      <x:c r="O1423" s="13" t="str"/>
      <x:c r="P1423" s="13" t="str">
        <x:v>milestone_05_efficiency_projecting/week_20_2027-01-18/06_SATURDAY.md</x:v>
      </x:c>
      <x:c r="Q1423" s="138" t="str">
        <x:v>Markdown</x:v>
      </x:c>
      <x:c r="R1423" s="20" t="str"/>
    </x:row>
    <x:row r="1424" ht="36" customHeight="1">
      <x:c r="A1424" s="19" t="str">
        <x:v>W20-20270124-1423</x:v>
      </x:c>
      <x:c r="B1424" s="13" t="n">
        <x:v>20</x:v>
      </x:c>
      <x:c r="C1424" s="13" t="str">
        <x:v>Этап 5 — Эффективность движения и работа над проектом</x:v>
      </x:c>
      <x:c r="D1424" s="138" t="str">
        <x:v>2027-01-24</x:v>
      </x:c>
      <x:c r="E1424" s="13" t="str">
        <x:v>Воскресенье</x:v>
      </x:c>
      <x:c r="F1424" s="13" t="str">
        <x:v>Тренировка C — fun / опционально</x:v>
      </x:c>
      <x:c r="G1424" s="44" t="n">
        <x:v>0</x:v>
      </x:c>
      <x:c r="H1424" s="44" t="n">
        <x:v>0.0020833333333333333</x:v>
      </x:c>
      <x:c r="I1424" s="32" t="n">
        <x:f>ROUND((H1424-G1424)*1440,0)</x:f>
        <x:v>3</x:v>
      </x:c>
      <x:c r="J1424" s="13" t="str">
        <x:v>Выбор сценария</x:v>
      </x:c>
      <x:c r="K1424" s="13" t="str">
        <x:v>Выбери один сценарий: (A) fun-сессия 75 минут в зале или (B) восстановительный день дома 25 минут. Не выполнять оба.</x:v>
      </x:c>
      <x:c r="L1424" s="13" t="str">
        <x:v>☐ Не начато</x:v>
      </x:c>
      <x:c r="M1424" s="13" t="str">
        <x:v>Выбрать один сценарий</x:v>
      </x:c>
      <x:c r="N1424" s="13" t="str">
        <x:v>По состоянию</x:v>
      </x:c>
      <x:c r="O1424" s="13" t="str"/>
      <x:c r="P1424" s="13" t="str">
        <x:v>milestone_05_efficiency_projecting/week_20_2027-01-18/07_SUNDAY.md</x:v>
      </x:c>
      <x:c r="Q1424" s="138" t="str">
        <x:v>Markdown</x:v>
      </x:c>
      <x:c r="R1424" s="20" t="str"/>
    </x:row>
    <x:row r="1425" ht="36" customHeight="1">
      <x:c r="A1425" s="19" t="str">
        <x:v>W20-20270124-1424</x:v>
      </x:c>
      <x:c r="B1425" s="13" t="n">
        <x:v>20</x:v>
      </x:c>
      <x:c r="C1425" s="13" t="str">
        <x:v>Этап 5 — Эффективность движения и работа над проектом</x:v>
      </x:c>
      <x:c r="D1425" s="138" t="str">
        <x:v>2027-01-24</x:v>
      </x:c>
      <x:c r="E1425" s="13" t="str">
        <x:v>Воскресенье</x:v>
      </x:c>
      <x:c r="F1425" s="13" t="str">
        <x:v>Тренировка C — fun / опционально</x:v>
      </x:c>
      <x:c r="G1425" s="44" t="n">
        <x:v>0.0020833333333333333</x:v>
      </x:c>
      <x:c r="H1425" s="44" t="n">
        <x:v>0.005555555555555556</x:v>
      </x:c>
      <x:c r="I1425" s="32" t="n">
        <x:f>ROUND((H1425-G1425)*1440,0)</x:f>
        <x:v>5</x:v>
      </x:c>
      <x:c r="J1425" s="13" t="str">
        <x:v>Разминка A</x:v>
      </x:c>
      <x:c r="K1425" s="13" t="str">
        <x:v>Если идёшь в зал: 5 минут поднятия температуры.</x:v>
      </x:c>
      <x:c r="L1425" s="13" t="str">
        <x:v>☐ Не начато</x:v>
      </x:c>
      <x:c r="M1425" s="13" t="str">
        <x:v>Опционально</x:v>
      </x:c>
      <x:c r="N1425" s="13" t="str">
        <x:v>RPE 2–3</x:v>
      </x:c>
      <x:c r="O1425" s="13" t="str"/>
      <x:c r="P1425" s="13" t="str">
        <x:v>milestone_05_efficiency_projecting/week_20_2027-01-18/07_SUNDAY.md</x:v>
      </x:c>
      <x:c r="Q1425" s="138" t="str">
        <x:v>Markdown</x:v>
      </x:c>
      <x:c r="R1425" s="20" t="str"/>
    </x:row>
    <x:row r="1426" ht="36" customHeight="1">
      <x:c r="A1426" s="19" t="str">
        <x:v>W20-20270124-1425</x:v>
      </x:c>
      <x:c r="B1426" s="13" t="n">
        <x:v>20</x:v>
      </x:c>
      <x:c r="C1426" s="13" t="str">
        <x:v>Этап 5 — Эффективность движения и работа над проектом</x:v>
      </x:c>
      <x:c r="D1426" s="138" t="str">
        <x:v>2027-01-24</x:v>
      </x:c>
      <x:c r="E1426" s="13" t="str">
        <x:v>Воскресенье</x:v>
      </x:c>
      <x:c r="F1426" s="13" t="str">
        <x:v>Тренировка C — fun / опционально</x:v>
      </x:c>
      <x:c r="G1426" s="44" t="n">
        <x:v>0.005555555555555556</x:v>
      </x:c>
      <x:c r="H1426" s="44" t="n">
        <x:v>0.009027777777777777</x:v>
      </x:c>
      <x:c r="I1426" s="32" t="n">
        <x:f>ROUND((H1426-G1426)*1440,0)</x:f>
        <x:v>5</x:v>
      </x:c>
      <x:c r="J1426" s="13" t="str">
        <x:v>Разминка A</x:v>
      </x:c>
      <x:c r="K1426" s="13" t="str">
        <x:v>Динамическая суставная разминка в безболезненном диапазоне; без отжиманий/press.</x:v>
      </x:c>
      <x:c r="L1426" s="13" t="str">
        <x:v>☐ Не начато</x:v>
      </x:c>
      <x:c r="M1426" s="13" t="str">
        <x:v>Опционально</x:v>
      </x:c>
      <x:c r="N1426" s="13" t="str">
        <x:v>Очень легко</x:v>
      </x:c>
      <x:c r="O1426" s="13" t="str">
        <x:v>Разгрузка. Фингерборд только лёгкий. Закончить до заметного распада техники.</x:v>
      </x:c>
      <x:c r="P1426" s="13" t="str">
        <x:v>milestone_05_efficiency_projecting/week_20_2027-01-18/07_SUNDAY.md</x:v>
      </x:c>
      <x:c r="Q1426" s="138" t="str">
        <x:v>Markdown</x:v>
      </x:c>
      <x:c r="R1426" s="20" t="str"/>
    </x:row>
    <x:row r="1427" ht="36" customHeight="1">
      <x:c r="A1427" s="19" t="str">
        <x:v>W20-20270124-1426</x:v>
      </x:c>
      <x:c r="B1427" s="13" t="n">
        <x:v>20</x:v>
      </x:c>
      <x:c r="C1427" s="13" t="str">
        <x:v>Этап 5 — Эффективность движения и работа над проектом</x:v>
      </x:c>
      <x:c r="D1427" s="138" t="str">
        <x:v>2027-01-24</x:v>
      </x:c>
      <x:c r="E1427" s="13" t="str">
        <x:v>Воскресенье</x:v>
      </x:c>
      <x:c r="F1427" s="13" t="str">
        <x:v>Тренировка C — fun / опционально</x:v>
      </x:c>
      <x:c r="G1427" s="44" t="n">
        <x:v>0.009027777777777777</x:v>
      </x:c>
      <x:c r="H1427" s="44" t="n">
        <x:v>0.013888888888888888</x:v>
      </x:c>
      <x:c r="I1427" s="32" t="n">
        <x:f>ROUND((H1427-G1427)*1440,0)</x:f>
        <x:v>7</x:v>
      </x:c>
      <x:c r="J1427" s="13" t="str">
        <x:v>Лёгкое лазание A</x:v>
      </x:c>
      <x:c r="K1427" s="13" t="str">
        <x:v>3 очень лёгкие трассы 1–3 с постепенным увеличением сложности.</x:v>
      </x:c>
      <x:c r="L1427" s="13" t="str">
        <x:v>☐ Не начато</x:v>
      </x:c>
      <x:c r="M1427" s="13" t="str">
        <x:v>Опционально</x:v>
      </x:c>
      <x:c r="N1427" s="13" t="str">
        <x:v>RPE 2–4</x:v>
      </x:c>
      <x:c r="O1427" s="13" t="str"/>
      <x:c r="P1427" s="13" t="str">
        <x:v>milestone_05_efficiency_projecting/week_20_2027-01-18/07_SUNDAY.md</x:v>
      </x:c>
      <x:c r="Q1427" s="138" t="str">
        <x:v>Markdown</x:v>
      </x:c>
      <x:c r="R1427" s="20" t="str"/>
    </x:row>
    <x:row r="1428" ht="36" customHeight="1">
      <x:c r="A1428" s="19" t="str">
        <x:v>W20-20270124-1427</x:v>
      </x:c>
      <x:c r="B1428" s="13" t="n">
        <x:v>20</x:v>
      </x:c>
      <x:c r="C1428" s="13" t="str">
        <x:v>Этап 5 — Эффективность движения и работа над проектом</x:v>
      </x:c>
      <x:c r="D1428" s="138" t="str">
        <x:v>2027-01-24</x:v>
      </x:c>
      <x:c r="E1428" s="13" t="str">
        <x:v>Воскресенье</x:v>
      </x:c>
      <x:c r="F1428" s="13" t="str">
        <x:v>Тренировка C — fun / опционально</x:v>
      </x:c>
      <x:c r="G1428" s="44" t="n">
        <x:v>0.013888888888888888</x:v>
      </x:c>
      <x:c r="H1428" s="44" t="n">
        <x:v>0.020833333333333332</x:v>
      </x:c>
      <x:c r="I1428" s="32" t="n">
        <x:f>ROUND((H1428-G1428)*1440,0)</x:f>
        <x:v>10</x:v>
      </x:c>
      <x:c r="J1428" s="13" t="str">
        <x:v>Технический праймер A</x:v>
      </x:c>
      <x:c r="K1428" s="13" t="str">
        <x:v>На одной лёгкой трассе дважды повтори «Связывание и сравнение». Критерий: Лучшая связка длиннее либо чище при меньшем числе лишних действий.</x:v>
      </x:c>
      <x:c r="L1428" s="13" t="str">
        <x:v>☐ Не начато</x:v>
      </x:c>
      <x:c r="M1428" s="13" t="str">
        <x:v>Опционально</x:v>
      </x:c>
      <x:c r="N1428" s="13" t="str">
        <x:v>RPE 3–4</x:v>
      </x:c>
      <x:c r="O1428" s="13" t="str">
        <x:v>Это разгрузочная неделя; фингерборд только лёгкий.</x:v>
      </x:c>
      <x:c r="P1428" s="13" t="str">
        <x:v>milestone_05_efficiency_projecting/week_20_2027-01-18/07_SUNDAY.md</x:v>
      </x:c>
      <x:c r="Q1428" s="138" t="str">
        <x:v>Markdown</x:v>
      </x:c>
      <x:c r="R1428" s="20" t="str"/>
    </x:row>
    <x:row r="1429" ht="36" customHeight="1">
      <x:c r="A1429" s="19" t="str">
        <x:v>W20-20270124-1428</x:v>
      </x:c>
      <x:c r="B1429" s="13" t="n">
        <x:v>20</x:v>
      </x:c>
      <x:c r="C1429" s="13" t="str">
        <x:v>Этап 5 — Эффективность движения и работа над проектом</x:v>
      </x:c>
      <x:c r="D1429" s="138" t="str">
        <x:v>2027-01-24</x:v>
      </x:c>
      <x:c r="E1429" s="13" t="str">
        <x:v>Воскресенье</x:v>
      </x:c>
      <x:c r="F1429" s="13" t="str">
        <x:v>Тренировка C — fun / опционально</x:v>
      </x:c>
      <x:c r="G1429" s="44" t="n">
        <x:v>0.020833333333333332</x:v>
      </x:c>
      <x:c r="H1429" s="44" t="n">
        <x:v>0.03819444444444445</x:v>
      </x:c>
      <x:c r="I1429" s="32" t="n">
        <x:f>ROUND((H1429-G1429)*1440,0)</x:f>
        <x:v>25</x:v>
      </x:c>
      <x:c r="J1429" s="13" t="str">
        <x:v>Свободное лазание A</x:v>
      </x:c>
      <x:c r="K1429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429" s="13" t="str">
        <x:v>☐ Не начато</x:v>
      </x:c>
      <x:c r="M1429" s="13" t="str">
        <x:v>Опционально</x:v>
      </x:c>
      <x:c r="N1429" s="13" t="str">
        <x:v>RPE 4–7</x:v>
      </x:c>
      <x:c r="O1429" s="13" t="str">
        <x:v>Не превращать блок в круг на выносливость.</x:v>
      </x:c>
      <x:c r="P1429" s="13" t="str">
        <x:v>milestone_05_efficiency_projecting/week_20_2027-01-18/07_SUNDAY.md</x:v>
      </x:c>
      <x:c r="Q1429" s="138" t="str">
        <x:v>Markdown</x:v>
      </x:c>
      <x:c r="R1429" s="20" t="str"/>
    </x:row>
    <x:row r="1430" ht="36" customHeight="1">
      <x:c r="A1430" s="19" t="str">
        <x:v>W20-20270124-1429</x:v>
      </x:c>
      <x:c r="B1430" s="13" t="n">
        <x:v>20</x:v>
      </x:c>
      <x:c r="C1430" s="13" t="str">
        <x:v>Этап 5 — Эффективность движения и работа над проектом</x:v>
      </x:c>
      <x:c r="D1430" s="138" t="str">
        <x:v>2027-01-24</x:v>
      </x:c>
      <x:c r="E1430" s="13" t="str">
        <x:v>Воскресенье</x:v>
      </x:c>
      <x:c r="F1430" s="13" t="str">
        <x:v>Тренировка C — fun / опционально</x:v>
      </x:c>
      <x:c r="G1430" s="44" t="n">
        <x:v>0.03819444444444445</x:v>
      </x:c>
      <x:c r="H1430" s="44" t="n">
        <x:v>0.04583333333333333</x:v>
      </x:c>
      <x:c r="I1430" s="32" t="n">
        <x:f>ROUND((H1430-G1430)*1440,0)</x:f>
        <x:v>11</x:v>
      </x:c>
      <x:c r="J1430" s="13" t="str">
        <x:v>Свежая сложная попытка A</x:v>
      </x:c>
      <x:c r="K1430" s="13" t="str">
        <x:v>Только если всё зелёное: попробуй одну рабочую пятёрку или дружелюбную шестёрку по критериям недели — Основная шестёрка, максимум 3–4 попытки с полным отдыхом; снять одну целиком. Максимум 2 попытки, отдых 4 минуты.</x:v>
      </x:c>
      <x:c r="L1430" s="13" t="str">
        <x:v>☐ Не начато</x:v>
      </x:c>
      <x:c r="M1430" s="13" t="str">
        <x:v>Опционально</x:v>
      </x:c>
      <x:c r="N1430" s="13" t="str">
        <x:v>RPE 7–8, без отказа</x:v>
      </x:c>
      <x:c r="O1430" s="13" t="str">
        <x:v>Разгрузка. Фингерборд только лёгкий. Закончить до заметного распада техники.</x:v>
      </x:c>
      <x:c r="P1430" s="13" t="str">
        <x:v>milestone_05_efficiency_projecting/week_20_2027-01-18/07_SUNDAY.md</x:v>
      </x:c>
      <x:c r="Q1430" s="138" t="str">
        <x:v>Markdown</x:v>
      </x:c>
      <x:c r="R1430" s="20" t="str"/>
    </x:row>
    <x:row r="1431" ht="36" customHeight="1">
      <x:c r="A1431" s="19" t="str">
        <x:v>W20-20270124-1430</x:v>
      </x:c>
      <x:c r="B1431" s="13" t="n">
        <x:v>20</x:v>
      </x:c>
      <x:c r="C1431" s="13" t="str">
        <x:v>Этап 5 — Эффективность движения и работа над проектом</x:v>
      </x:c>
      <x:c r="D1431" s="138" t="str">
        <x:v>2027-01-24</x:v>
      </x:c>
      <x:c r="E1431" s="13" t="str">
        <x:v>Воскресенье</x:v>
      </x:c>
      <x:c r="F1431" s="13" t="str">
        <x:v>Тренировка C — fun / опционально</x:v>
      </x:c>
      <x:c r="G1431" s="44" t="n">
        <x:v>0.04583333333333333</x:v>
      </x:c>
      <x:c r="H1431" s="44" t="n">
        <x:v>0.05</x:v>
      </x:c>
      <x:c r="I1431" s="32" t="n">
        <x:f>ROUND((H1431-G1431)*1440,0)</x:f>
        <x:v>6</x:v>
      </x:c>
      <x:c r="J1431" s="13" t="str">
        <x:v>Лёгкий финал A</x:v>
      </x:c>
      <x:c r="K1431" s="13" t="str">
        <x:v>Одна любимая лёгкая трасса или спокойный спуск. Фингерборда и capacity-круга нет.</x:v>
      </x:c>
      <x:c r="L1431" s="13" t="str">
        <x:v>☐ Не начато</x:v>
      </x:c>
      <x:c r="M1431" s="13" t="str">
        <x:v>Опционально</x:v>
      </x:c>
      <x:c r="N1431" s="13" t="str">
        <x:v>RPE 2–3</x:v>
      </x:c>
      <x:c r="O1431" s="13" t="str"/>
      <x:c r="P1431" s="13" t="str">
        <x:v>milestone_05_efficiency_projecting/week_20_2027-01-18/07_SUNDAY.md</x:v>
      </x:c>
      <x:c r="Q1431" s="138" t="str">
        <x:v>Markdown</x:v>
      </x:c>
      <x:c r="R1431" s="20" t="str"/>
    </x:row>
    <x:row r="1432" ht="36" customHeight="1">
      <x:c r="A1432" s="19" t="str">
        <x:v>W20-20270124-1431</x:v>
      </x:c>
      <x:c r="B1432" s="13" t="n">
        <x:v>20</x:v>
      </x:c>
      <x:c r="C1432" s="13" t="str">
        <x:v>Этап 5 — Эффективность движения и работа над проектом</x:v>
      </x:c>
      <x:c r="D1432" s="138" t="str">
        <x:v>2027-01-24</x:v>
      </x:c>
      <x:c r="E1432" s="13" t="str">
        <x:v>Воскресенье</x:v>
      </x:c>
      <x:c r="F1432" s="13" t="str">
        <x:v>Тренировка C — fun / опционально</x:v>
      </x:c>
      <x:c r="G1432" s="44" t="n">
        <x:v>0.05</x:v>
      </x:c>
      <x:c r="H1432" s="44" t="n">
        <x:v>0.052083333333333336</x:v>
      </x:c>
      <x:c r="I1432" s="32" t="n">
        <x:f>ROUND((H1432-G1432)*1440,0)</x:f>
        <x:v>3</x:v>
      </x:c>
      <x:c r="J1432" s="13" t="str">
        <x:v>Журнал A</x:v>
      </x:c>
      <x:c r="K1432" s="13" t="str">
        <x:v>Запиши только 3 вещи: что было весело, один удачный технический момент, состояние пальцев после сессии.</x:v>
      </x:c>
      <x:c r="L1432" s="13" t="str">
        <x:v>☐ Не начато</x:v>
      </x:c>
      <x:c r="M1432" s="13" t="str">
        <x:v>Опционально</x:v>
      </x:c>
      <x:c r="N1432" s="13" t="str">
        <x:v>Без нагрузки</x:v>
      </x:c>
      <x:c r="O1432" s="13" t="str"/>
      <x:c r="P1432" s="13" t="str">
        <x:v>milestone_05_efficiency_projecting/week_20_2027-01-18/07_SUNDAY.md</x:v>
      </x:c>
      <x:c r="Q1432" s="138" t="str">
        <x:v>Markdown</x:v>
      </x:c>
      <x:c r="R1432" s="20" t="str"/>
    </x:row>
    <x:row r="1433" ht="36" customHeight="1">
      <x:c r="A1433" s="19" t="str">
        <x:v>W20-20270124-1432</x:v>
      </x:c>
      <x:c r="B1433" s="13" t="n">
        <x:v>20</x:v>
      </x:c>
      <x:c r="C1433" s="13" t="str">
        <x:v>Этап 5 — Эффективность движения и работа над проектом</x:v>
      </x:c>
      <x:c r="D1433" s="138" t="str">
        <x:v>2027-01-24</x:v>
      </x:c>
      <x:c r="E1433" s="13" t="str">
        <x:v>Воскресенье</x:v>
      </x:c>
      <x:c r="F1433" s="13" t="str">
        <x:v>Восстановление B — дома</x:v>
      </x:c>
      <x:c r="G1433" s="44" t="n">
        <x:v>0</x:v>
      </x:c>
      <x:c r="H1433" s="44" t="n">
        <x:v>0.010416666666666666</x:v>
      </x:c>
      <x:c r="I1433" s="32" t="n">
        <x:f>ROUND((H1433-G1433)*1440,0)</x:f>
        <x:v>15</x:v>
      </x:c>
      <x:c r="J1433" s="13" t="str">
        <x:v>Прогулка B</x:v>
      </x:c>
      <x:c r="K1433" s="13" t="str">
        <x:v>Если не идёшь в зал: 15 минут спокойной прогулки.</x:v>
      </x:c>
      <x:c r="L1433" s="13" t="str">
        <x:v>☐ Не начато</x:v>
      </x:c>
      <x:c r="M1433" s="13" t="str">
        <x:v>Опционально</x:v>
      </x:c>
      <x:c r="N1433" s="13" t="str">
        <x:v>RPE 1–2</x:v>
      </x:c>
      <x:c r="O1433" s="13" t="str"/>
      <x:c r="P1433" s="13" t="str">
        <x:v>milestone_05_efficiency_projecting/week_20_2027-01-18/07_SUNDAY.md</x:v>
      </x:c>
      <x:c r="Q1433" s="138" t="str">
        <x:v>Markdown</x:v>
      </x:c>
      <x:c r="R1433" s="20" t="str"/>
    </x:row>
    <x:row r="1434" ht="36" customHeight="1">
      <x:c r="A1434" s="19" t="str">
        <x:v>W20-20270124-1433</x:v>
      </x:c>
      <x:c r="B1434" s="13" t="n">
        <x:v>20</x:v>
      </x:c>
      <x:c r="C1434" s="13" t="str">
        <x:v>Этап 5 — Эффективность движения и работа над проектом</x:v>
      </x:c>
      <x:c r="D1434" s="138" t="str">
        <x:v>2027-01-24</x:v>
      </x:c>
      <x:c r="E1434" s="13" t="str">
        <x:v>Воскресенье</x:v>
      </x:c>
      <x:c r="F1434" s="13" t="str">
        <x:v>Восстановление B — дома</x:v>
      </x:c>
      <x:c r="G1434" s="44" t="n">
        <x:v>0.010416666666666666</x:v>
      </x:c>
      <x:c r="H1434" s="44" t="n">
        <x:v>0.015277777777777777</x:v>
      </x:c>
      <x:c r="I1434" s="32" t="n">
        <x:f>ROUND((H1434-G1434)*1440,0)</x:f>
        <x:v>7</x:v>
      </x:c>
      <x:c r="J1434" s="13" t="str">
        <x:v>Визуализация B</x:v>
      </x:c>
      <x:c r="K1434" s="13" t="str">
        <x:v>7 минут: мысленно повтори тему недели «Связывание и сравнение» и одну трассу четверга.</x:v>
      </x:c>
      <x:c r="L1434" s="13" t="str">
        <x:v>☐ Не начато</x:v>
      </x:c>
      <x:c r="M1434" s="13" t="str">
        <x:v>Опционально</x:v>
      </x:c>
      <x:c r="N1434" s="13" t="str">
        <x:v>Без нагрузки</x:v>
      </x:c>
      <x:c r="O1434" s="13" t="str"/>
      <x:c r="P1434" s="13" t="str">
        <x:v>milestone_05_efficiency_projecting/week_20_2027-01-18/07_SUNDAY.md</x:v>
      </x:c>
      <x:c r="Q1434" s="138" t="str">
        <x:v>Markdown</x:v>
      </x:c>
      <x:c r="R1434" s="20" t="str"/>
    </x:row>
    <x:row r="1435" ht="36" customHeight="1">
      <x:c r="A1435" s="19" t="str">
        <x:v>W20-20270124-1434</x:v>
      </x:c>
      <x:c r="B1435" s="13" t="n">
        <x:v>20</x:v>
      </x:c>
      <x:c r="C1435" s="13" t="str">
        <x:v>Этап 5 — Эффективность движения и работа над проектом</x:v>
      </x:c>
      <x:c r="D1435" s="138" t="str">
        <x:v>2027-01-24</x:v>
      </x:c>
      <x:c r="E1435" s="13" t="str">
        <x:v>Воскресенье</x:v>
      </x:c>
      <x:c r="F1435" s="13" t="str">
        <x:v>Восстановление B — дома</x:v>
      </x:c>
      <x:c r="G1435" s="44" t="n">
        <x:v>0.015277777777777777</x:v>
      </x:c>
      <x:c r="H1435" s="44" t="n">
        <x:v>0.017361111111111112</x:v>
      </x:c>
      <x:c r="I1435" s="32" t="n">
        <x:f>ROUND((H1435-G1435)*1440,0)</x:f>
        <x:v>3</x:v>
      </x:c>
      <x:c r="J1435" s="13" t="str">
        <x:v>Итог недели B</x:v>
      </x:c>
      <x:c r="K1435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435" s="13" t="str">
        <x:v>☐ Не начато</x:v>
      </x:c>
      <x:c r="M1435" s="13" t="str">
        <x:v>Опционально</x:v>
      </x:c>
      <x:c r="N1435" s="13" t="str">
        <x:v>Без нагрузки</x:v>
      </x:c>
      <x:c r="O1435" s="13" t="str"/>
      <x:c r="P1435" s="13" t="str">
        <x:v>milestone_05_efficiency_projecting/week_20_2027-01-18/07_SUNDAY.md</x:v>
      </x:c>
      <x:c r="Q1435" s="138" t="str">
        <x:v>Markdown</x:v>
      </x:c>
      <x:c r="R1435" s="20" t="str"/>
    </x:row>
    <x:row r="1436" ht="36" customHeight="1">
      <x:c r="A1436" s="19" t="str">
        <x:v>W21-20270125-1435</x:v>
      </x:c>
      <x:c r="B1436" s="13" t="n">
        <x:v>21</x:v>
      </x:c>
      <x:c r="C1436" s="13" t="str">
        <x:v>Этап 6 — Перенос навыков, шестёрки и закрепление</x:v>
      </x:c>
      <x:c r="D1436" s="138" t="str">
        <x:v>2027-01-25</x:v>
      </x:c>
      <x:c r="E1436" s="13" t="str">
        <x:v>Понедельник</x:v>
      </x:c>
      <x:c r="F1436" s="13" t="str">
        <x:v>Дом / теория</x:v>
      </x:c>
      <x:c r="G1436" s="44" t="n">
        <x:v>0</x:v>
      </x:c>
      <x:c r="H1436" s="44" t="n">
        <x:v>0.0020833333333333333</x:v>
      </x:c>
      <x:c r="I1436" s="32" t="n">
        <x:f>ROUND((H1436-G1436)*1440,0)</x:f>
        <x:v>3</x:v>
      </x:c>
      <x:c r="J1436" s="13" t="str">
        <x:v>Самопроверка</x:v>
      </x:c>
      <x:c r="K1436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436" s="13" t="str">
        <x:v>☐ Не начато</x:v>
      </x:c>
      <x:c r="M1436" s="13" t="str">
        <x:v>Обязательно</x:v>
      </x:c>
      <x:c r="N1436" s="13" t="str">
        <x:v>Очень легко</x:v>
      </x:c>
      <x:c r="O1436" s="13" t="str">
        <x:v>Не диагностируй травму самостоятельно; используй правила из документа безопасности.</x:v>
      </x:c>
      <x:c r="P1436" s="13" t="str">
        <x:v>milestone_06_transfer_and_consolidation/week_21_2027-01-25/01_MONDAY.md</x:v>
      </x:c>
      <x:c r="Q1436" s="138" t="str">
        <x:v>Markdown</x:v>
      </x:c>
      <x:c r="R1436" s="20" t="str"/>
    </x:row>
    <x:row r="1437" ht="36" customHeight="1">
      <x:c r="A1437" s="19" t="str">
        <x:v>W21-20270125-1436</x:v>
      </x:c>
      <x:c r="B1437" s="13" t="n">
        <x:v>21</x:v>
      </x:c>
      <x:c r="C1437" s="13" t="str">
        <x:v>Этап 6 — Перенос навыков, шестёрки и закрепление</x:v>
      </x:c>
      <x:c r="D1437" s="138" t="str">
        <x:v>2027-01-25</x:v>
      </x:c>
      <x:c r="E1437" s="13" t="str">
        <x:v>Понедельник</x:v>
      </x:c>
      <x:c r="F1437" s="13" t="str">
        <x:v>Дом / теория</x:v>
      </x:c>
      <x:c r="G1437" s="44" t="n">
        <x:v>0.0020833333333333333</x:v>
      </x:c>
      <x:c r="H1437" s="44" t="n">
        <x:v>0.005555555555555556</x:v>
      </x:c>
      <x:c r="I1437" s="32" t="n">
        <x:f>ROUND((H1437-G1437)*1440,0)</x:f>
        <x:v>5</x:v>
      </x:c>
      <x:c r="J1437" s="13" t="str">
        <x:v>Планирование</x:v>
      </x:c>
      <x:c r="K1437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«На лёгких трассах слабого стиля тренируй навык; на сложных — не превращай каждую попытку в борьбу.»</x:v>
      </x:c>
      <x:c r="L1437" s="13" t="str">
        <x:v>☐ Не начато</x:v>
      </x:c>
      <x:c r="M1437" s="13" t="str">
        <x:v>Обязательно</x:v>
      </x:c>
      <x:c r="N1437" s="13" t="str">
        <x:v>Без нагрузки</x:v>
      </x:c>
      <x:c r="O1437" s="13" t="str"/>
      <x:c r="P1437" s="13" t="str">
        <x:v>milestone_06_transfer_and_consolidation/week_21_2027-01-25/01_MONDAY.md</x:v>
      </x:c>
      <x:c r="Q1437" s="138" t="str">
        <x:v>Markdown</x:v>
      </x:c>
      <x:c r="R1437" s="20" t="str"/>
    </x:row>
    <x:row r="1438" ht="36" customHeight="1">
      <x:c r="A1438" s="19" t="str">
        <x:v>W21-20270125-1437</x:v>
      </x:c>
      <x:c r="B1438" s="13" t="n">
        <x:v>21</x:v>
      </x:c>
      <x:c r="C1438" s="13" t="str">
        <x:v>Этап 6 — Перенос навыков, шестёрки и закрепление</x:v>
      </x:c>
      <x:c r="D1438" s="138" t="str">
        <x:v>2027-01-25</x:v>
      </x:c>
      <x:c r="E1438" s="13" t="str">
        <x:v>Понедельник</x:v>
      </x:c>
      <x:c r="F1438" s="13" t="str">
        <x:v>Дом / теория</x:v>
      </x:c>
      <x:c r="G1438" s="44" t="n">
        <x:v>0.005555555555555556</x:v>
      </x:c>
      <x:c r="H1438" s="44" t="n">
        <x:v>0.011111111111111112</x:v>
      </x:c>
      <x:c r="I1438" s="32" t="n">
        <x:f>ROUND((H1438-G1438)*1440,0)</x:f>
        <x:v>8</x:v>
      </x:c>
      <x:c r="J1438" s="13" t="str">
        <x:v>Теория</x:v>
      </x:c>
      <x:c r="K1438" s="13" t="str">
        <x:v>Посмотри/прочитай [R19: Berta Block — Trust your Feet](https://www.bertablock.de/trust-your-feet). Задача: Темы: heel/toe hook, silent feet, foot swap и bicycle; проверить, подходит ли текущий уровень.</x:v>
      </x:c>
      <x:c r="L1438" s="13" t="str">
        <x:v>☐ Не начато</x:v>
      </x:c>
      <x:c r="M1438" s="13" t="str">
        <x:v>Обязательно</x:v>
      </x:c>
      <x:c r="N1438" s="13" t="str">
        <x:v>Без нагрузки</x:v>
      </x:c>
      <x:c r="O1438" s="13" t="str"/>
      <x:c r="P1438" s="13" t="str">
        <x:v>milestone_06_transfer_and_consolidation/week_21_2027-01-25/01_MONDAY.md</x:v>
      </x:c>
      <x:c r="Q1438" s="138" t="str">
        <x:v>Markdown</x:v>
      </x:c>
      <x:c r="R1438" s="20" t="str"/>
    </x:row>
    <x:row r="1439" ht="36" customHeight="1">
      <x:c r="A1439" s="19" t="str">
        <x:v>W21-20270125-1438</x:v>
      </x:c>
      <x:c r="B1439" s="13" t="n">
        <x:v>21</x:v>
      </x:c>
      <x:c r="C1439" s="13" t="str">
        <x:v>Этап 6 — Перенос навыков, шестёрки и закрепление</x:v>
      </x:c>
      <x:c r="D1439" s="138" t="str">
        <x:v>2027-01-25</x:v>
      </x:c>
      <x:c r="E1439" s="13" t="str">
        <x:v>Понедельник</x:v>
      </x:c>
      <x:c r="F1439" s="13" t="str">
        <x:v>Дом / теория</x:v>
      </x:c>
      <x:c r="G1439" s="44" t="n">
        <x:v>0.011111111111111112</x:v>
      </x:c>
      <x:c r="H1439" s="44" t="n">
        <x:v>0.014583333333333334</x:v>
      </x:c>
      <x:c r="I1439" s="32" t="n">
        <x:f>ROUND((H1439-G1439)*1440,0)</x:f>
        <x:v>5</x:v>
      </x:c>
      <x:c r="J1439" s="13" t="str">
        <x:v>Конспект</x:v>
      </x:c>
      <x:c r="K1439" s="13" t="str">
        <x:v>Запиши ровно 3 пункта: (1) что делать ногами/тазом; (2) что не делать руками; (3) какой признак успеха проверишь на стене для темы «Слабый стиль».</x:v>
      </x:c>
      <x:c r="L1439" s="13" t="str">
        <x:v>☐ Не начато</x:v>
      </x:c>
      <x:c r="M1439" s="13" t="str">
        <x:v>Обязательно</x:v>
      </x:c>
      <x:c r="N1439" s="13" t="str">
        <x:v>Без нагрузки</x:v>
      </x:c>
      <x:c r="O1439" s="13" t="str"/>
      <x:c r="P1439" s="13" t="str">
        <x:v>milestone_06_transfer_and_consolidation/week_21_2027-01-25/01_MONDAY.md</x:v>
      </x:c>
      <x:c r="Q1439" s="138" t="str">
        <x:v>Markdown</x:v>
      </x:c>
      <x:c r="R1439" s="20" t="str"/>
    </x:row>
    <x:row r="1440" ht="36" customHeight="1">
      <x:c r="A1440" s="19" t="str">
        <x:v>W21-20270125-1439</x:v>
      </x:c>
      <x:c r="B1440" s="13" t="n">
        <x:v>21</x:v>
      </x:c>
      <x:c r="C1440" s="13" t="str">
        <x:v>Этап 6 — Перенос навыков, шестёрки и закрепление</x:v>
      </x:c>
      <x:c r="D1440" s="138" t="str">
        <x:v>2027-01-25</x:v>
      </x:c>
      <x:c r="E1440" s="13" t="str">
        <x:v>Понедельник</x:v>
      </x:c>
      <x:c r="F1440" s="13" t="str">
        <x:v>Дом / теория</x:v>
      </x:c>
      <x:c r="G1440" s="44" t="n">
        <x:v>0.014583333333333334</x:v>
      </x:c>
      <x:c r="H1440" s="44" t="n">
        <x:v>0.022916666666666665</x:v>
      </x:c>
      <x:c r="I1440" s="32" t="n">
        <x:f>ROUND((H1440-G1440)*1440,0)</x:f>
        <x:v>12</x:v>
      </x:c>
      <x:c r="J1440" s="13" t="str">
        <x:v>Домашняя мобильность</x:v>
      </x:c>
      <x:c r="K1440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440" s="13" t="str">
        <x:v>☐ Не начато</x:v>
      </x:c>
      <x:c r="M1440" s="13" t="str">
        <x:v>Обязательно</x:v>
      </x:c>
      <x:c r="N1440" s="13" t="str">
        <x:v>RPE 2–3</x:v>
      </x:c>
      <x:c r="O1440" s="13" t="str">
        <x:v>Никаких скручиваний через боль. Плечом не отталкивайся от стены; касание только для равновесия.</x:v>
      </x:c>
      <x:c r="P1440" s="13" t="str">
        <x:v>milestone_06_transfer_and_consolidation/week_21_2027-01-25/01_MONDAY.md</x:v>
      </x:c>
      <x:c r="Q1440" s="138" t="str">
        <x:v>Markdown</x:v>
      </x:c>
      <x:c r="R1440" s="20" t="str"/>
    </x:row>
    <x:row r="1441" ht="36" customHeight="1">
      <x:c r="A1441" s="19" t="str">
        <x:v>W21-20270125-1440</x:v>
      </x:c>
      <x:c r="B1441" s="13" t="n">
        <x:v>21</x:v>
      </x:c>
      <x:c r="C1441" s="13" t="str">
        <x:v>Этап 6 — Перенос навыков, шестёрки и закрепление</x:v>
      </x:c>
      <x:c r="D1441" s="138" t="str">
        <x:v>2027-01-25</x:v>
      </x:c>
      <x:c r="E1441" s="13" t="str">
        <x:v>Понедельник</x:v>
      </x:c>
      <x:c r="F1441" s="13" t="str">
        <x:v>Дом / теория</x:v>
      </x:c>
      <x:c r="G1441" s="44" t="n">
        <x:v>0.022916666666666665</x:v>
      </x:c>
      <x:c r="H1441" s="44" t="n">
        <x:v>0.03680555555555556</x:v>
      </x:c>
      <x:c r="I1441" s="32" t="n">
        <x:f>ROUND((H1441-G1441)*1440,0)</x:f>
        <x:v>20</x:v>
      </x:c>
      <x:c r="J1441" s="13" t="str">
        <x:v>Физиотерапия</x:v>
      </x:c>
      <x:c r="K1441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441" s="13" t="str">
        <x:v>☐ Не начато</x:v>
      </x:c>
      <x:c r="M1441" s="13" t="str">
        <x:v>По назначению</x:v>
      </x:c>
      <x:c r="N1441" s="13" t="str">
        <x:v>По назначению физиотерапевта</x:v>
      </x:c>
      <x:c r="O1441" s="13" t="str">
        <x:v>Любые указания физиотерапевта имеют приоритет над этим планом.</x:v>
      </x:c>
      <x:c r="P1441" s="13" t="str">
        <x:v>milestone_06_transfer_and_consolidation/week_21_2027-01-25/01_MONDAY.md</x:v>
      </x:c>
      <x:c r="Q1441" s="138" t="str">
        <x:v>Markdown</x:v>
      </x:c>
      <x:c r="R1441" s="20" t="str"/>
    </x:row>
    <x:row r="1442" ht="36" customHeight="1">
      <x:c r="A1442" s="19" t="str">
        <x:v>W21-20270125-1441</x:v>
      </x:c>
      <x:c r="B1442" s="13" t="n">
        <x:v>21</x:v>
      </x:c>
      <x:c r="C1442" s="13" t="str">
        <x:v>Этап 6 — Перенос навыков, шестёрки и закрепление</x:v>
      </x:c>
      <x:c r="D1442" s="138" t="str">
        <x:v>2027-01-25</x:v>
      </x:c>
      <x:c r="E1442" s="13" t="str">
        <x:v>Понедельник</x:v>
      </x:c>
      <x:c r="F1442" s="13" t="str">
        <x:v>Дом / теория</x:v>
      </x:c>
      <x:c r="G1442" s="44" t="n">
        <x:v>0.03680555555555556</x:v>
      </x:c>
      <x:c r="H1442" s="44" t="n">
        <x:v>0.04027777777777778</x:v>
      </x:c>
      <x:c r="I1442" s="32" t="n">
        <x:f>ROUND((H1442-G1442)*1440,0)</x:f>
        <x:v>5</x:v>
      </x:c>
      <x:c r="J1442" s="13" t="str">
        <x:v>Покупка / организация</x:v>
      </x:c>
      <x:c r="K1442" s="13" t="str">
        <x:v>Опционально Trust your Feet, если уровень и расписание подходят.</x:v>
      </x:c>
      <x:c r="L1442" s="13" t="str">
        <x:v>☐ Не начато</x:v>
      </x:c>
      <x:c r="M1442" s="13" t="str">
        <x:v>Опционально</x:v>
      </x:c>
      <x:c r="N1442" s="13" t="str">
        <x:v>Без нагрузки</x:v>
      </x:c>
      <x:c r="O1442" s="13" t="str"/>
      <x:c r="P1442" s="13" t="str">
        <x:v>milestone_06_transfer_and_consolidation/week_21_2027-01-25/01_MONDAY.md</x:v>
      </x:c>
      <x:c r="Q1442" s="138" t="str">
        <x:v>Markdown</x:v>
      </x:c>
      <x:c r="R1442" s="20" t="str"/>
    </x:row>
    <x:row r="1443" ht="36" customHeight="1">
      <x:c r="A1443" s="19" t="str">
        <x:v>W21-20270125-1442</x:v>
      </x:c>
      <x:c r="B1443" s="13" t="n">
        <x:v>21</x:v>
      </x:c>
      <x:c r="C1443" s="13" t="str">
        <x:v>Этап 6 — Перенос навыков, шестёрки и закрепление</x:v>
      </x:c>
      <x:c r="D1443" s="138" t="str">
        <x:v>2027-01-25</x:v>
      </x:c>
      <x:c r="E1443" s="13" t="str">
        <x:v>Понедельник</x:v>
      </x:c>
      <x:c r="F1443" s="13" t="str">
        <x:v>Дом / теория</x:v>
      </x:c>
      <x:c r="G1443" s="44" t="n">
        <x:v>0.04027777777777778</x:v>
      </x:c>
      <x:c r="H1443" s="44" t="n">
        <x:v>0.04236111111111111</x:v>
      </x:c>
      <x:c r="I1443" s="32" t="n">
        <x:f>ROUND((H1443-G1443)*1440,0)</x:f>
        <x:v>3</x:v>
      </x:c>
      <x:c r="J1443" s="13" t="str">
        <x:v>Подготовка</x:v>
      </x:c>
      <x:c r="K1443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443" s="13" t="str">
        <x:v>☐ Не начато</x:v>
      </x:c>
      <x:c r="M1443" s="13" t="str">
        <x:v>Обязательно</x:v>
      </x:c>
      <x:c r="N1443" s="13" t="str">
        <x:v>Без нагрузки</x:v>
      </x:c>
      <x:c r="O1443" s="13" t="str">
        <x:v>Кольца и турник — только в рамках программы физиотерапевта.</x:v>
      </x:c>
      <x:c r="P1443" s="13" t="str">
        <x:v>milestone_06_transfer_and_consolidation/week_21_2027-01-25/01_MONDAY.md</x:v>
      </x:c>
      <x:c r="Q1443" s="138" t="str">
        <x:v>Markdown</x:v>
      </x:c>
      <x:c r="R1443" s="20" t="str"/>
    </x:row>
    <x:row r="1444" ht="36" customHeight="1">
      <x:c r="A1444" s="19" t="str">
        <x:v>W21-20270126-1443</x:v>
      </x:c>
      <x:c r="B1444" s="13" t="n">
        <x:v>21</x:v>
      </x:c>
      <x:c r="C1444" s="13" t="str">
        <x:v>Этап 6 — Перенос навыков, шестёрки и закрепление</x:v>
      </x:c>
      <x:c r="D1444" s="138" t="str">
        <x:v>2027-01-26</x:v>
      </x:c>
      <x:c r="E1444" s="13" t="str">
        <x:v>Вторник</x:v>
      </x:c>
      <x:c r="F1444" s="13" t="str">
        <x:v>Тренировка A — техника/объём</x:v>
      </x:c>
      <x:c r="G1444" s="44" t="n">
        <x:v>0</x:v>
      </x:c>
      <x:c r="H1444" s="44" t="n">
        <x:v>0.0020833333333333333</x:v>
      </x:c>
      <x:c r="I1444" s="32" t="n">
        <x:f>ROUND((H1444-G1444)*1440,0)</x:f>
        <x:v>3</x:v>
      </x:c>
      <x:c r="J1444" s="13" t="str">
        <x:v>Самопроверка</x:v>
      </x:c>
      <x:c r="K144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444" s="13" t="str">
        <x:v>☐ Не начато</x:v>
      </x:c>
      <x:c r="M1444" s="13" t="str">
        <x:v>Обязательно</x:v>
      </x:c>
      <x:c r="N1444" s="13" t="str">
        <x:v>Без нагрузки</x:v>
      </x:c>
      <x:c r="O1444" s="13" t="str">
        <x:v>Красный флаг = не начинать пальцевую нагрузку.</x:v>
      </x:c>
      <x:c r="P1444" s="13" t="str">
        <x:v>milestone_06_transfer_and_consolidation/week_21_2027-01-25/02_TUESDAY.md</x:v>
      </x:c>
      <x:c r="Q1444" s="138" t="str">
        <x:v>Markdown</x:v>
      </x:c>
      <x:c r="R1444" s="20" t="str"/>
    </x:row>
    <x:row r="1445" ht="36" customHeight="1">
      <x:c r="A1445" s="19" t="str">
        <x:v>W21-20270126-1444</x:v>
      </x:c>
      <x:c r="B1445" s="13" t="n">
        <x:v>21</x:v>
      </x:c>
      <x:c r="C1445" s="13" t="str">
        <x:v>Этап 6 — Перенос навыков, шестёрки и закрепление</x:v>
      </x:c>
      <x:c r="D1445" s="138" t="str">
        <x:v>2027-01-26</x:v>
      </x:c>
      <x:c r="E1445" s="13" t="str">
        <x:v>Вторник</x:v>
      </x:c>
      <x:c r="F1445" s="13" t="str">
        <x:v>Тренировка A — техника/объём</x:v>
      </x:c>
      <x:c r="G1445" s="44" t="n">
        <x:v>0.0020833333333333333</x:v>
      </x:c>
      <x:c r="H1445" s="44" t="n">
        <x:v>0.005555555555555556</x:v>
      </x:c>
      <x:c r="I1445" s="32" t="n">
        <x:f>ROUND((H1445-G1445)*1440,0)</x:f>
        <x:v>5</x:v>
      </x:c>
      <x:c r="J1445" s="13" t="str">
        <x:v>Разминка</x:v>
      </x:c>
      <x:c r="K1445" s="13" t="str">
        <x:v>Подними температуру: быстрая ходьба, лестница или лёгкий велотренажёр 5 минут.</x:v>
      </x:c>
      <x:c r="L1445" s="13" t="str">
        <x:v>☐ Не начато</x:v>
      </x:c>
      <x:c r="M1445" s="13" t="str">
        <x:v>Обязательно</x:v>
      </x:c>
      <x:c r="N1445" s="13" t="str">
        <x:v>RPE 2–3</x:v>
      </x:c>
      <x:c r="O1445" s="13" t="str"/>
      <x:c r="P1445" s="13" t="str">
        <x:v>milestone_06_transfer_and_consolidation/week_21_2027-01-25/02_TUESDAY.md</x:v>
      </x:c>
      <x:c r="Q1445" s="138" t="str">
        <x:v>Markdown</x:v>
      </x:c>
      <x:c r="R1445" s="20" t="str"/>
    </x:row>
    <x:row r="1446" ht="36" customHeight="1">
      <x:c r="A1446" s="19" t="str">
        <x:v>W21-20270126-1445</x:v>
      </x:c>
      <x:c r="B1446" s="13" t="n">
        <x:v>21</x:v>
      </x:c>
      <x:c r="C1446" s="13" t="str">
        <x:v>Этап 6 — Перенос навыков, шестёрки и закрепление</x:v>
      </x:c>
      <x:c r="D1446" s="138" t="str">
        <x:v>2027-01-26</x:v>
      </x:c>
      <x:c r="E1446" s="13" t="str">
        <x:v>Вторник</x:v>
      </x:c>
      <x:c r="F1446" s="13" t="str">
        <x:v>Тренировка A — техника/объём</x:v>
      </x:c>
      <x:c r="G1446" s="44" t="n">
        <x:v>0.005555555555555556</x:v>
      </x:c>
      <x:c r="H1446" s="44" t="n">
        <x:v>0.009027777777777777</x:v>
      </x:c>
      <x:c r="I1446" s="32" t="n">
        <x:f>ROUND((H1446-G1446)*1440,0)</x:f>
        <x:v>5</x:v>
      </x:c>
      <x:c r="J1446" s="13" t="str">
        <x:v>Разминка</x:v>
      </x:c>
      <x:c r="K144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446" s="13" t="str">
        <x:v>☐ Не начато</x:v>
      </x:c>
      <x:c r="M1446" s="13" t="str">
        <x:v>Обязательно</x:v>
      </x:c>
      <x:c r="N1446" s="13" t="str">
        <x:v>Очень легко</x:v>
      </x:c>
      <x:c r="O1446" s="13" t="str">
        <x:v>Не делай press/отжимания и движения, которые раздражают плечо.</x:v>
      </x:c>
      <x:c r="P1446" s="13" t="str">
        <x:v>milestone_06_transfer_and_consolidation/week_21_2027-01-25/02_TUESDAY.md</x:v>
      </x:c>
      <x:c r="Q1446" s="138" t="str">
        <x:v>Markdown</x:v>
      </x:c>
      <x:c r="R1446" s="20" t="str"/>
    </x:row>
    <x:row r="1447" ht="36" customHeight="1">
      <x:c r="A1447" s="19" t="str">
        <x:v>W21-20270126-1446</x:v>
      </x:c>
      <x:c r="B1447" s="13" t="n">
        <x:v>21</x:v>
      </x:c>
      <x:c r="C1447" s="13" t="str">
        <x:v>Этап 6 — Перенос навыков, шестёрки и закрепление</x:v>
      </x:c>
      <x:c r="D1447" s="138" t="str">
        <x:v>2027-01-26</x:v>
      </x:c>
      <x:c r="E1447" s="13" t="str">
        <x:v>Вторник</x:v>
      </x:c>
      <x:c r="F1447" s="13" t="str">
        <x:v>Тренировка A — техника/объём</x:v>
      </x:c>
      <x:c r="G1447" s="44" t="n">
        <x:v>0.009027777777777777</x:v>
      </x:c>
      <x:c r="H1447" s="44" t="n">
        <x:v>0.011805555555555555</x:v>
      </x:c>
      <x:c r="I1447" s="32" t="n">
        <x:f>ROUND((H1447-G1447)*1440,0)</x:f>
        <x:v>4</x:v>
      </x:c>
      <x:c r="J1447" s="13" t="str">
        <x:v>Разминка пальцев</x:v>
      </x:c>
      <x:c r="K144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447" s="13" t="str">
        <x:v>☐ Не начато</x:v>
      </x:c>
      <x:c r="M1447" s="13" t="str">
        <x:v>Обязательно</x:v>
      </x:c>
      <x:c r="N1447" s="13" t="str">
        <x:v>Очень легко</x:v>
      </x:c>
      <x:c r="O1447" s="13" t="str"/>
      <x:c r="P1447" s="13" t="str">
        <x:v>milestone_06_transfer_and_consolidation/week_21_2027-01-25/02_TUESDAY.md</x:v>
      </x:c>
      <x:c r="Q1447" s="138" t="str">
        <x:v>Markdown</x:v>
      </x:c>
      <x:c r="R1447" s="20" t="str"/>
    </x:row>
    <x:row r="1448" ht="36" customHeight="1">
      <x:c r="A1448" s="19" t="str">
        <x:v>W21-20270126-1447</x:v>
      </x:c>
      <x:c r="B1448" s="13" t="n">
        <x:v>21</x:v>
      </x:c>
      <x:c r="C1448" s="13" t="str">
        <x:v>Этап 6 — Перенос навыков, шестёрки и закрепление</x:v>
      </x:c>
      <x:c r="D1448" s="138" t="str">
        <x:v>2027-01-26</x:v>
      </x:c>
      <x:c r="E1448" s="13" t="str">
        <x:v>Вторник</x:v>
      </x:c>
      <x:c r="F1448" s="13" t="str">
        <x:v>Тренировка A — техника/объём</x:v>
      </x:c>
      <x:c r="G1448" s="44" t="n">
        <x:v>0.011805555555555555</x:v>
      </x:c>
      <x:c r="H1448" s="44" t="n">
        <x:v>0.014583333333333334</x:v>
      </x:c>
      <x:c r="I1448" s="32" t="n">
        <x:f>ROUND((H1448-G1448)*1440,0)</x:f>
        <x:v>4</x:v>
      </x:c>
      <x:c r="J1448" s="13" t="str">
        <x:v>Разминочное лазание</x:v>
      </x:c>
      <x:c r="K1448" s="13" t="str">
        <x:v>Пройди 2 очень лёгкие трассы уровня 1–2; двигайся медленно, спускайся по зацепам.</x:v>
      </x:c>
      <x:c r="L1448" s="13" t="str">
        <x:v>☐ Не начато</x:v>
      </x:c>
      <x:c r="M1448" s="13" t="str">
        <x:v>Обязательно</x:v>
      </x:c>
      <x:c r="N1448" s="13" t="str">
        <x:v>RPE 2–3</x:v>
      </x:c>
      <x:c r="O1448" s="13" t="str">
        <x:v>Финиш с обязательным болезненным mantle/press пропусти.</x:v>
      </x:c>
      <x:c r="P1448" s="13" t="str">
        <x:v>milestone_06_transfer_and_consolidation/week_21_2027-01-25/02_TUESDAY.md</x:v>
      </x:c>
      <x:c r="Q1448" s="138" t="str">
        <x:v>Markdown</x:v>
      </x:c>
      <x:c r="R1448" s="20" t="str"/>
    </x:row>
    <x:row r="1449" ht="36" customHeight="1">
      <x:c r="A1449" s="19" t="str">
        <x:v>W21-20270126-1448</x:v>
      </x:c>
      <x:c r="B1449" s="13" t="n">
        <x:v>21</x:v>
      </x:c>
      <x:c r="C1449" s="13" t="str">
        <x:v>Этап 6 — Перенос навыков, шестёрки и закрепление</x:v>
      </x:c>
      <x:c r="D1449" s="138" t="str">
        <x:v>2027-01-26</x:v>
      </x:c>
      <x:c r="E1449" s="13" t="str">
        <x:v>Вторник</x:v>
      </x:c>
      <x:c r="F1449" s="13" t="str">
        <x:v>Тренировка A — техника/объём</x:v>
      </x:c>
      <x:c r="G1449" s="44" t="n">
        <x:v>0.014583333333333334</x:v>
      </x:c>
      <x:c r="H1449" s="44" t="n">
        <x:v>0.017361111111111112</x:v>
      </x:c>
      <x:c r="I1449" s="32" t="n">
        <x:f>ROUND((H1449-G1449)*1440,0)</x:f>
        <x:v>4</x:v>
      </x:c>
      <x:c r="J1449" s="13" t="str">
        <x:v>Разминочное лазание</x:v>
      </x:c>
      <x:c r="K1449" s="13" t="str">
        <x:v>Пройди 2 трассы уровня 2–3, затем сделай 2–3 движения на комфортной четвёрке. Между ними 45–60 секунд.</x:v>
      </x:c>
      <x:c r="L1449" s="13" t="str">
        <x:v>☐ Не начато</x:v>
      </x:c>
      <x:c r="M1449" s="13" t="str">
        <x:v>Обязательно</x:v>
      </x:c>
      <x:c r="N1449" s="13" t="str">
        <x:v>RPE 3–4</x:v>
      </x:c>
      <x:c r="O1449" s="13" t="str">
        <x:v>Разминка не должна утомить пальцы.</x:v>
      </x:c>
      <x:c r="P1449" s="13" t="str">
        <x:v>milestone_06_transfer_and_consolidation/week_21_2027-01-25/02_TUESDAY.md</x:v>
      </x:c>
      <x:c r="Q1449" s="138" t="str">
        <x:v>Markdown</x:v>
      </x:c>
      <x:c r="R1449" s="20" t="str"/>
    </x:row>
    <x:row r="1450" ht="36" customHeight="1">
      <x:c r="A1450" s="19" t="str">
        <x:v>W21-20270126-1449</x:v>
      </x:c>
      <x:c r="B1450" s="13" t="n">
        <x:v>21</x:v>
      </x:c>
      <x:c r="C1450" s="13" t="str">
        <x:v>Этап 6 — Перенос навыков, шестёрки и закрепление</x:v>
      </x:c>
      <x:c r="D1450" s="138" t="str">
        <x:v>2027-01-26</x:v>
      </x:c>
      <x:c r="E1450" s="13" t="str">
        <x:v>Вторник</x:v>
      </x:c>
      <x:c r="F1450" s="13" t="str">
        <x:v>Тренировка A — техника/объём</x:v>
      </x:c>
      <x:c r="G1450" s="44" t="n">
        <x:v>0.017361111111111112</x:v>
      </x:c>
      <x:c r="H1450" s="44" t="n">
        <x:v>0.02013888888888889</x:v>
      </x:c>
      <x:c r="I1450" s="32" t="n">
        <x:f>ROUND((H1450-G1450)*1440,0)</x:f>
        <x:v>4</x:v>
      </x:c>
      <x:c r="J1450" s="13" t="str">
        <x:v>Выбор трасс</x:v>
      </x:c>
      <x:c r="K1450" s="13" t="str">
        <x:v>Найди трассы для упражнения: Выбрать слабый стиль по журналу: плита, нависание, sloper, кромки, hooks или длинные движения. 3 лёгкие трассы этого стиля.</x:v>
      </x:c>
      <x:c r="L1450" s="13" t="str">
        <x:v>☐ Не начато</x:v>
      </x:c>
      <x:c r="M1450" s="13" t="str">
        <x:v>Обязательно</x:v>
      </x:c>
      <x:c r="N1450" s="13" t="str">
        <x:v>Без нагрузки</x:v>
      </x:c>
      <x:c r="O1450" s="13" t="str">
        <x:v>Если слабый стиль совпадает с триггером плеча/колена, выбрать второй по слабости, а не провоцировать травму.</x:v>
      </x:c>
      <x:c r="P1450" s="13" t="str">
        <x:v>milestone_06_transfer_and_consolidation/week_21_2027-01-25/02_TUESDAY.md</x:v>
      </x:c>
      <x:c r="Q1450" s="138" t="str">
        <x:v>Markdown</x:v>
      </x:c>
      <x:c r="R1450" s="20" t="str"/>
    </x:row>
    <x:row r="1451" ht="36" customHeight="1">
      <x:c r="A1451" s="19" t="str">
        <x:v>W21-20270126-1450</x:v>
      </x:c>
      <x:c r="B1451" s="13" t="n">
        <x:v>21</x:v>
      </x:c>
      <x:c r="C1451" s="13" t="str">
        <x:v>Этап 6 — Перенос навыков, шестёрки и закрепление</x:v>
      </x:c>
      <x:c r="D1451" s="138" t="str">
        <x:v>2027-01-26</x:v>
      </x:c>
      <x:c r="E1451" s="13" t="str">
        <x:v>Вторник</x:v>
      </x:c>
      <x:c r="F1451" s="13" t="str">
        <x:v>Тренировка A — техника/объём</x:v>
      </x:c>
      <x:c r="G1451" s="44" t="n">
        <x:v>0.02013888888888889</x:v>
      </x:c>
      <x:c r="H1451" s="44" t="n">
        <x:v>0.03194444444444444</x:v>
      </x:c>
      <x:c r="I1451" s="32" t="n">
        <x:f>ROUND((H1451-G1451)*1440,0)</x:f>
        <x:v>17</x:v>
      </x:c>
      <x:c r="J1451" s="13" t="str">
        <x:v>Технический блок</x:v>
      </x:c>
      <x:c r="K1451" s="13" t="str">
        <x:v>Отработай «Слабый стиль». Шаги: Назови стиль и одну техническую причину трудности. Пройди три лёгкие трассы этого стиля с одним cue. Затем попробуй пятёрку и шестёрку того же типа.</x:v>
      </x:c>
      <x:c r="L1451" s="13" t="str">
        <x:v>☐ Не начато</x:v>
      </x:c>
      <x:c r="M1451" s="13" t="str">
        <x:v>Обязательно</x:v>
      </x:c>
      <x:c r="N1451" s="13" t="str">
        <x:v>RPE 3–5</x:v>
      </x:c>
      <x:c r="O1451" s="13" t="str">
        <x:v>Триггер травмы не является «слабостью, которую надо продавить».</x:v>
      </x:c>
      <x:c r="P1451" s="13" t="str">
        <x:v>milestone_06_transfer_and_consolidation/week_21_2027-01-25/02_TUESDAY.md</x:v>
      </x:c>
      <x:c r="Q1451" s="138" t="str">
        <x:v>Markdown</x:v>
      </x:c>
      <x:c r="R1451" s="20" t="str"/>
    </x:row>
    <x:row r="1452" ht="36" customHeight="1">
      <x:c r="A1452" s="19" t="str">
        <x:v>W21-20270126-1451</x:v>
      </x:c>
      <x:c r="B1452" s="13" t="n">
        <x:v>21</x:v>
      </x:c>
      <x:c r="C1452" s="13" t="str">
        <x:v>Этап 6 — Перенос навыков, шестёрки и закрепление</x:v>
      </x:c>
      <x:c r="D1452" s="138" t="str">
        <x:v>2027-01-26</x:v>
      </x:c>
      <x:c r="E1452" s="13" t="str">
        <x:v>Вторник</x:v>
      </x:c>
      <x:c r="F1452" s="13" t="str">
        <x:v>Тренировка A — техника/объём</x:v>
      </x:c>
      <x:c r="G1452" s="44" t="n">
        <x:v>0.03194444444444444</x:v>
      </x:c>
      <x:c r="H1452" s="44" t="n">
        <x:v>0.035416666666666666</x:v>
      </x:c>
      <x:c r="I1452" s="32" t="n">
        <x:f>ROUND((H1452-G1452)*1440,0)</x:f>
        <x:v>5</x:v>
      </x:c>
      <x:c r="J1452" s="13" t="str">
        <x:v>Обратная связь</x:v>
      </x:c>
      <x:c r="K1452" s="13" t="str">
        <x:v>Повтори лучшую лёгкую трассу и проверь критерий успеха: Найден один повторяемый технический ключ, а не просто больший силовой нажим.</x:v>
      </x:c>
      <x:c r="L1452" s="13" t="str">
        <x:v>☐ Не начато</x:v>
      </x:c>
      <x:c r="M1452" s="13" t="str">
        <x:v>Обязательно</x:v>
      </x:c>
      <x:c r="N1452" s="13" t="str">
        <x:v>RPE 4–5</x:v>
      </x:c>
      <x:c r="O1452" s="13" t="str"/>
      <x:c r="P1452" s="13" t="str">
        <x:v>milestone_06_transfer_and_consolidation/week_21_2027-01-25/02_TUESDAY.md</x:v>
      </x:c>
      <x:c r="Q1452" s="138" t="str">
        <x:v>Markdown</x:v>
      </x:c>
      <x:c r="R1452" s="20" t="str"/>
    </x:row>
    <x:row r="1453" ht="36" customHeight="1">
      <x:c r="A1453" s="19" t="str">
        <x:v>W21-20270126-1452</x:v>
      </x:c>
      <x:c r="B1453" s="13" t="n">
        <x:v>21</x:v>
      </x:c>
      <x:c r="C1453" s="13" t="str">
        <x:v>Этап 6 — Перенос навыков, шестёрки и закрепление</x:v>
      </x:c>
      <x:c r="D1453" s="138" t="str">
        <x:v>2027-01-26</x:v>
      </x:c>
      <x:c r="E1453" s="13" t="str">
        <x:v>Вторник</x:v>
      </x:c>
      <x:c r="F1453" s="13" t="str">
        <x:v>Тренировка A — техника/объём</x:v>
      </x:c>
      <x:c r="G1453" s="44" t="n">
        <x:v>0.035416666666666666</x:v>
      </x:c>
      <x:c r="H1453" s="44" t="n">
        <x:v>0.04583333333333333</x:v>
      </x:c>
      <x:c r="I1453" s="32" t="n">
        <x:f>ROUND((H1453-G1453)*1440,0)</x:f>
        <x:v>15</x:v>
      </x:c>
      <x:c r="J1453" s="13" t="str">
        <x:v>Качественный объём</x:v>
      </x:c>
      <x:c r="K1453" s="13" t="str">
        <x:v>Попробуй 2–3 четвёрки, максимум 2 попытки на каждую, отдых 2:00. На неудаче назови техническую причину.</x:v>
      </x:c>
      <x:c r="L1453" s="13" t="str">
        <x:v>☐ Не начато</x:v>
      </x:c>
      <x:c r="M1453" s="13" t="str">
        <x:v>Обязательно</x:v>
      </x:c>
      <x:c r="N1453" s="13" t="str">
        <x:v>RPE 6–7</x:v>
      </x:c>
      <x:c r="O1453" s="13" t="str">
        <x:v>Не выбирать подряд три трассы на одинаково маленьких кромках.</x:v>
      </x:c>
      <x:c r="P1453" s="13" t="str">
        <x:v>milestone_06_transfer_and_consolidation/week_21_2027-01-25/02_TUESDAY.md</x:v>
      </x:c>
      <x:c r="Q1453" s="138" t="str">
        <x:v>Markdown</x:v>
      </x:c>
      <x:c r="R1453" s="20" t="str"/>
    </x:row>
    <x:row r="1454" ht="36" customHeight="1">
      <x:c r="A1454" s="19" t="str">
        <x:v>W21-20270126-1453</x:v>
      </x:c>
      <x:c r="B1454" s="13" t="n">
        <x:v>21</x:v>
      </x:c>
      <x:c r="C1454" s="13" t="str">
        <x:v>Этап 6 — Перенос навыков, шестёрки и закрепление</x:v>
      </x:c>
      <x:c r="D1454" s="138" t="str">
        <x:v>2027-01-26</x:v>
      </x:c>
      <x:c r="E1454" s="13" t="str">
        <x:v>Вторник</x:v>
      </x:c>
      <x:c r="F1454" s="13" t="str">
        <x:v>Тренировка A — техника/объём</x:v>
      </x:c>
      <x:c r="G1454" s="44" t="n">
        <x:v>0.04583333333333333</x:v>
      </x:c>
      <x:c r="H1454" s="44" t="n">
        <x:v>0.052083333333333336</x:v>
      </x:c>
      <x:c r="I1454" s="32" t="n">
        <x:f>ROUND((H1454-G1454)*1440,0)</x:f>
        <x:v>9</x:v>
      </x:c>
      <x:c r="J1454" s="13" t="str">
        <x:v>Рабочая пятёрка</x:v>
      </x:c>
      <x:c r="K1454" s="13" t="str">
        <x:v>Одна пятёрка, максимум 2 попытки, отдых 3:00. Цель — применить тему недели, а не обязательно закрыть.</x:v>
      </x:c>
      <x:c r="L1454" s="13" t="str">
        <x:v>☐ Не начато</x:v>
      </x:c>
      <x:c r="M1454" s="13" t="str">
        <x:v>Обязательно</x:v>
      </x:c>
      <x:c r="N1454" s="13" t="str">
        <x:v>RPE 7–8</x:v>
      </x:c>
      <x:c r="O1454" s="13" t="str">
        <x:v>Если слабый стиль совпадает с триггером плеча/колена, выбрать второй по слабости, а не провоцировать травму.</x:v>
      </x:c>
      <x:c r="P1454" s="13" t="str">
        <x:v>milestone_06_transfer_and_consolidation/week_21_2027-01-25/02_TUESDAY.md</x:v>
      </x:c>
      <x:c r="Q1454" s="138" t="str">
        <x:v>Markdown</x:v>
      </x:c>
      <x:c r="R1454" s="20" t="str"/>
    </x:row>
    <x:row r="1455" ht="36" customHeight="1">
      <x:c r="A1455" s="19" t="str">
        <x:v>W21-20270126-1454</x:v>
      </x:c>
      <x:c r="B1455" s="13" t="n">
        <x:v>21</x:v>
      </x:c>
      <x:c r="C1455" s="13" t="str">
        <x:v>Этап 6 — Перенос навыков, шестёрки и закрепление</x:v>
      </x:c>
      <x:c r="D1455" s="138" t="str">
        <x:v>2027-01-26</x:v>
      </x:c>
      <x:c r="E1455" s="13" t="str">
        <x:v>Вторник</x:v>
      </x:c>
      <x:c r="F1455" s="13" t="str">
        <x:v>Тренировка A — техника/объём</x:v>
      </x:c>
      <x:c r="G1455" s="44" t="n">
        <x:v>0.052083333333333336</x:v>
      </x:c>
      <x:c r="H1455" s="44" t="n">
        <x:v>0.058333333333333334</x:v>
      </x:c>
      <x:c r="I1455" s="32" t="n">
        <x:f>ROUND((H1455-G1455)*1440,0)</x:f>
        <x:v>9</x:v>
      </x:c>
      <x:c r="J1455" s="13" t="str">
        <x:v>Лёгкая выносливость</x:v>
      </x:c>
      <x:c r="K1455" s="13" t="str">
        <x:v>Начни 2 раунда × 4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455" s="13" t="str">
        <x:v>☐ Не начато</x:v>
      </x:c>
      <x:c r="M1455" s="13" t="str">
        <x:v>Обязательно</x:v>
      </x:c>
      <x:c r="N1455" s="13" t="str">
        <x:v>Памп максимум 4/10</x:v>
      </x:c>
      <x:c r="O1455" s="13" t="str">
        <x:v>Остановиться при неточной постановке ног или разжимании пальцев.</x:v>
      </x:c>
      <x:c r="P1455" s="13" t="str">
        <x:v>milestone_06_transfer_and_consolidation/week_21_2027-01-25/02_TUESDAY.md</x:v>
      </x:c>
      <x:c r="Q1455" s="138" t="str">
        <x:v>Markdown</x:v>
      </x:c>
      <x:c r="R1455" s="20" t="str"/>
    </x:row>
    <x:row r="1456" ht="36" customHeight="1">
      <x:c r="A1456" s="19" t="str">
        <x:v>W21-20270126-1455</x:v>
      </x:c>
      <x:c r="B1456" s="13" t="n">
        <x:v>21</x:v>
      </x:c>
      <x:c r="C1456" s="13" t="str">
        <x:v>Этап 6 — Перенос навыков, шестёрки и закрепление</x:v>
      </x:c>
      <x:c r="D1456" s="138" t="str">
        <x:v>2027-01-26</x:v>
      </x:c>
      <x:c r="E1456" s="13" t="str">
        <x:v>Вторник</x:v>
      </x:c>
      <x:c r="F1456" s="13" t="str">
        <x:v>Тренировка A — техника/объём</x:v>
      </x:c>
      <x:c r="G1456" s="44" t="n">
        <x:v>0.058333333333333334</x:v>
      </x:c>
      <x:c r="H1456" s="44" t="n">
        <x:v>0.06041666666666667</x:v>
      </x:c>
      <x:c r="I1456" s="32" t="n">
        <x:f>ROUND((H1456-G1456)*1440,0)</x:f>
        <x:v>3</x:v>
      </x:c>
      <x:c r="J1456" s="13" t="str">
        <x:v>Завершение</x:v>
      </x:c>
      <x:c r="K1456" s="13" t="str">
        <x:v>Очень лёгкий спуск/ходьба и спокойное встряхивание кистей.</x:v>
      </x:c>
      <x:c r="L1456" s="13" t="str">
        <x:v>☐ Не начато</x:v>
      </x:c>
      <x:c r="M1456" s="13" t="str">
        <x:v>Обязательно</x:v>
      </x:c>
      <x:c r="N1456" s="13" t="str">
        <x:v>RPE 1–2</x:v>
      </x:c>
      <x:c r="O1456" s="13" t="str"/>
      <x:c r="P1456" s="13" t="str">
        <x:v>milestone_06_transfer_and_consolidation/week_21_2027-01-25/02_TUESDAY.md</x:v>
      </x:c>
      <x:c r="Q1456" s="138" t="str">
        <x:v>Markdown</x:v>
      </x:c>
      <x:c r="R1456" s="20" t="str"/>
    </x:row>
    <x:row r="1457" ht="36" customHeight="1">
      <x:c r="A1457" s="19" t="str">
        <x:v>W21-20270126-1456</x:v>
      </x:c>
      <x:c r="B1457" s="13" t="n">
        <x:v>21</x:v>
      </x:c>
      <x:c r="C1457" s="13" t="str">
        <x:v>Этап 6 — Перенос навыков, шестёрки и закрепление</x:v>
      </x:c>
      <x:c r="D1457" s="138" t="str">
        <x:v>2027-01-26</x:v>
      </x:c>
      <x:c r="E1457" s="13" t="str">
        <x:v>Вторник</x:v>
      </x:c>
      <x:c r="F1457" s="13" t="str">
        <x:v>Тренировка A — техника/объём</x:v>
      </x:c>
      <x:c r="G1457" s="44" t="n">
        <x:v>0.06041666666666667</x:v>
      </x:c>
      <x:c r="H1457" s="44" t="n">
        <x:v>0.0625</x:v>
      </x:c>
      <x:c r="I1457" s="32" t="n">
        <x:f>ROUND((H1457-G1457)*1440,0)</x:f>
        <x:v>3</x:v>
      </x:c>
      <x:c r="J1457" s="13" t="str">
        <x:v>Журнал</x:v>
      </x:c>
      <x:c r="K1457" s="13" t="str">
        <x:v>Запиши: Определить 1 технический cue, который сильнее всего улучшает слабый стиль. Также отметь минуту первой просадки хвата.</x:v>
      </x:c>
      <x:c r="L1457" s="13" t="str">
        <x:v>☐ Не начато</x:v>
      </x:c>
      <x:c r="M1457" s="13" t="str">
        <x:v>Обязательно</x:v>
      </x:c>
      <x:c r="N1457" s="13" t="str">
        <x:v>Без нагрузки</x:v>
      </x:c>
      <x:c r="O1457" s="13" t="str"/>
      <x:c r="P1457" s="13" t="str">
        <x:v>milestone_06_transfer_and_consolidation/week_21_2027-01-25/02_TUESDAY.md</x:v>
      </x:c>
      <x:c r="Q1457" s="138" t="str">
        <x:v>Markdown</x:v>
      </x:c>
      <x:c r="R1457" s="20" t="str"/>
    </x:row>
    <x:row r="1458" ht="36" customHeight="1">
      <x:c r="A1458" s="19" t="str">
        <x:v>W21-20270127-1457</x:v>
      </x:c>
      <x:c r="B1458" s="13" t="n">
        <x:v>21</x:v>
      </x:c>
      <x:c r="C1458" s="13" t="str">
        <x:v>Этап 6 — Перенос навыков, шестёрки и закрепление</x:v>
      </x:c>
      <x:c r="D1458" s="138" t="str">
        <x:v>2027-01-27</x:v>
      </x:c>
      <x:c r="E1458" s="13" t="str">
        <x:v>Среда</x:v>
      </x:c>
      <x:c r="F1458" s="13" t="str">
        <x:v>Восстановление / видео</x:v>
      </x:c>
      <x:c r="G1458" s="44" t="n">
        <x:v>0</x:v>
      </x:c>
      <x:c r="H1458" s="44" t="n">
        <x:v>0.006944444444444444</x:v>
      </x:c>
      <x:c r="I1458" s="32" t="n">
        <x:f>ROUND((H1458-G1458)*1440,0)</x:f>
        <x:v>10</x:v>
      </x:c>
      <x:c r="J1458" s="13" t="str">
        <x:v>Восстановление</x:v>
      </x:c>
      <x:c r="K1458" s="13" t="str">
        <x:v>10 минут спокойной ходьбы. Руки расслаблены; это не тренировка выносливости.</x:v>
      </x:c>
      <x:c r="L1458" s="13" t="str">
        <x:v>☐ Не начато</x:v>
      </x:c>
      <x:c r="M1458" s="13" t="str">
        <x:v>Обязательно</x:v>
      </x:c>
      <x:c r="N1458" s="13" t="str">
        <x:v>RPE 1–2</x:v>
      </x:c>
      <x:c r="O1458" s="13" t="str"/>
      <x:c r="P1458" s="13" t="str">
        <x:v>milestone_06_transfer_and_consolidation/week_21_2027-01-25/03_WEDNESDAY.md</x:v>
      </x:c>
      <x:c r="Q1458" s="138" t="str">
        <x:v>Markdown</x:v>
      </x:c>
      <x:c r="R1458" s="20" t="str"/>
    </x:row>
    <x:row r="1459" ht="36" customHeight="1">
      <x:c r="A1459" s="19" t="str">
        <x:v>W21-20270127-1458</x:v>
      </x:c>
      <x:c r="B1459" s="13" t="n">
        <x:v>21</x:v>
      </x:c>
      <x:c r="C1459" s="13" t="str">
        <x:v>Этап 6 — Перенос навыков, шестёрки и закрепление</x:v>
      </x:c>
      <x:c r="D1459" s="138" t="str">
        <x:v>2027-01-27</x:v>
      </x:c>
      <x:c r="E1459" s="13" t="str">
        <x:v>Среда</x:v>
      </x:c>
      <x:c r="F1459" s="13" t="str">
        <x:v>Восстановление / видео</x:v>
      </x:c>
      <x:c r="G1459" s="44" t="n">
        <x:v>0.006944444444444444</x:v>
      </x:c>
      <x:c r="H1459" s="44" t="n">
        <x:v>0.009027777777777777</x:v>
      </x:c>
      <x:c r="I1459" s="32" t="n">
        <x:f>ROUND((H1459-G1459)*1440,0)</x:f>
        <x:v>3</x:v>
      </x:c>
      <x:c r="J1459" s="13" t="str">
        <x:v>Самопроверка</x:v>
      </x:c>
      <x:c r="K1459" s="13" t="str">
        <x:v>Оцени реакцию после вторника: плечо, пальцы, правое колено 0–10. Запиши, что изменилось относительно вчерашнего утра.</x:v>
      </x:c>
      <x:c r="L1459" s="13" t="str">
        <x:v>☐ Не начато</x:v>
      </x:c>
      <x:c r="M1459" s="13" t="str">
        <x:v>Обязательно</x:v>
      </x:c>
      <x:c r="N1459" s="13" t="str">
        <x:v>Без нагрузки</x:v>
      </x:c>
      <x:c r="O1459" s="13" t="str">
        <x:v>Острая локальная боль пальца или ухудшение плеча = не делать четверговую пальцевую нагрузку.</x:v>
      </x:c>
      <x:c r="P1459" s="13" t="str">
        <x:v>milestone_06_transfer_and_consolidation/week_21_2027-01-25/03_WEDNESDAY.md</x:v>
      </x:c>
      <x:c r="Q1459" s="138" t="str">
        <x:v>Markdown</x:v>
      </x:c>
      <x:c r="R1459" s="20" t="str"/>
    </x:row>
    <x:row r="1460" ht="36" customHeight="1">
      <x:c r="A1460" s="19" t="str">
        <x:v>W21-20270127-1459</x:v>
      </x:c>
      <x:c r="B1460" s="13" t="n">
        <x:v>21</x:v>
      </x:c>
      <x:c r="C1460" s="13" t="str">
        <x:v>Этап 6 — Перенос навыков, шестёрки и закрепление</x:v>
      </x:c>
      <x:c r="D1460" s="138" t="str">
        <x:v>2027-01-27</x:v>
      </x:c>
      <x:c r="E1460" s="13" t="str">
        <x:v>Среда</x:v>
      </x:c>
      <x:c r="F1460" s="13" t="str">
        <x:v>Восстановление / видео</x:v>
      </x:c>
      <x:c r="G1460" s="44" t="n">
        <x:v>0.009027777777777777</x:v>
      </x:c>
      <x:c r="H1460" s="44" t="n">
        <x:v>0.01597222222222222</x:v>
      </x:c>
      <x:c r="I1460" s="32" t="n">
        <x:f>ROUND((H1460-G1460)*1440,0)</x:f>
        <x:v>10</x:v>
      </x:c>
      <x:c r="J1460" s="13" t="str">
        <x:v>Видеоразбор</x:v>
      </x:c>
      <x:c r="K1460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460" s="13" t="str">
        <x:v>☐ Не начато</x:v>
      </x:c>
      <x:c r="M1460" s="13" t="str">
        <x:v>Обязательно</x:v>
      </x:c>
      <x:c r="N1460" s="13" t="str">
        <x:v>Без нагрузки</x:v>
      </x:c>
      <x:c r="O1460" s="13" t="str"/>
      <x:c r="P1460" s="13" t="str">
        <x:v>milestone_06_transfer_and_consolidation/week_21_2027-01-25/03_WEDNESDAY.md</x:v>
      </x:c>
      <x:c r="Q1460" s="138" t="str">
        <x:v>Markdown</x:v>
      </x:c>
      <x:c r="R1460" s="20" t="str"/>
    </x:row>
    <x:row r="1461" ht="36" customHeight="1">
      <x:c r="A1461" s="19" t="str">
        <x:v>W21-20270127-1460</x:v>
      </x:c>
      <x:c r="B1461" s="13" t="n">
        <x:v>21</x:v>
      </x:c>
      <x:c r="C1461" s="13" t="str">
        <x:v>Этап 6 — Перенос навыков, шестёрки и закрепление</x:v>
      </x:c>
      <x:c r="D1461" s="138" t="str">
        <x:v>2027-01-27</x:v>
      </x:c>
      <x:c r="E1461" s="13" t="str">
        <x:v>Среда</x:v>
      </x:c>
      <x:c r="F1461" s="13" t="str">
        <x:v>Восстановление / видео</x:v>
      </x:c>
      <x:c r="G1461" s="44" t="n">
        <x:v>0.01597222222222222</x:v>
      </x:c>
      <x:c r="H1461" s="44" t="n">
        <x:v>0.01875</x:v>
      </x:c>
      <x:c r="I1461" s="32" t="n">
        <x:f>ROUND((H1461-G1461)*1440,0)</x:f>
        <x:v>4</x:v>
      </x:c>
      <x:c r="J1461" s="13" t="str">
        <x:v>Конспект</x:v>
      </x:c>
      <x:c r="K1461" s="13" t="str">
        <x:v>Запиши одну правку на четверг в формате «В следующей попытке я…». Используй cue: «На лёгких трассах слабого стиля тренируй навык; на сложных — не превращай каждую попытку в борьбу.».</x:v>
      </x:c>
      <x:c r="L1461" s="13" t="str">
        <x:v>☐ Не начато</x:v>
      </x:c>
      <x:c r="M1461" s="13" t="str">
        <x:v>Обязательно</x:v>
      </x:c>
      <x:c r="N1461" s="13" t="str">
        <x:v>Без нагрузки</x:v>
      </x:c>
      <x:c r="O1461" s="13" t="str"/>
      <x:c r="P1461" s="13" t="str">
        <x:v>milestone_06_transfer_and_consolidation/week_21_2027-01-25/03_WEDNESDAY.md</x:v>
      </x:c>
      <x:c r="Q1461" s="138" t="str">
        <x:v>Markdown</x:v>
      </x:c>
      <x:c r="R1461" s="20" t="str"/>
    </x:row>
    <x:row r="1462" ht="36" customHeight="1">
      <x:c r="A1462" s="19" t="str">
        <x:v>W21-20270127-1461</x:v>
      </x:c>
      <x:c r="B1462" s="13" t="n">
        <x:v>21</x:v>
      </x:c>
      <x:c r="C1462" s="13" t="str">
        <x:v>Этап 6 — Перенос навыков, шестёрки и закрепление</x:v>
      </x:c>
      <x:c r="D1462" s="138" t="str">
        <x:v>2027-01-27</x:v>
      </x:c>
      <x:c r="E1462" s="13" t="str">
        <x:v>Среда</x:v>
      </x:c>
      <x:c r="F1462" s="13" t="str">
        <x:v>Восстановление / видео</x:v>
      </x:c>
      <x:c r="G1462" s="44" t="n">
        <x:v>0.01875</x:v>
      </x:c>
      <x:c r="H1462" s="44" t="n">
        <x:v>0.027083333333333334</x:v>
      </x:c>
      <x:c r="I1462" s="32" t="n">
        <x:f>ROUND((H1462-G1462)*1440,0)</x:f>
        <x:v>12</x:v>
      </x:c>
      <x:c r="J1462" s="13" t="str">
        <x:v>Домашняя мобильность</x:v>
      </x:c>
      <x:c r="K1462" s="13" t="str">
        <x:v>Выполни комплекс H1 «База: таз, корпус и стопы», 12 минут. Ни турника, ни колец для дополнительного хвата.</x:v>
      </x:c>
      <x:c r="L1462" s="13" t="str">
        <x:v>☐ Не начато</x:v>
      </x:c>
      <x:c r="M1462" s="13" t="str">
        <x:v>Обязательно</x:v>
      </x:c>
      <x:c r="N1462" s="13" t="str">
        <x:v>RPE 2–3</x:v>
      </x:c>
      <x:c r="O1462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462" s="13" t="str">
        <x:v>milestone_06_transfer_and_consolidation/week_21_2027-01-25/03_WEDNESDAY.md</x:v>
      </x:c>
      <x:c r="Q1462" s="138" t="str">
        <x:v>Markdown</x:v>
      </x:c>
      <x:c r="R1462" s="20" t="str"/>
    </x:row>
    <x:row r="1463" ht="36" customHeight="1">
      <x:c r="A1463" s="19" t="str">
        <x:v>W21-20270127-1462</x:v>
      </x:c>
      <x:c r="B1463" s="13" t="n">
        <x:v>21</x:v>
      </x:c>
      <x:c r="C1463" s="13" t="str">
        <x:v>Этап 6 — Перенос навыков, шестёрки и закрепление</x:v>
      </x:c>
      <x:c r="D1463" s="138" t="str">
        <x:v>2027-01-27</x:v>
      </x:c>
      <x:c r="E1463" s="13" t="str">
        <x:v>Среда</x:v>
      </x:c>
      <x:c r="F1463" s="13" t="str">
        <x:v>Восстановление / видео</x:v>
      </x:c>
      <x:c r="G1463" s="44" t="n">
        <x:v>0.027083333333333334</x:v>
      </x:c>
      <x:c r="H1463" s="44" t="n">
        <x:v>0.04097222222222222</x:v>
      </x:c>
      <x:c r="I1463" s="32" t="n">
        <x:f>ROUND((H1463-G1463)*1440,0)</x:f>
        <x:v>20</x:v>
      </x:c>
      <x:c r="J1463" s="13" t="str">
        <x:v>Физиотерапия</x:v>
      </x:c>
      <x:c r="K1463" s="13" t="str">
        <x:v>Выполни свой назначенный физиотерапевтом комплекс, если среда входит в его расписание.</x:v>
      </x:c>
      <x:c r="L1463" s="13" t="str">
        <x:v>☐ Не начато</x:v>
      </x:c>
      <x:c r="M1463" s="13" t="str">
        <x:v>По назначению</x:v>
      </x:c>
      <x:c r="N1463" s="13" t="str">
        <x:v>По назначению</x:v>
      </x:c>
      <x:c r="O1463" s="13" t="str">
        <x:v>Назначения физиотерапевта имеют приоритет.</x:v>
      </x:c>
      <x:c r="P1463" s="13" t="str">
        <x:v>milestone_06_transfer_and_consolidation/week_21_2027-01-25/03_WEDNESDAY.md</x:v>
      </x:c>
      <x:c r="Q1463" s="138" t="str">
        <x:v>Markdown</x:v>
      </x:c>
      <x:c r="R1463" s="20" t="str"/>
    </x:row>
    <x:row r="1464" ht="36" customHeight="1">
      <x:c r="A1464" s="19" t="str">
        <x:v>W21-20270127-1463</x:v>
      </x:c>
      <x:c r="B1464" s="13" t="n">
        <x:v>21</x:v>
      </x:c>
      <x:c r="C1464" s="13" t="str">
        <x:v>Этап 6 — Перенос навыков, шестёрки и закрепление</x:v>
      </x:c>
      <x:c r="D1464" s="138" t="str">
        <x:v>2027-01-27</x:v>
      </x:c>
      <x:c r="E1464" s="13" t="str">
        <x:v>Среда</x:v>
      </x:c>
      <x:c r="F1464" s="13" t="str">
        <x:v>Восстановление / видео</x:v>
      </x:c>
      <x:c r="G1464" s="44" t="n">
        <x:v>0.04097222222222222</x:v>
      </x:c>
      <x:c r="H1464" s="44" t="n">
        <x:v>0.043055555555555555</x:v>
      </x:c>
      <x:c r="I1464" s="32" t="n">
        <x:f>ROUND((H1464-G1464)*1440,0)</x:f>
        <x:v>3</x:v>
      </x:c>
      <x:c r="J1464" s="13" t="str">
        <x:v>Запрет лишней нагрузки</x:v>
      </x:c>
      <x:c r="K1464" s="13" t="str">
        <x:v>Поставь отметку: сегодня не было висов, подтягиваний «на проверку», эспандера-сжимателя или тяжёлого ношения.</x:v>
      </x:c>
      <x:c r="L1464" s="13" t="str">
        <x:v>☐ Не начато</x:v>
      </x:c>
      <x:c r="M1464" s="13" t="str">
        <x:v>Обязательно</x:v>
      </x:c>
      <x:c r="N1464" s="13" t="str">
        <x:v>Восстановление</x:v>
      </x:c>
      <x:c r="O1464" s="13" t="str"/>
      <x:c r="P1464" s="13" t="str">
        <x:v>milestone_06_transfer_and_consolidation/week_21_2027-01-25/03_WEDNESDAY.md</x:v>
      </x:c>
      <x:c r="Q1464" s="138" t="str">
        <x:v>Markdown</x:v>
      </x:c>
      <x:c r="R1464" s="20" t="str"/>
    </x:row>
    <x:row r="1465" ht="36" customHeight="1">
      <x:c r="A1465" s="19" t="str">
        <x:v>W21-20270128-1464</x:v>
      </x:c>
      <x:c r="B1465" s="13" t="n">
        <x:v>21</x:v>
      </x:c>
      <x:c r="C1465" s="13" t="str">
        <x:v>Этап 6 — Перенос навыков, шестёрки и закрепление</x:v>
      </x:c>
      <x:c r="D1465" s="138" t="str">
        <x:v>2027-01-28</x:v>
      </x:c>
      <x:c r="E1465" s="13" t="str">
        <x:v>Четверг</x:v>
      </x:c>
      <x:c r="F1465" s="13" t="str">
        <x:v>Тренировка B — пальцы/проект</x:v>
      </x:c>
      <x:c r="G1465" s="44" t="n">
        <x:v>0</x:v>
      </x:c>
      <x:c r="H1465" s="44" t="n">
        <x:v>0.0020833333333333333</x:v>
      </x:c>
      <x:c r="I1465" s="32" t="n">
        <x:f>ROUND((H1465-G1465)*1440,0)</x:f>
        <x:v>3</x:v>
      </x:c>
      <x:c r="J1465" s="13" t="str">
        <x:v>Самопроверка</x:v>
      </x:c>
      <x:c r="K146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465" s="13" t="str">
        <x:v>☐ Не начато</x:v>
      </x:c>
      <x:c r="M1465" s="13" t="str">
        <x:v>Обязательно</x:v>
      </x:c>
      <x:c r="N1465" s="13" t="str">
        <x:v>Без нагрузки</x:v>
      </x:c>
      <x:c r="O1465" s="13" t="str">
        <x:v>Красный флаг = не начинать пальцевую нагрузку.</x:v>
      </x:c>
      <x:c r="P1465" s="13" t="str">
        <x:v>milestone_06_transfer_and_consolidation/week_21_2027-01-25/04_THURSDAY.md</x:v>
      </x:c>
      <x:c r="Q1465" s="138" t="str">
        <x:v>Markdown</x:v>
      </x:c>
      <x:c r="R1465" s="20" t="str"/>
    </x:row>
    <x:row r="1466" ht="36" customHeight="1">
      <x:c r="A1466" s="19" t="str">
        <x:v>W21-20270128-1465</x:v>
      </x:c>
      <x:c r="B1466" s="13" t="n">
        <x:v>21</x:v>
      </x:c>
      <x:c r="C1466" s="13" t="str">
        <x:v>Этап 6 — Перенос навыков, шестёрки и закрепление</x:v>
      </x:c>
      <x:c r="D1466" s="138" t="str">
        <x:v>2027-01-28</x:v>
      </x:c>
      <x:c r="E1466" s="13" t="str">
        <x:v>Четверг</x:v>
      </x:c>
      <x:c r="F1466" s="13" t="str">
        <x:v>Тренировка B — пальцы/проект</x:v>
      </x:c>
      <x:c r="G1466" s="44" t="n">
        <x:v>0.0020833333333333333</x:v>
      </x:c>
      <x:c r="H1466" s="44" t="n">
        <x:v>0.005555555555555556</x:v>
      </x:c>
      <x:c r="I1466" s="32" t="n">
        <x:f>ROUND((H1466-G1466)*1440,0)</x:f>
        <x:v>5</x:v>
      </x:c>
      <x:c r="J1466" s="13" t="str">
        <x:v>Разминка</x:v>
      </x:c>
      <x:c r="K1466" s="13" t="str">
        <x:v>Подними температуру: быстрая ходьба, лестница или лёгкий велотренажёр 5 минут.</x:v>
      </x:c>
      <x:c r="L1466" s="13" t="str">
        <x:v>☐ Не начато</x:v>
      </x:c>
      <x:c r="M1466" s="13" t="str">
        <x:v>Обязательно</x:v>
      </x:c>
      <x:c r="N1466" s="13" t="str">
        <x:v>RPE 2–3</x:v>
      </x:c>
      <x:c r="O1466" s="13" t="str"/>
      <x:c r="P1466" s="13" t="str">
        <x:v>milestone_06_transfer_and_consolidation/week_21_2027-01-25/04_THURSDAY.md</x:v>
      </x:c>
      <x:c r="Q1466" s="138" t="str">
        <x:v>Markdown</x:v>
      </x:c>
      <x:c r="R1466" s="20" t="str"/>
    </x:row>
    <x:row r="1467" ht="36" customHeight="1">
      <x:c r="A1467" s="19" t="str">
        <x:v>W21-20270128-1466</x:v>
      </x:c>
      <x:c r="B1467" s="13" t="n">
        <x:v>21</x:v>
      </x:c>
      <x:c r="C1467" s="13" t="str">
        <x:v>Этап 6 — Перенос навыков, шестёрки и закрепление</x:v>
      </x:c>
      <x:c r="D1467" s="138" t="str">
        <x:v>2027-01-28</x:v>
      </x:c>
      <x:c r="E1467" s="13" t="str">
        <x:v>Четверг</x:v>
      </x:c>
      <x:c r="F1467" s="13" t="str">
        <x:v>Тренировка B — пальцы/проект</x:v>
      </x:c>
      <x:c r="G1467" s="44" t="n">
        <x:v>0.005555555555555556</x:v>
      </x:c>
      <x:c r="H1467" s="44" t="n">
        <x:v>0.009027777777777777</x:v>
      </x:c>
      <x:c r="I1467" s="32" t="n">
        <x:f>ROUND((H1467-G1467)*1440,0)</x:f>
        <x:v>5</x:v>
      </x:c>
      <x:c r="J1467" s="13" t="str">
        <x:v>Разминка</x:v>
      </x:c>
      <x:c r="K146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467" s="13" t="str">
        <x:v>☐ Не начато</x:v>
      </x:c>
      <x:c r="M1467" s="13" t="str">
        <x:v>Обязательно</x:v>
      </x:c>
      <x:c r="N1467" s="13" t="str">
        <x:v>Очень легко</x:v>
      </x:c>
      <x:c r="O1467" s="13" t="str">
        <x:v>Не делай press/отжимания и движения, которые раздражают плечо.</x:v>
      </x:c>
      <x:c r="P1467" s="13" t="str">
        <x:v>milestone_06_transfer_and_consolidation/week_21_2027-01-25/04_THURSDAY.md</x:v>
      </x:c>
      <x:c r="Q1467" s="138" t="str">
        <x:v>Markdown</x:v>
      </x:c>
      <x:c r="R1467" s="20" t="str"/>
    </x:row>
    <x:row r="1468" ht="36" customHeight="1">
      <x:c r="A1468" s="19" t="str">
        <x:v>W21-20270128-1467</x:v>
      </x:c>
      <x:c r="B1468" s="13" t="n">
        <x:v>21</x:v>
      </x:c>
      <x:c r="C1468" s="13" t="str">
        <x:v>Этап 6 — Перенос навыков, шестёрки и закрепление</x:v>
      </x:c>
      <x:c r="D1468" s="138" t="str">
        <x:v>2027-01-28</x:v>
      </x:c>
      <x:c r="E1468" s="13" t="str">
        <x:v>Четверг</x:v>
      </x:c>
      <x:c r="F1468" s="13" t="str">
        <x:v>Тренировка B — пальцы/проект</x:v>
      </x:c>
      <x:c r="G1468" s="44" t="n">
        <x:v>0.009027777777777777</x:v>
      </x:c>
      <x:c r="H1468" s="44" t="n">
        <x:v>0.011805555555555555</x:v>
      </x:c>
      <x:c r="I1468" s="32" t="n">
        <x:f>ROUND((H1468-G1468)*1440,0)</x:f>
        <x:v>4</x:v>
      </x:c>
      <x:c r="J1468" s="13" t="str">
        <x:v>Разминка пальцев</x:v>
      </x:c>
      <x:c r="K146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468" s="13" t="str">
        <x:v>☐ Не начато</x:v>
      </x:c>
      <x:c r="M1468" s="13" t="str">
        <x:v>Обязательно</x:v>
      </x:c>
      <x:c r="N1468" s="13" t="str">
        <x:v>Очень легко</x:v>
      </x:c>
      <x:c r="O1468" s="13" t="str"/>
      <x:c r="P1468" s="13" t="str">
        <x:v>milestone_06_transfer_and_consolidation/week_21_2027-01-25/04_THURSDAY.md</x:v>
      </x:c>
      <x:c r="Q1468" s="138" t="str">
        <x:v>Markdown</x:v>
      </x:c>
      <x:c r="R1468" s="20" t="str"/>
    </x:row>
    <x:row r="1469" ht="36" customHeight="1">
      <x:c r="A1469" s="19" t="str">
        <x:v>W21-20270128-1468</x:v>
      </x:c>
      <x:c r="B1469" s="13" t="n">
        <x:v>21</x:v>
      </x:c>
      <x:c r="C1469" s="13" t="str">
        <x:v>Этап 6 — Перенос навыков, шестёрки и закрепление</x:v>
      </x:c>
      <x:c r="D1469" s="138" t="str">
        <x:v>2027-01-28</x:v>
      </x:c>
      <x:c r="E1469" s="13" t="str">
        <x:v>Четверг</x:v>
      </x:c>
      <x:c r="F1469" s="13" t="str">
        <x:v>Тренировка B — пальцы/проект</x:v>
      </x:c>
      <x:c r="G1469" s="44" t="n">
        <x:v>0.011805555555555555</x:v>
      </x:c>
      <x:c r="H1469" s="44" t="n">
        <x:v>0.014583333333333334</x:v>
      </x:c>
      <x:c r="I1469" s="32" t="n">
        <x:f>ROUND((H1469-G1469)*1440,0)</x:f>
        <x:v>4</x:v>
      </x:c>
      <x:c r="J1469" s="13" t="str">
        <x:v>Разминочное лазание</x:v>
      </x:c>
      <x:c r="K1469" s="13" t="str">
        <x:v>Пройди 2 очень лёгкие трассы уровня 1–2; двигайся медленно, спускайся по зацепам.</x:v>
      </x:c>
      <x:c r="L1469" s="13" t="str">
        <x:v>☐ Не начато</x:v>
      </x:c>
      <x:c r="M1469" s="13" t="str">
        <x:v>Обязательно</x:v>
      </x:c>
      <x:c r="N1469" s="13" t="str">
        <x:v>RPE 2–3</x:v>
      </x:c>
      <x:c r="O1469" s="13" t="str">
        <x:v>Финиш с обязательным болезненным mantle/press пропусти.</x:v>
      </x:c>
      <x:c r="P1469" s="13" t="str">
        <x:v>milestone_06_transfer_and_consolidation/week_21_2027-01-25/04_THURSDAY.md</x:v>
      </x:c>
      <x:c r="Q1469" s="138" t="str">
        <x:v>Markdown</x:v>
      </x:c>
      <x:c r="R1469" s="20" t="str"/>
    </x:row>
    <x:row r="1470" ht="36" customHeight="1">
      <x:c r="A1470" s="19" t="str">
        <x:v>W21-20270128-1469</x:v>
      </x:c>
      <x:c r="B1470" s="13" t="n">
        <x:v>21</x:v>
      </x:c>
      <x:c r="C1470" s="13" t="str">
        <x:v>Этап 6 — Перенос навыков, шестёрки и закрепление</x:v>
      </x:c>
      <x:c r="D1470" s="138" t="str">
        <x:v>2027-01-28</x:v>
      </x:c>
      <x:c r="E1470" s="13" t="str">
        <x:v>Четверг</x:v>
      </x:c>
      <x:c r="F1470" s="13" t="str">
        <x:v>Тренировка B — пальцы/проект</x:v>
      </x:c>
      <x:c r="G1470" s="44" t="n">
        <x:v>0.014583333333333334</x:v>
      </x:c>
      <x:c r="H1470" s="44" t="n">
        <x:v>0.017361111111111112</x:v>
      </x:c>
      <x:c r="I1470" s="32" t="n">
        <x:f>ROUND((H1470-G1470)*1440,0)</x:f>
        <x:v>4</x:v>
      </x:c>
      <x:c r="J1470" s="13" t="str">
        <x:v>Разминочное лазание</x:v>
      </x:c>
      <x:c r="K1470" s="13" t="str">
        <x:v>Пройди 2 трассы уровня 2–3, затем сделай 2–3 движения на комфортной четвёрке. Между ними 45–60 секунд.</x:v>
      </x:c>
      <x:c r="L1470" s="13" t="str">
        <x:v>☐ Не начато</x:v>
      </x:c>
      <x:c r="M1470" s="13" t="str">
        <x:v>Обязательно</x:v>
      </x:c>
      <x:c r="N1470" s="13" t="str">
        <x:v>RPE 3–4</x:v>
      </x:c>
      <x:c r="O1470" s="13" t="str">
        <x:v>Разминка не должна утомить пальцы.</x:v>
      </x:c>
      <x:c r="P1470" s="13" t="str">
        <x:v>milestone_06_transfer_and_consolidation/week_21_2027-01-25/04_THURSDAY.md</x:v>
      </x:c>
      <x:c r="Q1470" s="138" t="str">
        <x:v>Markdown</x:v>
      </x:c>
      <x:c r="R1470" s="20" t="str"/>
    </x:row>
    <x:row r="1471" ht="36" customHeight="1">
      <x:c r="A1471" s="19" t="str">
        <x:v>W21-20270128-1470</x:v>
      </x:c>
      <x:c r="B1471" s="13" t="n">
        <x:v>21</x:v>
      </x:c>
      <x:c r="C1471" s="13" t="str">
        <x:v>Этап 6 — Перенос навыков, шестёрки и закрепление</x:v>
      </x:c>
      <x:c r="D1471" s="138" t="str">
        <x:v>2027-01-28</x:v>
      </x:c>
      <x:c r="E1471" s="13" t="str">
        <x:v>Четверг</x:v>
      </x:c>
      <x:c r="F1471" s="13" t="str">
        <x:v>Тренировка B — пальцы/проект</x:v>
      </x:c>
      <x:c r="G1471" s="44" t="n">
        <x:v>0.017361111111111112</x:v>
      </x:c>
      <x:c r="H1471" s="44" t="n">
        <x:v>0.019444444444444445</x:v>
      </x:c>
      <x:c r="I1471" s="32" t="n">
        <x:f>ROUND((H1471-G1471)*1440,0)</x:f>
        <x:v>3</x:v>
      </x:c>
      <x:c r="J1471" s="13" t="str">
        <x:v>Фингерборд — готовность</x:v>
      </x:c>
      <x:c r="K1471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471" s="13" t="str">
        <x:v>☐ Не начато</x:v>
      </x:c>
      <x:c r="M1471" s="13" t="str">
        <x:v>Обязательно</x:v>
      </x:c>
      <x:c r="N1471" s="13" t="str">
        <x:v>Подготовка</x:v>
      </x:c>
      <x:c r="O1471" s="13" t="str">
        <x:v>Плечо полностью спокойно; full crimp, карманы, одна рука и допвес запрещены.</x:v>
      </x:c>
      <x:c r="P1471" s="13" t="str">
        <x:v>milestone_06_transfer_and_consolidation/week_21_2027-01-25/04_THURSDAY.md</x:v>
      </x:c>
      <x:c r="Q1471" s="138" t="str">
        <x:v>Markdown</x:v>
      </x:c>
      <x:c r="R1471" s="20" t="str"/>
    </x:row>
    <x:row r="1472" ht="36" customHeight="1">
      <x:c r="A1472" s="19" t="str">
        <x:v>W21-20270128-1471</x:v>
      </x:c>
      <x:c r="B1472" s="13" t="n">
        <x:v>21</x:v>
      </x:c>
      <x:c r="C1472" s="13" t="str">
        <x:v>Этап 6 — Перенос навыков, шестёрки и закрепление</x:v>
      </x:c>
      <x:c r="D1472" s="138" t="str">
        <x:v>2027-01-28</x:v>
      </x:c>
      <x:c r="E1472" s="13" t="str">
        <x:v>Четверг</x:v>
      </x:c>
      <x:c r="F1472" s="13" t="str">
        <x:v>Тренировка B — пальцы/проект</x:v>
      </x:c>
      <x:c r="G1472" s="44" t="n">
        <x:v>0.019444444444444445</x:v>
      </x:c>
      <x:c r="H1472" s="44" t="n">
        <x:v>0.029861111111111113</x:v>
      </x:c>
      <x:c r="I1472" s="32" t="n">
        <x:f>ROUND((H1472-G1472)*1440,0)</x:f>
        <x:v>15</x:v>
      </x:c>
      <x:c r="J1472" s="13" t="str">
        <x:v>Фингерборд</x:v>
      </x:c>
      <x:c r="K1472" s="13" t="str">
        <x:v>Выполни протокол: 5 × 10 сек, ноги помогают, RPE 7–8, отдых 2:30. Запусти таймер. Каждый вис прекращай с указанным запасом; форма кисти не меняется.</x:v>
      </x:c>
      <x:c r="L1472" s="13" t="str">
        <x:v>☐ Не начато</x:v>
      </x:c>
      <x:c r="M1472" s="13" t="str">
        <x:v>Обязательно</x:v>
      </x:c>
      <x:c r="N1472" s="13" t="str">
        <x:v>5 × 10 сек, ноги помогают, RPE 7–8, отдых 2:30</x:v>
      </x:c>
      <x:c r="O1472" s="13" t="str">
        <x:v>Острая боль, дрожь формы, падение RPE-контроля или боль плеча = закончить блок.</x:v>
      </x:c>
      <x:c r="P1472" s="13" t="str">
        <x:v>milestone_06_transfer_and_consolidation/week_21_2027-01-25/04_THURSDAY.md</x:v>
      </x:c>
      <x:c r="Q1472" s="138" t="str">
        <x:v>Markdown</x:v>
      </x:c>
      <x:c r="R1472" s="20" t="str"/>
    </x:row>
    <x:row r="1473" ht="36" customHeight="1">
      <x:c r="A1473" s="19" t="str">
        <x:v>W21-20270128-1472</x:v>
      </x:c>
      <x:c r="B1473" s="13" t="n">
        <x:v>21</x:v>
      </x:c>
      <x:c r="C1473" s="13" t="str">
        <x:v>Этап 6 — Перенос навыков, шестёрки и закрепление</x:v>
      </x:c>
      <x:c r="D1473" s="138" t="str">
        <x:v>2027-01-28</x:v>
      </x:c>
      <x:c r="E1473" s="13" t="str">
        <x:v>Четверг</x:v>
      </x:c>
      <x:c r="F1473" s="13" t="str">
        <x:v>Тренировка B — пальцы/проект</x:v>
      </x:c>
      <x:c r="G1473" s="44" t="n">
        <x:v>0.029861111111111113</x:v>
      </x:c>
      <x:c r="H1473" s="44" t="n">
        <x:v>0.03194444444444444</x:v>
      </x:c>
      <x:c r="I1473" s="32" t="n">
        <x:f>ROUND((H1473-G1473)*1440,0)</x:f>
        <x:v>3</x:v>
      </x:c>
      <x:c r="J1473" s="13" t="str">
        <x:v>Фингерборд — запись</x:v>
      </x:c>
      <x:c r="K1473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473" s="13" t="str">
        <x:v>☐ Не начато</x:v>
      </x:c>
      <x:c r="M1473" s="13" t="str">
        <x:v>Обязательно</x:v>
      </x:c>
      <x:c r="N1473" s="13" t="str">
        <x:v>Без нагрузки</x:v>
      </x:c>
      <x:c r="O1473" s="13" t="str"/>
      <x:c r="P1473" s="13" t="str">
        <x:v>milestone_06_transfer_and_consolidation/week_21_2027-01-25/04_THURSDAY.md</x:v>
      </x:c>
      <x:c r="Q1473" s="138" t="str">
        <x:v>Markdown</x:v>
      </x:c>
      <x:c r="R1473" s="20" t="str"/>
    </x:row>
    <x:row r="1474" ht="36" customHeight="1">
      <x:c r="A1474" s="19" t="str">
        <x:v>W21-20270128-1473</x:v>
      </x:c>
      <x:c r="B1474" s="13" t="n">
        <x:v>21</x:v>
      </x:c>
      <x:c r="C1474" s="13" t="str">
        <x:v>Этап 6 — Перенос навыков, шестёрки и закрепление</x:v>
      </x:c>
      <x:c r="D1474" s="138" t="str">
        <x:v>2027-01-28</x:v>
      </x:c>
      <x:c r="E1474" s="13" t="str">
        <x:v>Четверг</x:v>
      </x:c>
      <x:c r="F1474" s="13" t="str">
        <x:v>Тренировка B — пальцы/проект</x:v>
      </x:c>
      <x:c r="G1474" s="44" t="n">
        <x:v>0.03194444444444444</x:v>
      </x:c>
      <x:c r="H1474" s="44" t="n">
        <x:v>0.035416666666666666</x:v>
      </x:c>
      <x:c r="I1474" s="32" t="n">
        <x:f>ROUND((H1474-G1474)*1440,0)</x:f>
        <x:v>5</x:v>
      </x:c>
      <x:c r="J1474" s="13" t="str">
        <x:v>Отдых</x:v>
      </x:c>
      <x:c r="K1474" s="13" t="str">
        <x:v>5 минут полного отдыха: ходьба, вода, без лазания и без тестового виса.</x:v>
      </x:c>
      <x:c r="L1474" s="13" t="str">
        <x:v>☐ Не начато</x:v>
      </x:c>
      <x:c r="M1474" s="13" t="str">
        <x:v>Обязательно</x:v>
      </x:c>
      <x:c r="N1474" s="13" t="str">
        <x:v>Восстановление</x:v>
      </x:c>
      <x:c r="O1474" s="13" t="str"/>
      <x:c r="P1474" s="13" t="str">
        <x:v>milestone_06_transfer_and_consolidation/week_21_2027-01-25/04_THURSDAY.md</x:v>
      </x:c>
      <x:c r="Q1474" s="138" t="str">
        <x:v>Markdown</x:v>
      </x:c>
      <x:c r="R1474" s="20" t="str"/>
    </x:row>
    <x:row r="1475" ht="36" customHeight="1">
      <x:c r="A1475" s="19" t="str">
        <x:v>W21-20270128-1474</x:v>
      </x:c>
      <x:c r="B1475" s="13" t="n">
        <x:v>21</x:v>
      </x:c>
      <x:c r="C1475" s="13" t="str">
        <x:v>Этап 6 — Перенос навыков, шестёрки и закрепление</x:v>
      </x:c>
      <x:c r="D1475" s="138" t="str">
        <x:v>2027-01-28</x:v>
      </x:c>
      <x:c r="E1475" s="13" t="str">
        <x:v>Четверг</x:v>
      </x:c>
      <x:c r="F1475" s="13" t="str">
        <x:v>Тренировка B — пальцы/проект</x:v>
      </x:c>
      <x:c r="G1475" s="44" t="n">
        <x:v>0.035416666666666666</x:v>
      </x:c>
      <x:c r="H1475" s="44" t="n">
        <x:v>0.03819444444444445</x:v>
      </x:c>
      <x:c r="I1475" s="32" t="n">
        <x:f>ROUND((H1475-G1475)*1440,0)</x:f>
        <x:v>4</x:v>
      </x:c>
      <x:c r="J1475" s="13" t="str">
        <x:v>Выбор проекта</x:v>
      </x:c>
      <x:c r="K1475" s="13" t="str">
        <x:v>Выбери трассу по критериям недели: Пятёрка и шестёрка того же стиля, но без болезненных движений.</x:v>
      </x:c>
      <x:c r="L1475" s="13" t="str">
        <x:v>☐ Не начато</x:v>
      </x:c>
      <x:c r="M1475" s="13" t="str">
        <x:v>Обязательно</x:v>
      </x:c>
      <x:c r="N1475" s="13" t="str">
        <x:v>Без нагрузки</x:v>
      </x:c>
      <x:c r="O1475" s="13" t="str">
        <x:v>Если слабый стиль совпадает с триггером плеча/колена, выбрать второй по слабости, а не провоцировать травму.</x:v>
      </x:c>
      <x:c r="P1475" s="13" t="str">
        <x:v>milestone_06_transfer_and_consolidation/week_21_2027-01-25/04_THURSDAY.md</x:v>
      </x:c>
      <x:c r="Q1475" s="138" t="str">
        <x:v>Markdown</x:v>
      </x:c>
      <x:c r="R1475" s="20" t="str"/>
    </x:row>
    <x:row r="1476" ht="36" customHeight="1">
      <x:c r="A1476" s="19" t="str">
        <x:v>W21-20270128-1475</x:v>
      </x:c>
      <x:c r="B1476" s="13" t="n">
        <x:v>21</x:v>
      </x:c>
      <x:c r="C1476" s="13" t="str">
        <x:v>Этап 6 — Перенос навыков, шестёрки и закрепление</x:v>
      </x:c>
      <x:c r="D1476" s="138" t="str">
        <x:v>2027-01-28</x:v>
      </x:c>
      <x:c r="E1476" s="13" t="str">
        <x:v>Четверг</x:v>
      </x:c>
      <x:c r="F1476" s="13" t="str">
        <x:v>Тренировка B — пальцы/проект</x:v>
      </x:c>
      <x:c r="G1476" s="44" t="n">
        <x:v>0.03819444444444445</x:v>
      </x:c>
      <x:c r="H1476" s="44" t="n">
        <x:v>0.041666666666666664</x:v>
      </x:c>
      <x:c r="I1476" s="32" t="n">
        <x:f>ROUND((H1476-G1476)*1440,0)</x:f>
        <x:v>5</x:v>
      </x:c>
      <x:c r="J1476" s="13" t="str">
        <x:v>Проект — попытка 1</x:v>
      </x:c>
      <x:c r="K1476" s="13" t="str">
        <x:v>Сделай первую полную диагностическую попытку. После падения не повторяй сразу: назови точную причину.</x:v>
      </x:c>
      <x:c r="L1476" s="13" t="str">
        <x:v>☐ Не начато</x:v>
      </x:c>
      <x:c r="M1476" s="13" t="str">
        <x:v>Обязательно</x:v>
      </x:c>
      <x:c r="N1476" s="13" t="str">
        <x:v>RPE 7–8</x:v>
      </x:c>
      <x:c r="O1476" s="13" t="str">
        <x:v>Прекратить движение при боли, а не после падения.</x:v>
      </x:c>
      <x:c r="P1476" s="13" t="str">
        <x:v>milestone_06_transfer_and_consolidation/week_21_2027-01-25/04_THURSDAY.md</x:v>
      </x:c>
      <x:c r="Q1476" s="138" t="str">
        <x:v>Markdown</x:v>
      </x:c>
      <x:c r="R1476" s="20" t="str"/>
    </x:row>
    <x:row r="1477" ht="36" customHeight="1">
      <x:c r="A1477" s="19" t="str">
        <x:v>W21-20270128-1476</x:v>
      </x:c>
      <x:c r="B1477" s="13" t="n">
        <x:v>21</x:v>
      </x:c>
      <x:c r="C1477" s="13" t="str">
        <x:v>Этап 6 — Перенос навыков, шестёрки и закрепление</x:v>
      </x:c>
      <x:c r="D1477" s="138" t="str">
        <x:v>2027-01-28</x:v>
      </x:c>
      <x:c r="E1477" s="13" t="str">
        <x:v>Четверг</x:v>
      </x:c>
      <x:c r="F1477" s="13" t="str">
        <x:v>Тренировка B — пальцы/проект</x:v>
      </x:c>
      <x:c r="G1477" s="44" t="n">
        <x:v>0.041666666666666664</x:v>
      </x:c>
      <x:c r="H1477" s="44" t="n">
        <x:v>0.04513888888888889</x:v>
      </x:c>
      <x:c r="I1477" s="32" t="n">
        <x:f>ROUND((H1477-G1477)*1440,0)</x:f>
        <x:v>5</x:v>
      </x:c>
      <x:c r="J1477" s="13" t="str">
        <x:v>Отдых / гипотеза</x:v>
      </x:c>
      <x:c r="K1477" s="13" t="str">
        <x:v>Отдых 4–5 минут. Запиши одну гипотезу: стопа, положение таза, хват или темп.</x:v>
      </x:c>
      <x:c r="L1477" s="13" t="str">
        <x:v>☐ Не начато</x:v>
      </x:c>
      <x:c r="M1477" s="13" t="str">
        <x:v>Обязательно</x:v>
      </x:c>
      <x:c r="N1477" s="13" t="str">
        <x:v>Восстановление</x:v>
      </x:c>
      <x:c r="O1477" s="13" t="str"/>
      <x:c r="P1477" s="13" t="str">
        <x:v>milestone_06_transfer_and_consolidation/week_21_2027-01-25/04_THURSDAY.md</x:v>
      </x:c>
      <x:c r="Q1477" s="138" t="str">
        <x:v>Markdown</x:v>
      </x:c>
      <x:c r="R1477" s="20" t="str"/>
    </x:row>
    <x:row r="1478" ht="36" customHeight="1">
      <x:c r="A1478" s="19" t="str">
        <x:v>W21-20270128-1477</x:v>
      </x:c>
      <x:c r="B1478" s="13" t="n">
        <x:v>21</x:v>
      </x:c>
      <x:c r="C1478" s="13" t="str">
        <x:v>Этап 6 — Перенос навыков, шестёрки и закрепление</x:v>
      </x:c>
      <x:c r="D1478" s="138" t="str">
        <x:v>2027-01-28</x:v>
      </x:c>
      <x:c r="E1478" s="13" t="str">
        <x:v>Четверг</x:v>
      </x:c>
      <x:c r="F1478" s="13" t="str">
        <x:v>Тренировка B — пальцы/проект</x:v>
      </x:c>
      <x:c r="G1478" s="44" t="n">
        <x:v>0.04513888888888889</x:v>
      </x:c>
      <x:c r="H1478" s="44" t="n">
        <x:v>0.049305555555555554</x:v>
      </x:c>
      <x:c r="I1478" s="32" t="n">
        <x:f>ROUND((H1478-G1478)*1440,0)</x:f>
        <x:v>6</x:v>
      </x:c>
      <x:c r="J1478" s="13" t="str">
        <x:v>Проект — попытки 2–3</x:v>
      </x:c>
      <x:c r="K1478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478" s="13" t="str">
        <x:v>☐ Не начато</x:v>
      </x:c>
      <x:c r="M1478" s="13" t="str">
        <x:v>Обязательно</x:v>
      </x:c>
      <x:c r="N1478" s="13" t="str">
        <x:v>RPE 7–8, без отказа</x:v>
      </x:c>
      <x:c r="O1478" s="13" t="str">
        <x:v>Не смотреть beta заранее: сначала собственная гипотеза.</x:v>
      </x:c>
      <x:c r="P1478" s="13" t="str">
        <x:v>milestone_06_transfer_and_consolidation/week_21_2027-01-25/04_THURSDAY.md</x:v>
      </x:c>
      <x:c r="Q1478" s="138" t="str">
        <x:v>Markdown</x:v>
      </x:c>
      <x:c r="R1478" s="20" t="str"/>
    </x:row>
    <x:row r="1479" ht="36" customHeight="1">
      <x:c r="A1479" s="19" t="str">
        <x:v>W21-20270128-1478</x:v>
      </x:c>
      <x:c r="B1479" s="13" t="n">
        <x:v>21</x:v>
      </x:c>
      <x:c r="C1479" s="13" t="str">
        <x:v>Этап 6 — Перенос навыков, шестёрки и закрепление</x:v>
      </x:c>
      <x:c r="D1479" s="138" t="str">
        <x:v>2027-01-28</x:v>
      </x:c>
      <x:c r="E1479" s="13" t="str">
        <x:v>Четверг</x:v>
      </x:c>
      <x:c r="F1479" s="13" t="str">
        <x:v>Тренировка B — пальцы/проект</x:v>
      </x:c>
      <x:c r="G1479" s="44" t="n">
        <x:v>0.049305555555555554</x:v>
      </x:c>
      <x:c r="H1479" s="44" t="n">
        <x:v>0.05277777777777778</x:v>
      </x:c>
      <x:c r="I1479" s="32" t="n">
        <x:f>ROUND((H1479-G1479)*1440,0)</x:f>
        <x:v>5</x:v>
      </x:c>
      <x:c r="J1479" s="13" t="str">
        <x:v>Проект — заключительная попытка</x:v>
      </x:c>
      <x:c r="K1479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479" s="13" t="str">
        <x:v>☐ Не начато</x:v>
      </x:c>
      <x:c r="M1479" s="13" t="str">
        <x:v>Обязательно</x:v>
      </x:c>
      <x:c r="N1479" s="13" t="str">
        <x:v>RPE 8, с запасом</x:v>
      </x:c>
      <x:c r="O1479" s="13" t="str">
        <x:v>Если слабый стиль совпадает с триггером плеча/колена, выбрать второй по слабости, а не провоцировать травму.</x:v>
      </x:c>
      <x:c r="P1479" s="13" t="str">
        <x:v>milestone_06_transfer_and_consolidation/week_21_2027-01-25/04_THURSDAY.md</x:v>
      </x:c>
      <x:c r="Q1479" s="138" t="str">
        <x:v>Markdown</x:v>
      </x:c>
      <x:c r="R1479" s="20" t="str"/>
    </x:row>
    <x:row r="1480" ht="36" customHeight="1">
      <x:c r="A1480" s="19" t="str">
        <x:v>W21-20270128-1479</x:v>
      </x:c>
      <x:c r="B1480" s="13" t="n">
        <x:v>21</x:v>
      </x:c>
      <x:c r="C1480" s="13" t="str">
        <x:v>Этап 6 — Перенос навыков, шестёрки и закрепление</x:v>
      </x:c>
      <x:c r="D1480" s="138" t="str">
        <x:v>2027-01-28</x:v>
      </x:c>
      <x:c r="E1480" s="13" t="str">
        <x:v>Четверг</x:v>
      </x:c>
      <x:c r="F1480" s="13" t="str">
        <x:v>Тренировка B — пальцы/проект</x:v>
      </x:c>
      <x:c r="G1480" s="44" t="n">
        <x:v>0.05277777777777778</x:v>
      </x:c>
      <x:c r="H1480" s="44" t="n">
        <x:v>0.05763888888888889</x:v>
      </x:c>
      <x:c r="I1480" s="32" t="n">
        <x:f>ROUND((H1480-G1480)*1440,0)</x:f>
        <x:v>7</x:v>
      </x:c>
      <x:c r="J1480" s="13" t="str">
        <x:v>Вторичная трасса</x:v>
      </x:c>
      <x:c r="K1480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480" s="13" t="str">
        <x:v>☐ Не начато</x:v>
      </x:c>
      <x:c r="M1480" s="13" t="str">
        <x:v>Обязательно</x:v>
      </x:c>
      <x:c r="N1480" s="13" t="str">
        <x:v>RPE 5–7</x:v>
      </x:c>
      <x:c r="O1480" s="13" t="str">
        <x:v>Пропустить, если хват уже просел.</x:v>
      </x:c>
      <x:c r="P1480" s="13" t="str">
        <x:v>milestone_06_transfer_and_consolidation/week_21_2027-01-25/04_THURSDAY.md</x:v>
      </x:c>
      <x:c r="Q1480" s="138" t="str">
        <x:v>Markdown</x:v>
      </x:c>
      <x:c r="R1480" s="20" t="str"/>
    </x:row>
    <x:row r="1481" ht="36" customHeight="1">
      <x:c r="A1481" s="19" t="str">
        <x:v>W21-20270128-1480</x:v>
      </x:c>
      <x:c r="B1481" s="13" t="n">
        <x:v>21</x:v>
      </x:c>
      <x:c r="C1481" s="13" t="str">
        <x:v>Этап 6 — Перенос навыков, шестёрки и закрепление</x:v>
      </x:c>
      <x:c r="D1481" s="138" t="str">
        <x:v>2027-01-28</x:v>
      </x:c>
      <x:c r="E1481" s="13" t="str">
        <x:v>Четверг</x:v>
      </x:c>
      <x:c r="F1481" s="13" t="str">
        <x:v>Тренировка B — пальцы/проект</x:v>
      </x:c>
      <x:c r="G1481" s="44" t="n">
        <x:v>0.05763888888888889</x:v>
      </x:c>
      <x:c r="H1481" s="44" t="n">
        <x:v>0.06041666666666667</x:v>
      </x:c>
      <x:c r="I1481" s="32" t="n">
        <x:f>ROUND((H1481-G1481)*1440,0)</x:f>
        <x:v>4</x:v>
      </x:c>
      <x:c r="J1481" s="13" t="str">
        <x:v>Завершение</x:v>
      </x:c>
      <x:c r="K1481" s="13" t="str">
        <x:v>Очень лёгкий спуск/ходьба, вода, никаких финишных висов.</x:v>
      </x:c>
      <x:c r="L1481" s="13" t="str">
        <x:v>☐ Не начато</x:v>
      </x:c>
      <x:c r="M1481" s="13" t="str">
        <x:v>Обязательно</x:v>
      </x:c>
      <x:c r="N1481" s="13" t="str">
        <x:v>RPE 1–2</x:v>
      </x:c>
      <x:c r="O1481" s="13" t="str"/>
      <x:c r="P1481" s="13" t="str">
        <x:v>milestone_06_transfer_and_consolidation/week_21_2027-01-25/04_THURSDAY.md</x:v>
      </x:c>
      <x:c r="Q1481" s="138" t="str">
        <x:v>Markdown</x:v>
      </x:c>
      <x:c r="R1481" s="20" t="str"/>
    </x:row>
    <x:row r="1482" ht="36" customHeight="1">
      <x:c r="A1482" s="19" t="str">
        <x:v>W21-20270128-1481</x:v>
      </x:c>
      <x:c r="B1482" s="13" t="n">
        <x:v>21</x:v>
      </x:c>
      <x:c r="C1482" s="13" t="str">
        <x:v>Этап 6 — Перенос навыков, шестёрки и закрепление</x:v>
      </x:c>
      <x:c r="D1482" s="138" t="str">
        <x:v>2027-01-28</x:v>
      </x:c>
      <x:c r="E1482" s="13" t="str">
        <x:v>Четверг</x:v>
      </x:c>
      <x:c r="F1482" s="13" t="str">
        <x:v>Тренировка B — пальцы/проект</x:v>
      </x:c>
      <x:c r="G1482" s="44" t="n">
        <x:v>0.06041666666666667</x:v>
      </x:c>
      <x:c r="H1482" s="44" t="n">
        <x:v>0.0625</x:v>
      </x:c>
      <x:c r="I1482" s="32" t="n">
        <x:f>ROUND((H1482-G1482)*1440,0)</x:f>
        <x:v>3</x:v>
      </x:c>
      <x:c r="J1482" s="13" t="str">
        <x:v>Журнал</x:v>
      </x:c>
      <x:c r="K1482" s="13" t="str">
        <x:v>Запиши попытки, лучшую связку, одну правку и benchmark: Определить 1 технический cue, который сильнее всего улучшает слабый стиль.</x:v>
      </x:c>
      <x:c r="L1482" s="13" t="str">
        <x:v>☐ Не начато</x:v>
      </x:c>
      <x:c r="M1482" s="13" t="str">
        <x:v>Обязательно</x:v>
      </x:c>
      <x:c r="N1482" s="13" t="str">
        <x:v>Без нагрузки</x:v>
      </x:c>
      <x:c r="O1482" s="13" t="str"/>
      <x:c r="P1482" s="13" t="str">
        <x:v>milestone_06_transfer_and_consolidation/week_21_2027-01-25/04_THURSDAY.md</x:v>
      </x:c>
      <x:c r="Q1482" s="138" t="str">
        <x:v>Markdown</x:v>
      </x:c>
      <x:c r="R1482" s="20" t="str"/>
    </x:row>
    <x:row r="1483" ht="36" customHeight="1">
      <x:c r="A1483" s="19" t="str">
        <x:v>W21-20270129-1482</x:v>
      </x:c>
      <x:c r="B1483" s="13" t="n">
        <x:v>21</x:v>
      </x:c>
      <x:c r="C1483" s="13" t="str">
        <x:v>Этап 6 — Перенос навыков, шестёрки и закрепление</x:v>
      </x:c>
      <x:c r="D1483" s="138" t="str">
        <x:v>2027-01-29</x:v>
      </x:c>
      <x:c r="E1483" s="13" t="str">
        <x:v>Пятница</x:v>
      </x:c>
      <x:c r="F1483" s="13" t="str">
        <x:v>Дом / теория</x:v>
      </x:c>
      <x:c r="G1483" s="44" t="n">
        <x:v>0</x:v>
      </x:c>
      <x:c r="H1483" s="44" t="n">
        <x:v>0.0020833333333333333</x:v>
      </x:c>
      <x:c r="I1483" s="32" t="n">
        <x:f>ROUND((H1483-G1483)*1440,0)</x:f>
        <x:v>3</x:v>
      </x:c>
      <x:c r="J1483" s="13" t="str">
        <x:v>Самопроверка</x:v>
      </x:c>
      <x:c r="K1483" s="13" t="str">
        <x:v>Оцени утреннюю реакцию после четверга: пальцы/плечо/колено 0–10. Запиши, восстановилась ли обычная сила кисти.</x:v>
      </x:c>
      <x:c r="L1483" s="13" t="str">
        <x:v>☐ Не начато</x:v>
      </x:c>
      <x:c r="M1483" s="13" t="str">
        <x:v>Обязательно</x:v>
      </x:c>
      <x:c r="N1483" s="13" t="str">
        <x:v>Без нагрузки</x:v>
      </x:c>
      <x:c r="O1483" s="13" t="str">
        <x:v>Острая локальная боль пальца или усилившаяся боль плеча = воскресенье только восстановительное.</x:v>
      </x:c>
      <x:c r="P1483" s="13" t="str">
        <x:v>milestone_06_transfer_and_consolidation/week_21_2027-01-25/05_FRIDAY.md</x:v>
      </x:c>
      <x:c r="Q1483" s="138" t="str">
        <x:v>Markdown</x:v>
      </x:c>
      <x:c r="R1483" s="20" t="str"/>
    </x:row>
    <x:row r="1484" ht="36" customHeight="1">
      <x:c r="A1484" s="19" t="str">
        <x:v>W21-20270129-1483</x:v>
      </x:c>
      <x:c r="B1484" s="13" t="n">
        <x:v>21</x:v>
      </x:c>
      <x:c r="C1484" s="13" t="str">
        <x:v>Этап 6 — Перенос навыков, шестёрки и закрепление</x:v>
      </x:c>
      <x:c r="D1484" s="138" t="str">
        <x:v>2027-01-29</x:v>
      </x:c>
      <x:c r="E1484" s="13" t="str">
        <x:v>Пятница</x:v>
      </x:c>
      <x:c r="F1484" s="13" t="str">
        <x:v>Дом / теория</x:v>
      </x:c>
      <x:c r="G1484" s="44" t="n">
        <x:v>0.0020833333333333333</x:v>
      </x:c>
      <x:c r="H1484" s="44" t="n">
        <x:v>0.007638888888888889</x:v>
      </x:c>
      <x:c r="I1484" s="32" t="n">
        <x:f>ROUND((H1484-G1484)*1440,0)</x:f>
        <x:v>8</x:v>
      </x:c>
      <x:c r="J1484" s="13" t="str">
        <x:v>Теория</x:v>
      </x:c>
      <x:c r="K1484" s="13" t="str">
        <x:v>Пересмотри ключевой фрагмент ресурса недели: [R19: Berta Block — Trust your Feet](https://www.bertablock.de/trust-your-feet). Задача: Темы: heel/toe hook, silent feet, foot swap и bicycle; проверить, подходит ли текущий уровень.</x:v>
      </x:c>
      <x:c r="L1484" s="13" t="str">
        <x:v>☐ Не начато</x:v>
      </x:c>
      <x:c r="M1484" s="13" t="str">
        <x:v>Обязательно</x:v>
      </x:c>
      <x:c r="N1484" s="13" t="str">
        <x:v>Без нагрузки</x:v>
      </x:c>
      <x:c r="O1484" s="13" t="str"/>
      <x:c r="P1484" s="13" t="str">
        <x:v>milestone_06_transfer_and_consolidation/week_21_2027-01-25/05_FRIDAY.md</x:v>
      </x:c>
      <x:c r="Q1484" s="138" t="str">
        <x:v>Markdown</x:v>
      </x:c>
      <x:c r="R1484" s="20" t="str"/>
    </x:row>
    <x:row r="1485" ht="36" customHeight="1">
      <x:c r="A1485" s="19" t="str">
        <x:v>W21-20270129-1484</x:v>
      </x:c>
      <x:c r="B1485" s="13" t="n">
        <x:v>21</x:v>
      </x:c>
      <x:c r="C1485" s="13" t="str">
        <x:v>Этап 6 — Перенос навыков, шестёрки и закрепление</x:v>
      </x:c>
      <x:c r="D1485" s="138" t="str">
        <x:v>2027-01-29</x:v>
      </x:c>
      <x:c r="E1485" s="13" t="str">
        <x:v>Пятница</x:v>
      </x:c>
      <x:c r="F1485" s="13" t="str">
        <x:v>Дом / теория</x:v>
      </x:c>
      <x:c r="G1485" s="44" t="n">
        <x:v>0.007638888888888889</x:v>
      </x:c>
      <x:c r="H1485" s="44" t="n">
        <x:v>0.011805555555555555</x:v>
      </x:c>
      <x:c r="I1485" s="32" t="n">
        <x:f>ROUND((H1485-G1485)*1440,0)</x:f>
        <x:v>6</x:v>
      </x:c>
      <x:c r="J1485" s="13" t="str">
        <x:v>Ментальная репетиция</x:v>
      </x:c>
      <x:c r="K1485" s="13" t="str">
        <x:v>Закрой глаза и 3 раза мысленно пройди одну рабочую трассу: руки → ноги → положение таза → дыхание. Визуализируй cue «На лёгких трассах слабого стиля тренируй навык; на сложных — не превращай каждую попытку в борьбу.».</x:v>
      </x:c>
      <x:c r="L1485" s="13" t="str">
        <x:v>☐ Не начато</x:v>
      </x:c>
      <x:c r="M1485" s="13" t="str">
        <x:v>Обязательно</x:v>
      </x:c>
      <x:c r="N1485" s="13" t="str">
        <x:v>Без нагрузки</x:v>
      </x:c>
      <x:c r="O1485" s="13" t="str"/>
      <x:c r="P1485" s="13" t="str">
        <x:v>milestone_06_transfer_and_consolidation/week_21_2027-01-25/05_FRIDAY.md</x:v>
      </x:c>
      <x:c r="Q1485" s="138" t="str">
        <x:v>Markdown</x:v>
      </x:c>
      <x:c r="R1485" s="20" t="str"/>
    </x:row>
    <x:row r="1486" ht="36" customHeight="1">
      <x:c r="A1486" s="19" t="str">
        <x:v>W21-20270129-1485</x:v>
      </x:c>
      <x:c r="B1486" s="13" t="n">
        <x:v>21</x:v>
      </x:c>
      <x:c r="C1486" s="13" t="str">
        <x:v>Этап 6 — Перенос навыков, шестёрки и закрепление</x:v>
      </x:c>
      <x:c r="D1486" s="138" t="str">
        <x:v>2027-01-29</x:v>
      </x:c>
      <x:c r="E1486" s="13" t="str">
        <x:v>Пятница</x:v>
      </x:c>
      <x:c r="F1486" s="13" t="str">
        <x:v>Дом / теория</x:v>
      </x:c>
      <x:c r="G1486" s="44" t="n">
        <x:v>0.011805555555555555</x:v>
      </x:c>
      <x:c r="H1486" s="44" t="n">
        <x:v>0.02013888888888889</x:v>
      </x:c>
      <x:c r="I1486" s="32" t="n">
        <x:f>ROUND((H1486-G1486)*1440,0)</x:f>
        <x:v>12</x:v>
      </x:c>
      <x:c r="J1486" s="13" t="str">
        <x:v>Домашняя мобильность</x:v>
      </x:c>
      <x:c r="K1486" s="13" t="str">
        <x:v>Выполни H3 «Мобильность таза и контроль корпуса» — 12 минут.</x:v>
      </x:c>
      <x:c r="L1486" s="13" t="str">
        <x:v>☐ Не начато</x:v>
      </x:c>
      <x:c r="M1486" s="13" t="str">
        <x:v>Обязательно</x:v>
      </x:c>
      <x:c r="N1486" s="13" t="str">
        <x:v>RPE 2–3</x:v>
      </x:c>
      <x:c r="O1486" s="13" t="str">
        <x:v>Никаких скручиваний через боль. Плечом не отталкивайся от стены; касание только для равновесия.</x:v>
      </x:c>
      <x:c r="P1486" s="13" t="str">
        <x:v>milestone_06_transfer_and_consolidation/week_21_2027-01-25/05_FRIDAY.md</x:v>
      </x:c>
      <x:c r="Q1486" s="138" t="str">
        <x:v>Markdown</x:v>
      </x:c>
      <x:c r="R1486" s="20" t="str"/>
    </x:row>
    <x:row r="1487" ht="36" customHeight="1">
      <x:c r="A1487" s="19" t="str">
        <x:v>W21-20270129-1486</x:v>
      </x:c>
      <x:c r="B1487" s="13" t="n">
        <x:v>21</x:v>
      </x:c>
      <x:c r="C1487" s="13" t="str">
        <x:v>Этап 6 — Перенос навыков, шестёрки и закрепление</x:v>
      </x:c>
      <x:c r="D1487" s="138" t="str">
        <x:v>2027-01-29</x:v>
      </x:c>
      <x:c r="E1487" s="13" t="str">
        <x:v>Пятница</x:v>
      </x:c>
      <x:c r="F1487" s="13" t="str">
        <x:v>Дом / теория</x:v>
      </x:c>
      <x:c r="G1487" s="44" t="n">
        <x:v>0.02013888888888889</x:v>
      </x:c>
      <x:c r="H1487" s="44" t="n">
        <x:v>0.034027777777777775</x:v>
      </x:c>
      <x:c r="I1487" s="32" t="n">
        <x:f>ROUND((H1487-G1487)*1440,0)</x:f>
        <x:v>20</x:v>
      </x:c>
      <x:c r="J1487" s="13" t="str">
        <x:v>Физиотерапия</x:v>
      </x:c>
      <x:c r="K1487" s="13" t="str">
        <x:v>Выполни свой назначенный комплекс, если пятница входит в расписание физиотерапевта.</x:v>
      </x:c>
      <x:c r="L1487" s="13" t="str">
        <x:v>☐ Не начато</x:v>
      </x:c>
      <x:c r="M1487" s="13" t="str">
        <x:v>По назначению</x:v>
      </x:c>
      <x:c r="N1487" s="13" t="str">
        <x:v>По назначению</x:v>
      </x:c>
      <x:c r="O1487" s="13" t="str">
        <x:v>Не добавляй упражнения из интернета поверх назначений.</x:v>
      </x:c>
      <x:c r="P1487" s="13" t="str">
        <x:v>milestone_06_transfer_and_consolidation/week_21_2027-01-25/05_FRIDAY.md</x:v>
      </x:c>
      <x:c r="Q1487" s="138" t="str">
        <x:v>Markdown</x:v>
      </x:c>
      <x:c r="R1487" s="20" t="str"/>
    </x:row>
    <x:row r="1488" ht="36" customHeight="1">
      <x:c r="A1488" s="19" t="str">
        <x:v>W21-20270129-1487</x:v>
      </x:c>
      <x:c r="B1488" s="13" t="n">
        <x:v>21</x:v>
      </x:c>
      <x:c r="C1488" s="13" t="str">
        <x:v>Этап 6 — Перенос навыков, шестёрки и закрепление</x:v>
      </x:c>
      <x:c r="D1488" s="138" t="str">
        <x:v>2027-01-29</x:v>
      </x:c>
      <x:c r="E1488" s="13" t="str">
        <x:v>Пятница</x:v>
      </x:c>
      <x:c r="F1488" s="13" t="str">
        <x:v>Дом / теория</x:v>
      </x:c>
      <x:c r="G1488" s="44" t="n">
        <x:v>0.034027777777777775</x:v>
      </x:c>
      <x:c r="H1488" s="44" t="n">
        <x:v>0.03680555555555556</x:v>
      </x:c>
      <x:c r="I1488" s="32" t="n">
        <x:f>ROUND((H1488-G1488)*1440,0)</x:f>
        <x:v>4</x:v>
      </x:c>
      <x:c r="J1488" s="13" t="str">
        <x:v>Журнал</x:v>
      </x:c>
      <x:c r="K1488" s="13" t="str">
        <x:v>Запиши одну вещь, которая сработала на этой неделе, и одну, которую повторишь в воскресенье на лёгкой трассе.</x:v>
      </x:c>
      <x:c r="L1488" s="13" t="str">
        <x:v>☐ Не начато</x:v>
      </x:c>
      <x:c r="M1488" s="13" t="str">
        <x:v>Обязательно</x:v>
      </x:c>
      <x:c r="N1488" s="13" t="str">
        <x:v>Без нагрузки</x:v>
      </x:c>
      <x:c r="O1488" s="13" t="str"/>
      <x:c r="P1488" s="13" t="str">
        <x:v>milestone_06_transfer_and_consolidation/week_21_2027-01-25/05_FRIDAY.md</x:v>
      </x:c>
      <x:c r="Q1488" s="138" t="str">
        <x:v>Markdown</x:v>
      </x:c>
      <x:c r="R1488" s="20" t="str"/>
    </x:row>
    <x:row r="1489" ht="36" customHeight="1">
      <x:c r="A1489" s="19" t="str">
        <x:v>W21-20270129-1488</x:v>
      </x:c>
      <x:c r="B1489" s="13" t="n">
        <x:v>21</x:v>
      </x:c>
      <x:c r="C1489" s="13" t="str">
        <x:v>Этап 6 — Перенос навыков, шестёрки и закрепление</x:v>
      </x:c>
      <x:c r="D1489" s="138" t="str">
        <x:v>2027-01-29</x:v>
      </x:c>
      <x:c r="E1489" s="13" t="str">
        <x:v>Пятница</x:v>
      </x:c>
      <x:c r="F1489" s="13" t="str">
        <x:v>Дом / теория</x:v>
      </x:c>
      <x:c r="G1489" s="44" t="n">
        <x:v>0.03680555555555556</x:v>
      </x:c>
      <x:c r="H1489" s="44" t="n">
        <x:v>0.03888888888888889</x:v>
      </x:c>
      <x:c r="I1489" s="32" t="n">
        <x:f>ROUND((H1489-G1489)*1440,0)</x:f>
        <x:v>3</x:v>
      </x:c>
      <x:c r="J1489" s="13" t="str">
        <x:v>Запрет лишней нагрузки</x:v>
      </x:c>
      <x:c r="K1489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489" s="13" t="str">
        <x:v>☐ Не начато</x:v>
      </x:c>
      <x:c r="M1489" s="13" t="str">
        <x:v>Обязательно</x:v>
      </x:c>
      <x:c r="N1489" s="13" t="str">
        <x:v>Восстановление</x:v>
      </x:c>
      <x:c r="O1489" s="13" t="str">
        <x:v>Общая пальцевая нагрузка уже получена в четверг.</x:v>
      </x:c>
      <x:c r="P1489" s="13" t="str">
        <x:v>milestone_06_transfer_and_consolidation/week_21_2027-01-25/05_FRIDAY.md</x:v>
      </x:c>
      <x:c r="Q1489" s="138" t="str">
        <x:v>Markdown</x:v>
      </x:c>
      <x:c r="R1489" s="20" t="str"/>
    </x:row>
    <x:row r="1490" ht="36" customHeight="1">
      <x:c r="A1490" s="19" t="str">
        <x:v>W21-20270130-1489</x:v>
      </x:c>
      <x:c r="B1490" s="13" t="n">
        <x:v>21</x:v>
      </x:c>
      <x:c r="C1490" s="13" t="str">
        <x:v>Этап 6 — Перенос навыков, шестёрки и закрепление</x:v>
      </x:c>
      <x:c r="D1490" s="138" t="str">
        <x:v>2027-01-30</x:v>
      </x:c>
      <x:c r="E1490" s="13" t="str">
        <x:v>Суббота</x:v>
      </x:c>
      <x:c r="F1490" s="13" t="str">
        <x:v>Отдых / подготовка</x:v>
      </x:c>
      <x:c r="G1490" s="44" t="n">
        <x:v>0</x:v>
      </x:c>
      <x:c r="H1490" s="44" t="n">
        <x:v>0.003472222222222222</x:v>
      </x:c>
      <x:c r="I1490" s="32" t="n">
        <x:f>ROUND((H1490-G1490)*1440,0)</x:f>
        <x:v>5</x:v>
      </x:c>
      <x:c r="J1490" s="13" t="str">
        <x:v>Самопроверка</x:v>
      </x:c>
      <x:c r="K1490" s="13" t="str">
        <x:v>Проверь кожу пальцев, ногти, плечо и колено. Никаких тестовых висов.</x:v>
      </x:c>
      <x:c r="L1490" s="13" t="str">
        <x:v>☐ Не начато</x:v>
      </x:c>
      <x:c r="M1490" s="13" t="str">
        <x:v>Обязательно</x:v>
      </x:c>
      <x:c r="N1490" s="13" t="str">
        <x:v>Восстановление</x:v>
      </x:c>
      <x:c r="O1490" s="13" t="str"/>
      <x:c r="P1490" s="13" t="str">
        <x:v>milestone_06_transfer_and_consolidation/week_21_2027-01-25/06_SATURDAY.md</x:v>
      </x:c>
      <x:c r="Q1490" s="138" t="str">
        <x:v>Markdown</x:v>
      </x:c>
      <x:c r="R1490" s="20" t="str"/>
    </x:row>
    <x:row r="1491" ht="36" customHeight="1">
      <x:c r="A1491" s="19" t="str">
        <x:v>W21-20270130-1490</x:v>
      </x:c>
      <x:c r="B1491" s="13" t="n">
        <x:v>21</x:v>
      </x:c>
      <x:c r="C1491" s="13" t="str">
        <x:v>Этап 6 — Перенос навыков, шестёрки и закрепление</x:v>
      </x:c>
      <x:c r="D1491" s="138" t="str">
        <x:v>2027-01-30</x:v>
      </x:c>
      <x:c r="E1491" s="13" t="str">
        <x:v>Суббота</x:v>
      </x:c>
      <x:c r="F1491" s="13" t="str">
        <x:v>Отдых / подготовка</x:v>
      </x:c>
      <x:c r="G1491" s="44" t="n">
        <x:v>0.003472222222222222</x:v>
      </x:c>
      <x:c r="H1491" s="44" t="n">
        <x:v>0.010416666666666666</x:v>
      </x:c>
      <x:c r="I1491" s="32" t="n">
        <x:f>ROUND((H1491-G1491)*1440,0)</x:f>
        <x:v>10</x:v>
      </x:c>
      <x:c r="J1491" s="13" t="str">
        <x:v>Активное восстановление</x:v>
      </x:c>
      <x:c r="K1491" s="13" t="str">
        <x:v>10 минут лёгкой прогулки или бытовой активности. Цель — восстановление, не тренировка.</x:v>
      </x:c>
      <x:c r="L1491" s="13" t="str">
        <x:v>☐ Не начато</x:v>
      </x:c>
      <x:c r="M1491" s="13" t="str">
        <x:v>Обязательно</x:v>
      </x:c>
      <x:c r="N1491" s="13" t="str">
        <x:v>RPE 1–2</x:v>
      </x:c>
      <x:c r="O1491" s="13" t="str"/>
      <x:c r="P1491" s="13" t="str">
        <x:v>milestone_06_transfer_and_consolidation/week_21_2027-01-25/06_SATURDAY.md</x:v>
      </x:c>
      <x:c r="Q1491" s="138" t="str">
        <x:v>Markdown</x:v>
      </x:c>
      <x:c r="R1491" s="20" t="str"/>
    </x:row>
    <x:row r="1492" ht="36" customHeight="1">
      <x:c r="A1492" s="19" t="str">
        <x:v>W21-20270130-1491</x:v>
      </x:c>
      <x:c r="B1492" s="13" t="n">
        <x:v>21</x:v>
      </x:c>
      <x:c r="C1492" s="13" t="str">
        <x:v>Этап 6 — Перенос навыков, шестёрки и закрепление</x:v>
      </x:c>
      <x:c r="D1492" s="138" t="str">
        <x:v>2027-01-30</x:v>
      </x:c>
      <x:c r="E1492" s="13" t="str">
        <x:v>Суббота</x:v>
      </x:c>
      <x:c r="F1492" s="13" t="str">
        <x:v>Отдых / подготовка</x:v>
      </x:c>
      <x:c r="G1492" s="44" t="n">
        <x:v>0.010416666666666666</x:v>
      </x:c>
      <x:c r="H1492" s="44" t="n">
        <x:v>0.013888888888888888</x:v>
      </x:c>
      <x:c r="I1492" s="32" t="n">
        <x:f>ROUND((H1492-G1492)*1440,0)</x:f>
        <x:v>5</x:v>
      </x:c>
      <x:c r="J1492" s="13" t="str">
        <x:v>Уход за кожей</x:v>
      </x:c>
      <x:c r="K1492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492" s="13" t="str">
        <x:v>☐ Не начато</x:v>
      </x:c>
      <x:c r="M1492" s="13" t="str">
        <x:v>Опционально</x:v>
      </x:c>
      <x:c r="N1492" s="13" t="str">
        <x:v>Без нагрузки</x:v>
      </x:c>
      <x:c r="O1492" s="13" t="str">
        <x:v>Повреждённую/болезненную кожу не шлифовать.</x:v>
      </x:c>
      <x:c r="P1492" s="13" t="str">
        <x:v>milestone_06_transfer_and_consolidation/week_21_2027-01-25/06_SATURDAY.md</x:v>
      </x:c>
      <x:c r="Q1492" s="138" t="str">
        <x:v>Markdown</x:v>
      </x:c>
      <x:c r="R1492" s="20" t="str"/>
    </x:row>
    <x:row r="1493" ht="36" customHeight="1">
      <x:c r="A1493" s="19" t="str">
        <x:v>W21-20270130-1492</x:v>
      </x:c>
      <x:c r="B1493" s="13" t="n">
        <x:v>21</x:v>
      </x:c>
      <x:c r="C1493" s="13" t="str">
        <x:v>Этап 6 — Перенос навыков, шестёрки и закрепление</x:v>
      </x:c>
      <x:c r="D1493" s="138" t="str">
        <x:v>2027-01-30</x:v>
      </x:c>
      <x:c r="E1493" s="13" t="str">
        <x:v>Суббота</x:v>
      </x:c>
      <x:c r="F1493" s="13" t="str">
        <x:v>Отдых / подготовка</x:v>
      </x:c>
      <x:c r="G1493" s="44" t="n">
        <x:v>0.013888888888888888</x:v>
      </x:c>
      <x:c r="H1493" s="44" t="n">
        <x:v>0.016666666666666666</x:v>
      </x:c>
      <x:c r="I1493" s="32" t="n">
        <x:f>ROUND((H1493-G1493)*1440,0)</x:f>
        <x:v>4</x:v>
      </x:c>
      <x:c r="J1493" s="13" t="str">
        <x:v>Подготовка</x:v>
      </x:c>
      <x:c r="K1493" s="13" t="str">
        <x:v>Заряди телефон, освободи память для одного видео, положи щётку и магнезию.</x:v>
      </x:c>
      <x:c r="L1493" s="13" t="str">
        <x:v>☐ Не начато</x:v>
      </x:c>
      <x:c r="M1493" s="13" t="str">
        <x:v>Обязательно</x:v>
      </x:c>
      <x:c r="N1493" s="13" t="str">
        <x:v>Без нагрузки</x:v>
      </x:c>
      <x:c r="O1493" s="13" t="str"/>
      <x:c r="P1493" s="13" t="str">
        <x:v>milestone_06_transfer_and_consolidation/week_21_2027-01-25/06_SATURDAY.md</x:v>
      </x:c>
      <x:c r="Q1493" s="138" t="str">
        <x:v>Markdown</x:v>
      </x:c>
      <x:c r="R1493" s="20" t="str"/>
    </x:row>
    <x:row r="1494" ht="36" customHeight="1">
      <x:c r="A1494" s="19" t="str">
        <x:v>W21-20270130-1493</x:v>
      </x:c>
      <x:c r="B1494" s="13" t="n">
        <x:v>21</x:v>
      </x:c>
      <x:c r="C1494" s="13" t="str">
        <x:v>Этап 6 — Перенос навыков, шестёрки и закрепление</x:v>
      </x:c>
      <x:c r="D1494" s="138" t="str">
        <x:v>2027-01-30</x:v>
      </x:c>
      <x:c r="E1494" s="13" t="str">
        <x:v>Суббота</x:v>
      </x:c>
      <x:c r="F1494" s="13" t="str">
        <x:v>Отдых / подготовка</x:v>
      </x:c>
      <x:c r="G1494" s="44" t="n">
        <x:v>0.016666666666666666</x:v>
      </x:c>
      <x:c r="H1494" s="44" t="n">
        <x:v>0.01875</x:v>
      </x:c>
      <x:c r="I1494" s="32" t="n">
        <x:f>ROUND((H1494-G1494)*1440,0)</x:f>
        <x:v>3</x:v>
      </x:c>
      <x:c r="J1494" s="13" t="str">
        <x:v>План воскресенья</x:v>
      </x:c>
      <x:c r="K1494" s="13" t="str">
        <x:v>Выбери заранее одну лёгкую трассу под тему «Слабый стиль». Воскресенье остаётся развлечением, не третьим тяжёлым днём.</x:v>
      </x:c>
      <x:c r="L1494" s="13" t="str">
        <x:v>☐ Не начато</x:v>
      </x:c>
      <x:c r="M1494" s="13" t="str">
        <x:v>Обязательно</x:v>
      </x:c>
      <x:c r="N1494" s="13" t="str">
        <x:v>Без нагрузки</x:v>
      </x:c>
      <x:c r="O1494" s="13" t="str"/>
      <x:c r="P1494" s="13" t="str">
        <x:v>milestone_06_transfer_and_consolidation/week_21_2027-01-25/06_SATURDAY.md</x:v>
      </x:c>
      <x:c r="Q1494" s="138" t="str">
        <x:v>Markdown</x:v>
      </x:c>
      <x:c r="R1494" s="20" t="str"/>
    </x:row>
    <x:row r="1495" ht="36" customHeight="1">
      <x:c r="A1495" s="19" t="str">
        <x:v>W21-20270130-1494</x:v>
      </x:c>
      <x:c r="B1495" s="13" t="n">
        <x:v>21</x:v>
      </x:c>
      <x:c r="C1495" s="13" t="str">
        <x:v>Этап 6 — Перенос навыков, шестёрки и закрепление</x:v>
      </x:c>
      <x:c r="D1495" s="138" t="str">
        <x:v>2027-01-30</x:v>
      </x:c>
      <x:c r="E1495" s="13" t="str">
        <x:v>Суббота</x:v>
      </x:c>
      <x:c r="F1495" s="13" t="str">
        <x:v>Отдых / подготовка</x:v>
      </x:c>
      <x:c r="G1495" s="44" t="n">
        <x:v>0.01875</x:v>
      </x:c>
      <x:c r="H1495" s="44" t="n">
        <x:v>0.020833333333333332</x:v>
      </x:c>
      <x:c r="I1495" s="32" t="n">
        <x:f>ROUND((H1495-G1495)*1440,0)</x:f>
        <x:v>3</x:v>
      </x:c>
      <x:c r="J1495" s="13" t="str">
        <x:v>Сон / восстановление</x:v>
      </x:c>
      <x:c r="K1495" s="13" t="str">
        <x:v>Запланируй обычный сон и нормальный приём пищи; не пытайся «разбудить хват» вечером.</x:v>
      </x:c>
      <x:c r="L1495" s="13" t="str">
        <x:v>☐ Не начато</x:v>
      </x:c>
      <x:c r="M1495" s="13" t="str">
        <x:v>Обязательно</x:v>
      </x:c>
      <x:c r="N1495" s="13" t="str">
        <x:v>Восстановление</x:v>
      </x:c>
      <x:c r="O1495" s="13" t="str"/>
      <x:c r="P1495" s="13" t="str">
        <x:v>milestone_06_transfer_and_consolidation/week_21_2027-01-25/06_SATURDAY.md</x:v>
      </x:c>
      <x:c r="Q1495" s="138" t="str">
        <x:v>Markdown</x:v>
      </x:c>
      <x:c r="R1495" s="20" t="str"/>
    </x:row>
    <x:row r="1496" ht="36" customHeight="1">
      <x:c r="A1496" s="19" t="str">
        <x:v>W21-20270131-1495</x:v>
      </x:c>
      <x:c r="B1496" s="13" t="n">
        <x:v>21</x:v>
      </x:c>
      <x:c r="C1496" s="13" t="str">
        <x:v>Этап 6 — Перенос навыков, шестёрки и закрепление</x:v>
      </x:c>
      <x:c r="D1496" s="138" t="str">
        <x:v>2027-01-31</x:v>
      </x:c>
      <x:c r="E1496" s="13" t="str">
        <x:v>Воскресенье</x:v>
      </x:c>
      <x:c r="F1496" s="13" t="str">
        <x:v>Тренировка C — fun / опционально</x:v>
      </x:c>
      <x:c r="G1496" s="44" t="n">
        <x:v>0</x:v>
      </x:c>
      <x:c r="H1496" s="44" t="n">
        <x:v>0.0020833333333333333</x:v>
      </x:c>
      <x:c r="I1496" s="32" t="n">
        <x:f>ROUND((H1496-G1496)*1440,0)</x:f>
        <x:v>3</x:v>
      </x:c>
      <x:c r="J1496" s="13" t="str">
        <x:v>Выбор сценария</x:v>
      </x:c>
      <x:c r="K1496" s="13" t="str">
        <x:v>Выбери один сценарий: (A) fun-сессия 75 минут в зале или (B) восстановительный день дома 25 минут. Не выполнять оба.</x:v>
      </x:c>
      <x:c r="L1496" s="13" t="str">
        <x:v>☐ Не начато</x:v>
      </x:c>
      <x:c r="M1496" s="13" t="str">
        <x:v>Выбрать один сценарий</x:v>
      </x:c>
      <x:c r="N1496" s="13" t="str">
        <x:v>По состоянию</x:v>
      </x:c>
      <x:c r="O1496" s="13" t="str"/>
      <x:c r="P1496" s="13" t="str">
        <x:v>milestone_06_transfer_and_consolidation/week_21_2027-01-25/07_SUNDAY.md</x:v>
      </x:c>
      <x:c r="Q1496" s="138" t="str">
        <x:v>Markdown</x:v>
      </x:c>
      <x:c r="R1496" s="20" t="str"/>
    </x:row>
    <x:row r="1497" ht="36" customHeight="1">
      <x:c r="A1497" s="19" t="str">
        <x:v>W21-20270131-1496</x:v>
      </x:c>
      <x:c r="B1497" s="13" t="n">
        <x:v>21</x:v>
      </x:c>
      <x:c r="C1497" s="13" t="str">
        <x:v>Этап 6 — Перенос навыков, шестёрки и закрепление</x:v>
      </x:c>
      <x:c r="D1497" s="138" t="str">
        <x:v>2027-01-31</x:v>
      </x:c>
      <x:c r="E1497" s="13" t="str">
        <x:v>Воскресенье</x:v>
      </x:c>
      <x:c r="F1497" s="13" t="str">
        <x:v>Тренировка C — fun / опционально</x:v>
      </x:c>
      <x:c r="G1497" s="44" t="n">
        <x:v>0.0020833333333333333</x:v>
      </x:c>
      <x:c r="H1497" s="44" t="n">
        <x:v>0.005555555555555556</x:v>
      </x:c>
      <x:c r="I1497" s="32" t="n">
        <x:f>ROUND((H1497-G1497)*1440,0)</x:f>
        <x:v>5</x:v>
      </x:c>
      <x:c r="J1497" s="13" t="str">
        <x:v>Разминка A</x:v>
      </x:c>
      <x:c r="K1497" s="13" t="str">
        <x:v>Если идёшь в зал: 5 минут поднятия температуры.</x:v>
      </x:c>
      <x:c r="L1497" s="13" t="str">
        <x:v>☐ Не начато</x:v>
      </x:c>
      <x:c r="M1497" s="13" t="str">
        <x:v>Опционально</x:v>
      </x:c>
      <x:c r="N1497" s="13" t="str">
        <x:v>RPE 2–3</x:v>
      </x:c>
      <x:c r="O1497" s="13" t="str"/>
      <x:c r="P1497" s="13" t="str">
        <x:v>milestone_06_transfer_and_consolidation/week_21_2027-01-25/07_SUNDAY.md</x:v>
      </x:c>
      <x:c r="Q1497" s="138" t="str">
        <x:v>Markdown</x:v>
      </x:c>
      <x:c r="R1497" s="20" t="str"/>
    </x:row>
    <x:row r="1498" ht="36" customHeight="1">
      <x:c r="A1498" s="19" t="str">
        <x:v>W21-20270131-1497</x:v>
      </x:c>
      <x:c r="B1498" s="13" t="n">
        <x:v>21</x:v>
      </x:c>
      <x:c r="C1498" s="13" t="str">
        <x:v>Этап 6 — Перенос навыков, шестёрки и закрепление</x:v>
      </x:c>
      <x:c r="D1498" s="138" t="str">
        <x:v>2027-01-31</x:v>
      </x:c>
      <x:c r="E1498" s="13" t="str">
        <x:v>Воскресенье</x:v>
      </x:c>
      <x:c r="F1498" s="13" t="str">
        <x:v>Тренировка C — fun / опционально</x:v>
      </x:c>
      <x:c r="G1498" s="44" t="n">
        <x:v>0.005555555555555556</x:v>
      </x:c>
      <x:c r="H1498" s="44" t="n">
        <x:v>0.009027777777777777</x:v>
      </x:c>
      <x:c r="I1498" s="32" t="n">
        <x:f>ROUND((H1498-G1498)*1440,0)</x:f>
        <x:v>5</x:v>
      </x:c>
      <x:c r="J1498" s="13" t="str">
        <x:v>Разминка A</x:v>
      </x:c>
      <x:c r="K1498" s="13" t="str">
        <x:v>Динамическая суставная разминка в безболезненном диапазоне; без отжиманий/press.</x:v>
      </x:c>
      <x:c r="L1498" s="13" t="str">
        <x:v>☐ Не начато</x:v>
      </x:c>
      <x:c r="M1498" s="13" t="str">
        <x:v>Опционально</x:v>
      </x:c>
      <x:c r="N1498" s="13" t="str">
        <x:v>Очень легко</x:v>
      </x:c>
      <x:c r="O1498" s="13" t="str">
        <x:v>Если слабый стиль совпадает с триггером плеча/колена, выбрать второй по слабости, а не провоцировать травму.</x:v>
      </x:c>
      <x:c r="P1498" s="13" t="str">
        <x:v>milestone_06_transfer_and_consolidation/week_21_2027-01-25/07_SUNDAY.md</x:v>
      </x:c>
      <x:c r="Q1498" s="138" t="str">
        <x:v>Markdown</x:v>
      </x:c>
      <x:c r="R1498" s="20" t="str"/>
    </x:row>
    <x:row r="1499" ht="36" customHeight="1">
      <x:c r="A1499" s="19" t="str">
        <x:v>W21-20270131-1498</x:v>
      </x:c>
      <x:c r="B1499" s="13" t="n">
        <x:v>21</x:v>
      </x:c>
      <x:c r="C1499" s="13" t="str">
        <x:v>Этап 6 — Перенос навыков, шестёрки и закрепление</x:v>
      </x:c>
      <x:c r="D1499" s="138" t="str">
        <x:v>2027-01-31</x:v>
      </x:c>
      <x:c r="E1499" s="13" t="str">
        <x:v>Воскресенье</x:v>
      </x:c>
      <x:c r="F1499" s="13" t="str">
        <x:v>Тренировка C — fun / опционально</x:v>
      </x:c>
      <x:c r="G1499" s="44" t="n">
        <x:v>0.009027777777777777</x:v>
      </x:c>
      <x:c r="H1499" s="44" t="n">
        <x:v>0.013888888888888888</x:v>
      </x:c>
      <x:c r="I1499" s="32" t="n">
        <x:f>ROUND((H1499-G1499)*1440,0)</x:f>
        <x:v>7</x:v>
      </x:c>
      <x:c r="J1499" s="13" t="str">
        <x:v>Лёгкое лазание A</x:v>
      </x:c>
      <x:c r="K1499" s="13" t="str">
        <x:v>3 очень лёгкие трассы 1–3 с постепенным увеличением сложности.</x:v>
      </x:c>
      <x:c r="L1499" s="13" t="str">
        <x:v>☐ Не начато</x:v>
      </x:c>
      <x:c r="M1499" s="13" t="str">
        <x:v>Опционально</x:v>
      </x:c>
      <x:c r="N1499" s="13" t="str">
        <x:v>RPE 2–4</x:v>
      </x:c>
      <x:c r="O1499" s="13" t="str"/>
      <x:c r="P1499" s="13" t="str">
        <x:v>milestone_06_transfer_and_consolidation/week_21_2027-01-25/07_SUNDAY.md</x:v>
      </x:c>
      <x:c r="Q1499" s="138" t="str">
        <x:v>Markdown</x:v>
      </x:c>
      <x:c r="R1499" s="20" t="str"/>
    </x:row>
    <x:row r="1500" ht="36" customHeight="1">
      <x:c r="A1500" s="19" t="str">
        <x:v>W21-20270131-1499</x:v>
      </x:c>
      <x:c r="B1500" s="13" t="n">
        <x:v>21</x:v>
      </x:c>
      <x:c r="C1500" s="13" t="str">
        <x:v>Этап 6 — Перенос навыков, шестёрки и закрепление</x:v>
      </x:c>
      <x:c r="D1500" s="138" t="str">
        <x:v>2027-01-31</x:v>
      </x:c>
      <x:c r="E1500" s="13" t="str">
        <x:v>Воскресенье</x:v>
      </x:c>
      <x:c r="F1500" s="13" t="str">
        <x:v>Тренировка C — fun / опционально</x:v>
      </x:c>
      <x:c r="G1500" s="44" t="n">
        <x:v>0.013888888888888888</x:v>
      </x:c>
      <x:c r="H1500" s="44" t="n">
        <x:v>0.020833333333333332</x:v>
      </x:c>
      <x:c r="I1500" s="32" t="n">
        <x:f>ROUND((H1500-G1500)*1440,0)</x:f>
        <x:v>10</x:v>
      </x:c>
      <x:c r="J1500" s="13" t="str">
        <x:v>Технический праймер A</x:v>
      </x:c>
      <x:c r="K1500" s="13" t="str">
        <x:v>На одной лёгкой трассе дважды повтори «Слабый стиль». Критерий: Найден один повторяемый технический ключ, а не просто больший силовой нажим.</x:v>
      </x:c>
      <x:c r="L1500" s="13" t="str">
        <x:v>☐ Не начато</x:v>
      </x:c>
      <x:c r="M1500" s="13" t="str">
        <x:v>Опционально</x:v>
      </x:c>
      <x:c r="N1500" s="13" t="str">
        <x:v>RPE 3–4</x:v>
      </x:c>
      <x:c r="O1500" s="13" t="str">
        <x:v>Триггер травмы не является «слабостью, которую надо продавить».</x:v>
      </x:c>
      <x:c r="P1500" s="13" t="str">
        <x:v>milestone_06_transfer_and_consolidation/week_21_2027-01-25/07_SUNDAY.md</x:v>
      </x:c>
      <x:c r="Q1500" s="138" t="str">
        <x:v>Markdown</x:v>
      </x:c>
      <x:c r="R1500" s="20" t="str"/>
    </x:row>
    <x:row r="1501" ht="36" customHeight="1">
      <x:c r="A1501" s="19" t="str">
        <x:v>W21-20270131-1500</x:v>
      </x:c>
      <x:c r="B1501" s="13" t="n">
        <x:v>21</x:v>
      </x:c>
      <x:c r="C1501" s="13" t="str">
        <x:v>Этап 6 — Перенос навыков, шестёрки и закрепление</x:v>
      </x:c>
      <x:c r="D1501" s="138" t="str">
        <x:v>2027-01-31</x:v>
      </x:c>
      <x:c r="E1501" s="13" t="str">
        <x:v>Воскресенье</x:v>
      </x:c>
      <x:c r="F1501" s="13" t="str">
        <x:v>Тренировка C — fun / опционально</x:v>
      </x:c>
      <x:c r="G1501" s="44" t="n">
        <x:v>0.020833333333333332</x:v>
      </x:c>
      <x:c r="H1501" s="44" t="n">
        <x:v>0.03819444444444445</x:v>
      </x:c>
      <x:c r="I1501" s="32" t="n">
        <x:f>ROUND((H1501-G1501)*1440,0)</x:f>
        <x:v>25</x:v>
      </x:c>
      <x:c r="J1501" s="13" t="str">
        <x:v>Свободное лазание A</x:v>
      </x:c>
      <x:c r="K1501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501" s="13" t="str">
        <x:v>☐ Не начато</x:v>
      </x:c>
      <x:c r="M1501" s="13" t="str">
        <x:v>Опционально</x:v>
      </x:c>
      <x:c r="N1501" s="13" t="str">
        <x:v>RPE 4–7</x:v>
      </x:c>
      <x:c r="O1501" s="13" t="str">
        <x:v>Не превращать блок в круг на выносливость.</x:v>
      </x:c>
      <x:c r="P1501" s="13" t="str">
        <x:v>milestone_06_transfer_and_consolidation/week_21_2027-01-25/07_SUNDAY.md</x:v>
      </x:c>
      <x:c r="Q1501" s="138" t="str">
        <x:v>Markdown</x:v>
      </x:c>
      <x:c r="R1501" s="20" t="str"/>
    </x:row>
    <x:row r="1502" ht="36" customHeight="1">
      <x:c r="A1502" s="19" t="str">
        <x:v>W21-20270131-1501</x:v>
      </x:c>
      <x:c r="B1502" s="13" t="n">
        <x:v>21</x:v>
      </x:c>
      <x:c r="C1502" s="13" t="str">
        <x:v>Этап 6 — Перенос навыков, шестёрки и закрепление</x:v>
      </x:c>
      <x:c r="D1502" s="138" t="str">
        <x:v>2027-01-31</x:v>
      </x:c>
      <x:c r="E1502" s="13" t="str">
        <x:v>Воскресенье</x:v>
      </x:c>
      <x:c r="F1502" s="13" t="str">
        <x:v>Тренировка C — fun / опционально</x:v>
      </x:c>
      <x:c r="G1502" s="44" t="n">
        <x:v>0.03819444444444445</x:v>
      </x:c>
      <x:c r="H1502" s="44" t="n">
        <x:v>0.04583333333333333</x:v>
      </x:c>
      <x:c r="I1502" s="32" t="n">
        <x:f>ROUND((H1502-G1502)*1440,0)</x:f>
        <x:v>11</x:v>
      </x:c>
      <x:c r="J1502" s="13" t="str">
        <x:v>Свежая сложная попытка A</x:v>
      </x:c>
      <x:c r="K1502" s="13" t="str">
        <x:v>Только если всё зелёное: попробуй одну рабочую пятёрку или дружелюбную шестёрку по критериям недели — Пятёрка и шестёрка того же стиля, но без болезненных движений. Максимум 2 попытки, отдых 4 минуты.</x:v>
      </x:c>
      <x:c r="L1502" s="13" t="str">
        <x:v>☐ Не начато</x:v>
      </x:c>
      <x:c r="M1502" s="13" t="str">
        <x:v>Опционально</x:v>
      </x:c>
      <x:c r="N1502" s="13" t="str">
        <x:v>RPE 7–8, без отказа</x:v>
      </x:c>
      <x:c r="O1502" s="13" t="str">
        <x:v>Если слабый стиль совпадает с триггером плеча/колена, выбрать второй по слабости, а не провоцировать травму.</x:v>
      </x:c>
      <x:c r="P1502" s="13" t="str">
        <x:v>milestone_06_transfer_and_consolidation/week_21_2027-01-25/07_SUNDAY.md</x:v>
      </x:c>
      <x:c r="Q1502" s="138" t="str">
        <x:v>Markdown</x:v>
      </x:c>
      <x:c r="R1502" s="20" t="str"/>
    </x:row>
    <x:row r="1503" ht="36" customHeight="1">
      <x:c r="A1503" s="19" t="str">
        <x:v>W21-20270131-1502</x:v>
      </x:c>
      <x:c r="B1503" s="13" t="n">
        <x:v>21</x:v>
      </x:c>
      <x:c r="C1503" s="13" t="str">
        <x:v>Этап 6 — Перенос навыков, шестёрки и закрепление</x:v>
      </x:c>
      <x:c r="D1503" s="138" t="str">
        <x:v>2027-01-31</x:v>
      </x:c>
      <x:c r="E1503" s="13" t="str">
        <x:v>Воскресенье</x:v>
      </x:c>
      <x:c r="F1503" s="13" t="str">
        <x:v>Тренировка C — fun / опционально</x:v>
      </x:c>
      <x:c r="G1503" s="44" t="n">
        <x:v>0.04583333333333333</x:v>
      </x:c>
      <x:c r="H1503" s="44" t="n">
        <x:v>0.05</x:v>
      </x:c>
      <x:c r="I1503" s="32" t="n">
        <x:f>ROUND((H1503-G1503)*1440,0)</x:f>
        <x:v>6</x:v>
      </x:c>
      <x:c r="J1503" s="13" t="str">
        <x:v>Лёгкий финал A</x:v>
      </x:c>
      <x:c r="K1503" s="13" t="str">
        <x:v>Одна любимая лёгкая трасса или спокойный спуск. Фингерборда и capacity-круга нет.</x:v>
      </x:c>
      <x:c r="L1503" s="13" t="str">
        <x:v>☐ Не начато</x:v>
      </x:c>
      <x:c r="M1503" s="13" t="str">
        <x:v>Опционально</x:v>
      </x:c>
      <x:c r="N1503" s="13" t="str">
        <x:v>RPE 2–3</x:v>
      </x:c>
      <x:c r="O1503" s="13" t="str"/>
      <x:c r="P1503" s="13" t="str">
        <x:v>milestone_06_transfer_and_consolidation/week_21_2027-01-25/07_SUNDAY.md</x:v>
      </x:c>
      <x:c r="Q1503" s="138" t="str">
        <x:v>Markdown</x:v>
      </x:c>
      <x:c r="R1503" s="20" t="str"/>
    </x:row>
    <x:row r="1504" ht="36" customHeight="1">
      <x:c r="A1504" s="19" t="str">
        <x:v>W21-20270131-1503</x:v>
      </x:c>
      <x:c r="B1504" s="13" t="n">
        <x:v>21</x:v>
      </x:c>
      <x:c r="C1504" s="13" t="str">
        <x:v>Этап 6 — Перенос навыков, шестёрки и закрепление</x:v>
      </x:c>
      <x:c r="D1504" s="138" t="str">
        <x:v>2027-01-31</x:v>
      </x:c>
      <x:c r="E1504" s="13" t="str">
        <x:v>Воскресенье</x:v>
      </x:c>
      <x:c r="F1504" s="13" t="str">
        <x:v>Тренировка C — fun / опционально</x:v>
      </x:c>
      <x:c r="G1504" s="44" t="n">
        <x:v>0.05</x:v>
      </x:c>
      <x:c r="H1504" s="44" t="n">
        <x:v>0.052083333333333336</x:v>
      </x:c>
      <x:c r="I1504" s="32" t="n">
        <x:f>ROUND((H1504-G1504)*1440,0)</x:f>
        <x:v>3</x:v>
      </x:c>
      <x:c r="J1504" s="13" t="str">
        <x:v>Журнал A</x:v>
      </x:c>
      <x:c r="K1504" s="13" t="str">
        <x:v>Запиши только 3 вещи: что было весело, один удачный технический момент, состояние пальцев после сессии.</x:v>
      </x:c>
      <x:c r="L1504" s="13" t="str">
        <x:v>☐ Не начато</x:v>
      </x:c>
      <x:c r="M1504" s="13" t="str">
        <x:v>Опционально</x:v>
      </x:c>
      <x:c r="N1504" s="13" t="str">
        <x:v>Без нагрузки</x:v>
      </x:c>
      <x:c r="O1504" s="13" t="str"/>
      <x:c r="P1504" s="13" t="str">
        <x:v>milestone_06_transfer_and_consolidation/week_21_2027-01-25/07_SUNDAY.md</x:v>
      </x:c>
      <x:c r="Q1504" s="138" t="str">
        <x:v>Markdown</x:v>
      </x:c>
      <x:c r="R1504" s="20" t="str"/>
    </x:row>
    <x:row r="1505" ht="36" customHeight="1">
      <x:c r="A1505" s="19" t="str">
        <x:v>W21-20270131-1504</x:v>
      </x:c>
      <x:c r="B1505" s="13" t="n">
        <x:v>21</x:v>
      </x:c>
      <x:c r="C1505" s="13" t="str">
        <x:v>Этап 6 — Перенос навыков, шестёрки и закрепление</x:v>
      </x:c>
      <x:c r="D1505" s="138" t="str">
        <x:v>2027-01-31</x:v>
      </x:c>
      <x:c r="E1505" s="13" t="str">
        <x:v>Воскресенье</x:v>
      </x:c>
      <x:c r="F1505" s="13" t="str">
        <x:v>Восстановление B — дома</x:v>
      </x:c>
      <x:c r="G1505" s="44" t="n">
        <x:v>0</x:v>
      </x:c>
      <x:c r="H1505" s="44" t="n">
        <x:v>0.010416666666666666</x:v>
      </x:c>
      <x:c r="I1505" s="32" t="n">
        <x:f>ROUND((H1505-G1505)*1440,0)</x:f>
        <x:v>15</x:v>
      </x:c>
      <x:c r="J1505" s="13" t="str">
        <x:v>Прогулка B</x:v>
      </x:c>
      <x:c r="K1505" s="13" t="str">
        <x:v>Если не идёшь в зал: 15 минут спокойной прогулки.</x:v>
      </x:c>
      <x:c r="L1505" s="13" t="str">
        <x:v>☐ Не начато</x:v>
      </x:c>
      <x:c r="M1505" s="13" t="str">
        <x:v>Опционально</x:v>
      </x:c>
      <x:c r="N1505" s="13" t="str">
        <x:v>RPE 1–2</x:v>
      </x:c>
      <x:c r="O1505" s="13" t="str"/>
      <x:c r="P1505" s="13" t="str">
        <x:v>milestone_06_transfer_and_consolidation/week_21_2027-01-25/07_SUNDAY.md</x:v>
      </x:c>
      <x:c r="Q1505" s="138" t="str">
        <x:v>Markdown</x:v>
      </x:c>
      <x:c r="R1505" s="20" t="str"/>
    </x:row>
    <x:row r="1506" ht="36" customHeight="1">
      <x:c r="A1506" s="19" t="str">
        <x:v>W21-20270131-1505</x:v>
      </x:c>
      <x:c r="B1506" s="13" t="n">
        <x:v>21</x:v>
      </x:c>
      <x:c r="C1506" s="13" t="str">
        <x:v>Этап 6 — Перенос навыков, шестёрки и закрепление</x:v>
      </x:c>
      <x:c r="D1506" s="138" t="str">
        <x:v>2027-01-31</x:v>
      </x:c>
      <x:c r="E1506" s="13" t="str">
        <x:v>Воскресенье</x:v>
      </x:c>
      <x:c r="F1506" s="13" t="str">
        <x:v>Восстановление B — дома</x:v>
      </x:c>
      <x:c r="G1506" s="44" t="n">
        <x:v>0.010416666666666666</x:v>
      </x:c>
      <x:c r="H1506" s="44" t="n">
        <x:v>0.015277777777777777</x:v>
      </x:c>
      <x:c r="I1506" s="32" t="n">
        <x:f>ROUND((H1506-G1506)*1440,0)</x:f>
        <x:v>7</x:v>
      </x:c>
      <x:c r="J1506" s="13" t="str">
        <x:v>Визуализация B</x:v>
      </x:c>
      <x:c r="K1506" s="13" t="str">
        <x:v>7 минут: мысленно повтори тему недели «Слабый стиль» и одну трассу четверга.</x:v>
      </x:c>
      <x:c r="L1506" s="13" t="str">
        <x:v>☐ Не начато</x:v>
      </x:c>
      <x:c r="M1506" s="13" t="str">
        <x:v>Опционально</x:v>
      </x:c>
      <x:c r="N1506" s="13" t="str">
        <x:v>Без нагрузки</x:v>
      </x:c>
      <x:c r="O1506" s="13" t="str"/>
      <x:c r="P1506" s="13" t="str">
        <x:v>milestone_06_transfer_and_consolidation/week_21_2027-01-25/07_SUNDAY.md</x:v>
      </x:c>
      <x:c r="Q1506" s="138" t="str">
        <x:v>Markdown</x:v>
      </x:c>
      <x:c r="R1506" s="20" t="str"/>
    </x:row>
    <x:row r="1507" ht="36" customHeight="1">
      <x:c r="A1507" s="19" t="str">
        <x:v>W21-20270131-1506</x:v>
      </x:c>
      <x:c r="B1507" s="13" t="n">
        <x:v>21</x:v>
      </x:c>
      <x:c r="C1507" s="13" t="str">
        <x:v>Этап 6 — Перенос навыков, шестёрки и закрепление</x:v>
      </x:c>
      <x:c r="D1507" s="138" t="str">
        <x:v>2027-01-31</x:v>
      </x:c>
      <x:c r="E1507" s="13" t="str">
        <x:v>Воскресенье</x:v>
      </x:c>
      <x:c r="F1507" s="13" t="str">
        <x:v>Восстановление B — дома</x:v>
      </x:c>
      <x:c r="G1507" s="44" t="n">
        <x:v>0.015277777777777777</x:v>
      </x:c>
      <x:c r="H1507" s="44" t="n">
        <x:v>0.017361111111111112</x:v>
      </x:c>
      <x:c r="I1507" s="32" t="n">
        <x:f>ROUND((H1507-G1507)*1440,0)</x:f>
        <x:v>3</x:v>
      </x:c>
      <x:c r="J1507" s="13" t="str">
        <x:v>Итог недели B</x:v>
      </x:c>
      <x:c r="K1507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507" s="13" t="str">
        <x:v>☐ Не начато</x:v>
      </x:c>
      <x:c r="M1507" s="13" t="str">
        <x:v>Опционально</x:v>
      </x:c>
      <x:c r="N1507" s="13" t="str">
        <x:v>Без нагрузки</x:v>
      </x:c>
      <x:c r="O1507" s="13" t="str"/>
      <x:c r="P1507" s="13" t="str">
        <x:v>milestone_06_transfer_and_consolidation/week_21_2027-01-25/07_SUNDAY.md</x:v>
      </x:c>
      <x:c r="Q1507" s="138" t="str">
        <x:v>Markdown</x:v>
      </x:c>
      <x:c r="R1507" s="20" t="str"/>
    </x:row>
    <x:row r="1508" ht="36" customHeight="1">
      <x:c r="A1508" s="19" t="str">
        <x:v>W22-20270201-1507</x:v>
      </x:c>
      <x:c r="B1508" s="13" t="n">
        <x:v>22</x:v>
      </x:c>
      <x:c r="C1508" s="13" t="str">
        <x:v>Этап 6 — Перенос навыков, шестёрки и закрепление</x:v>
      </x:c>
      <x:c r="D1508" s="138" t="str">
        <x:v>2027-02-01</x:v>
      </x:c>
      <x:c r="E1508" s="13" t="str">
        <x:v>Понедельник</x:v>
      </x:c>
      <x:c r="F1508" s="13" t="str">
        <x:v>Дом / теория</x:v>
      </x:c>
      <x:c r="G1508" s="44" t="n">
        <x:v>0</x:v>
      </x:c>
      <x:c r="H1508" s="44" t="n">
        <x:v>0.0020833333333333333</x:v>
      </x:c>
      <x:c r="I1508" s="32" t="n">
        <x:f>ROUND((H1508-G1508)*1440,0)</x:f>
        <x:v>3</x:v>
      </x:c>
      <x:c r="J1508" s="13" t="str">
        <x:v>Самопроверка</x:v>
      </x:c>
      <x:c r="K1508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508" s="13" t="str">
        <x:v>☐ Не начато</x:v>
      </x:c>
      <x:c r="M1508" s="13" t="str">
        <x:v>Обязательно</x:v>
      </x:c>
      <x:c r="N1508" s="13" t="str">
        <x:v>Очень легко</x:v>
      </x:c>
      <x:c r="O1508" s="13" t="str">
        <x:v>Не диагностируй травму самостоятельно; используй правила из документа безопасности.</x:v>
      </x:c>
      <x:c r="P1508" s="13" t="str">
        <x:v>milestone_06_transfer_and_consolidation/week_22_2027-02-01/01_MONDAY.md</x:v>
      </x:c>
      <x:c r="Q1508" s="138" t="str">
        <x:v>Markdown</x:v>
      </x:c>
      <x:c r="R1508" s="20" t="str"/>
    </x:row>
    <x:row r="1509" ht="36" customHeight="1">
      <x:c r="A1509" s="19" t="str">
        <x:v>W22-20270201-1508</x:v>
      </x:c>
      <x:c r="B1509" s="13" t="n">
        <x:v>22</x:v>
      </x:c>
      <x:c r="C1509" s="13" t="str">
        <x:v>Этап 6 — Перенос навыков, шестёрки и закрепление</x:v>
      </x:c>
      <x:c r="D1509" s="138" t="str">
        <x:v>2027-02-01</x:v>
      </x:c>
      <x:c r="E1509" s="13" t="str">
        <x:v>Понедельник</x:v>
      </x:c>
      <x:c r="F1509" s="13" t="str">
        <x:v>Дом / теория</x:v>
      </x:c>
      <x:c r="G1509" s="44" t="n">
        <x:v>0.0020833333333333333</x:v>
      </x:c>
      <x:c r="H1509" s="44" t="n">
        <x:v>0.005555555555555556</x:v>
      </x:c>
      <x:c r="I1509" s="32" t="n">
        <x:f>ROUND((H1509-G1509)*1440,0)</x:f>
        <x:v>5</x:v>
      </x:c>
      <x:c r="J1509" s="13" t="str">
        <x:v>Планирование</x:v>
      </x:c>
      <x:c r="K1509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«Первые две попытки собирают данные; следующие меняют по одной переменной.»</x:v>
      </x:c>
      <x:c r="L1509" s="13" t="str">
        <x:v>☐ Не начато</x:v>
      </x:c>
      <x:c r="M1509" s="13" t="str">
        <x:v>Обязательно</x:v>
      </x:c>
      <x:c r="N1509" s="13" t="str">
        <x:v>Без нагрузки</x:v>
      </x:c>
      <x:c r="O1509" s="13" t="str"/>
      <x:c r="P1509" s="13" t="str">
        <x:v>milestone_06_transfer_and_consolidation/week_22_2027-02-01/01_MONDAY.md</x:v>
      </x:c>
      <x:c r="Q1509" s="138" t="str">
        <x:v>Markdown</x:v>
      </x:c>
      <x:c r="R1509" s="20" t="str"/>
    </x:row>
    <x:row r="1510" ht="36" customHeight="1">
      <x:c r="A1510" s="19" t="str">
        <x:v>W22-20270201-1509</x:v>
      </x:c>
      <x:c r="B1510" s="13" t="n">
        <x:v>22</x:v>
      </x:c>
      <x:c r="C1510" s="13" t="str">
        <x:v>Этап 6 — Перенос навыков, шестёрки и закрепление</x:v>
      </x:c>
      <x:c r="D1510" s="138" t="str">
        <x:v>2027-02-01</x:v>
      </x:c>
      <x:c r="E1510" s="13" t="str">
        <x:v>Понедельник</x:v>
      </x:c>
      <x:c r="F1510" s="13" t="str">
        <x:v>Дом / теория</x:v>
      </x:c>
      <x:c r="G1510" s="44" t="n">
        <x:v>0.005555555555555556</x:v>
      </x:c>
      <x:c r="H1510" s="44" t="n">
        <x:v>0.01597222222222222</x:v>
      </x:c>
      <x:c r="I1510" s="32" t="n">
        <x:f>ROUND((H1510-G1510)*1440,0)</x:f>
        <x:v>15</x:v>
      </x:c>
      <x:c r="J1510" s="13" t="str">
        <x:v>Теория</x:v>
      </x:c>
      <x:c r="K1510" s="13" t="str">
        <x:v>Посмотри/прочитай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510" s="13" t="str">
        <x:v>☐ Не начато</x:v>
      </x:c>
      <x:c r="M1510" s="13" t="str">
        <x:v>Обязательно</x:v>
      </x:c>
      <x:c r="N1510" s="13" t="str">
        <x:v>Без нагрузки</x:v>
      </x:c>
      <x:c r="O1510" s="13" t="str"/>
      <x:c r="P1510" s="13" t="str">
        <x:v>milestone_06_transfer_and_consolidation/week_22_2027-02-01/01_MONDAY.md</x:v>
      </x:c>
      <x:c r="Q1510" s="138" t="str">
        <x:v>Markdown</x:v>
      </x:c>
      <x:c r="R1510" s="20" t="str"/>
    </x:row>
    <x:row r="1511" ht="36" customHeight="1">
      <x:c r="A1511" s="19" t="str">
        <x:v>W22-20270201-1510</x:v>
      </x:c>
      <x:c r="B1511" s="13" t="n">
        <x:v>22</x:v>
      </x:c>
      <x:c r="C1511" s="13" t="str">
        <x:v>Этап 6 — Перенос навыков, шестёрки и закрепление</x:v>
      </x:c>
      <x:c r="D1511" s="138" t="str">
        <x:v>2027-02-01</x:v>
      </x:c>
      <x:c r="E1511" s="13" t="str">
        <x:v>Понедельник</x:v>
      </x:c>
      <x:c r="F1511" s="13" t="str">
        <x:v>Дом / теория</x:v>
      </x:c>
      <x:c r="G1511" s="44" t="n">
        <x:v>0.01597222222222222</x:v>
      </x:c>
      <x:c r="H1511" s="44" t="n">
        <x:v>0.019444444444444445</x:v>
      </x:c>
      <x:c r="I1511" s="32" t="n">
        <x:f>ROUND((H1511-G1511)*1440,0)</x:f>
        <x:v>5</x:v>
      </x:c>
      <x:c r="J1511" s="13" t="str">
        <x:v>Конспект</x:v>
      </x:c>
      <x:c r="K1511" s="13" t="str">
        <x:v>Запиши ровно 3 пункта: (1) что делать ногами/тазом; (2) что не делать руками; (3) какой признак успеха проверишь на стене для темы «Диагностика основной шестёрки».</x:v>
      </x:c>
      <x:c r="L1511" s="13" t="str">
        <x:v>☐ Не начато</x:v>
      </x:c>
      <x:c r="M1511" s="13" t="str">
        <x:v>Обязательно</x:v>
      </x:c>
      <x:c r="N1511" s="13" t="str">
        <x:v>Без нагрузки</x:v>
      </x:c>
      <x:c r="O1511" s="13" t="str"/>
      <x:c r="P1511" s="13" t="str">
        <x:v>milestone_06_transfer_and_consolidation/week_22_2027-02-01/01_MONDAY.md</x:v>
      </x:c>
      <x:c r="Q1511" s="138" t="str">
        <x:v>Markdown</x:v>
      </x:c>
      <x:c r="R1511" s="20" t="str"/>
    </x:row>
    <x:row r="1512" ht="36" customHeight="1">
      <x:c r="A1512" s="19" t="str">
        <x:v>W22-20270201-1511</x:v>
      </x:c>
      <x:c r="B1512" s="13" t="n">
        <x:v>22</x:v>
      </x:c>
      <x:c r="C1512" s="13" t="str">
        <x:v>Этап 6 — Перенос навыков, шестёрки и закрепление</x:v>
      </x:c>
      <x:c r="D1512" s="138" t="str">
        <x:v>2027-02-01</x:v>
      </x:c>
      <x:c r="E1512" s="13" t="str">
        <x:v>Понедельник</x:v>
      </x:c>
      <x:c r="F1512" s="13" t="str">
        <x:v>Дом / теория</x:v>
      </x:c>
      <x:c r="G1512" s="44" t="n">
        <x:v>0.019444444444444445</x:v>
      </x:c>
      <x:c r="H1512" s="44" t="n">
        <x:v>0.027777777777777776</x:v>
      </x:c>
      <x:c r="I1512" s="32" t="n">
        <x:f>ROUND((H1512-G1512)*1440,0)</x:f>
        <x:v>12</x:v>
      </x:c>
      <x:c r="J1512" s="13" t="str">
        <x:v>Домашняя мобильность</x:v>
      </x:c>
      <x:c r="K1512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512" s="13" t="str">
        <x:v>☐ Не начато</x:v>
      </x:c>
      <x:c r="M1512" s="13" t="str">
        <x:v>Обязательно</x:v>
      </x:c>
      <x:c r="N1512" s="13" t="str">
        <x:v>RPE 2–3</x:v>
      </x:c>
      <x:c r="O1512" s="13" t="str">
        <x:v>Никаких скручиваний через боль. Плечом не отталкивайся от стены; касание только для равновесия.</x:v>
      </x:c>
      <x:c r="P1512" s="13" t="str">
        <x:v>milestone_06_transfer_and_consolidation/week_22_2027-02-01/01_MONDAY.md</x:v>
      </x:c>
      <x:c r="Q1512" s="138" t="str">
        <x:v>Markdown</x:v>
      </x:c>
      <x:c r="R1512" s="20" t="str"/>
    </x:row>
    <x:row r="1513" ht="36" customHeight="1">
      <x:c r="A1513" s="19" t="str">
        <x:v>W22-20270201-1512</x:v>
      </x:c>
      <x:c r="B1513" s="13" t="n">
        <x:v>22</x:v>
      </x:c>
      <x:c r="C1513" s="13" t="str">
        <x:v>Этап 6 — Перенос навыков, шестёрки и закрепление</x:v>
      </x:c>
      <x:c r="D1513" s="138" t="str">
        <x:v>2027-02-01</x:v>
      </x:c>
      <x:c r="E1513" s="13" t="str">
        <x:v>Понедельник</x:v>
      </x:c>
      <x:c r="F1513" s="13" t="str">
        <x:v>Дом / теория</x:v>
      </x:c>
      <x:c r="G1513" s="44" t="n">
        <x:v>0.027777777777777776</x:v>
      </x:c>
      <x:c r="H1513" s="44" t="n">
        <x:v>0.041666666666666664</x:v>
      </x:c>
      <x:c r="I1513" s="32" t="n">
        <x:f>ROUND((H1513-G1513)*1440,0)</x:f>
        <x:v>20</x:v>
      </x:c>
      <x:c r="J1513" s="13" t="str">
        <x:v>Физиотерапия</x:v>
      </x:c>
      <x:c r="K1513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513" s="13" t="str">
        <x:v>☐ Не начато</x:v>
      </x:c>
      <x:c r="M1513" s="13" t="str">
        <x:v>По назначению</x:v>
      </x:c>
      <x:c r="N1513" s="13" t="str">
        <x:v>По назначению физиотерапевта</x:v>
      </x:c>
      <x:c r="O1513" s="13" t="str">
        <x:v>Любые указания физиотерапевта имеют приоритет над этим планом.</x:v>
      </x:c>
      <x:c r="P1513" s="13" t="str">
        <x:v>milestone_06_transfer_and_consolidation/week_22_2027-02-01/01_MONDAY.md</x:v>
      </x:c>
      <x:c r="Q1513" s="138" t="str">
        <x:v>Markdown</x:v>
      </x:c>
      <x:c r="R1513" s="20" t="str"/>
    </x:row>
    <x:row r="1514" ht="36" customHeight="1">
      <x:c r="A1514" s="19" t="str">
        <x:v>W22-20270201-1513</x:v>
      </x:c>
      <x:c r="B1514" s="13" t="n">
        <x:v>22</x:v>
      </x:c>
      <x:c r="C1514" s="13" t="str">
        <x:v>Этап 6 — Перенос навыков, шестёрки и закрепление</x:v>
      </x:c>
      <x:c r="D1514" s="138" t="str">
        <x:v>2027-02-01</x:v>
      </x:c>
      <x:c r="E1514" s="13" t="str">
        <x:v>Понедельник</x:v>
      </x:c>
      <x:c r="F1514" s="13" t="str">
        <x:v>Дом / теория</x:v>
      </x:c>
      <x:c r="G1514" s="44" t="n">
        <x:v>0.041666666666666664</x:v>
      </x:c>
      <x:c r="H1514" s="44" t="n">
        <x:v>0.04375</x:v>
      </x:c>
      <x:c r="I1514" s="32" t="n">
        <x:f>ROUND((H1514-G1514)*1440,0)</x:f>
        <x:v>3</x:v>
      </x:c>
      <x:c r="J1514" s="13" t="str">
        <x:v>Подготовка</x:v>
      </x:c>
      <x:c r="K1514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514" s="13" t="str">
        <x:v>☐ Не начато</x:v>
      </x:c>
      <x:c r="M1514" s="13" t="str">
        <x:v>Обязательно</x:v>
      </x:c>
      <x:c r="N1514" s="13" t="str">
        <x:v>Без нагрузки</x:v>
      </x:c>
      <x:c r="O1514" s="13" t="str">
        <x:v>Кольца и турник — только в рамках программы физиотерапевта.</x:v>
      </x:c>
      <x:c r="P1514" s="13" t="str">
        <x:v>milestone_06_transfer_and_consolidation/week_22_2027-02-01/01_MONDAY.md</x:v>
      </x:c>
      <x:c r="Q1514" s="138" t="str">
        <x:v>Markdown</x:v>
      </x:c>
      <x:c r="R1514" s="20" t="str"/>
    </x:row>
    <x:row r="1515" ht="36" customHeight="1">
      <x:c r="A1515" s="19" t="str">
        <x:v>W22-20270202-1514</x:v>
      </x:c>
      <x:c r="B1515" s="13" t="n">
        <x:v>22</x:v>
      </x:c>
      <x:c r="C1515" s="13" t="str">
        <x:v>Этап 6 — Перенос навыков, шестёрки и закрепление</x:v>
      </x:c>
      <x:c r="D1515" s="138" t="str">
        <x:v>2027-02-02</x:v>
      </x:c>
      <x:c r="E1515" s="13" t="str">
        <x:v>Вторник</x:v>
      </x:c>
      <x:c r="F1515" s="13" t="str">
        <x:v>Тренировка A — техника/объём</x:v>
      </x:c>
      <x:c r="G1515" s="44" t="n">
        <x:v>0</x:v>
      </x:c>
      <x:c r="H1515" s="44" t="n">
        <x:v>0.0020833333333333333</x:v>
      </x:c>
      <x:c r="I1515" s="32" t="n">
        <x:f>ROUND((H1515-G1515)*1440,0)</x:f>
        <x:v>3</x:v>
      </x:c>
      <x:c r="J1515" s="13" t="str">
        <x:v>Самопроверка</x:v>
      </x:c>
      <x:c r="K151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515" s="13" t="str">
        <x:v>☐ Не начато</x:v>
      </x:c>
      <x:c r="M1515" s="13" t="str">
        <x:v>Обязательно</x:v>
      </x:c>
      <x:c r="N1515" s="13" t="str">
        <x:v>Без нагрузки</x:v>
      </x:c>
      <x:c r="O1515" s="13" t="str">
        <x:v>Красный флаг = не начинать пальцевую нагрузку.</x:v>
      </x:c>
      <x:c r="P1515" s="13" t="str">
        <x:v>milestone_06_transfer_and_consolidation/week_22_2027-02-01/02_TUESDAY.md</x:v>
      </x:c>
      <x:c r="Q1515" s="138" t="str">
        <x:v>Markdown</x:v>
      </x:c>
      <x:c r="R1515" s="20" t="str"/>
    </x:row>
    <x:row r="1516" ht="36" customHeight="1">
      <x:c r="A1516" s="19" t="str">
        <x:v>W22-20270202-1515</x:v>
      </x:c>
      <x:c r="B1516" s="13" t="n">
        <x:v>22</x:v>
      </x:c>
      <x:c r="C1516" s="13" t="str">
        <x:v>Этап 6 — Перенос навыков, шестёрки и закрепление</x:v>
      </x:c>
      <x:c r="D1516" s="138" t="str">
        <x:v>2027-02-02</x:v>
      </x:c>
      <x:c r="E1516" s="13" t="str">
        <x:v>Вторник</x:v>
      </x:c>
      <x:c r="F1516" s="13" t="str">
        <x:v>Тренировка A — техника/объём</x:v>
      </x:c>
      <x:c r="G1516" s="44" t="n">
        <x:v>0.0020833333333333333</x:v>
      </x:c>
      <x:c r="H1516" s="44" t="n">
        <x:v>0.005555555555555556</x:v>
      </x:c>
      <x:c r="I1516" s="32" t="n">
        <x:f>ROUND((H1516-G1516)*1440,0)</x:f>
        <x:v>5</x:v>
      </x:c>
      <x:c r="J1516" s="13" t="str">
        <x:v>Разминка</x:v>
      </x:c>
      <x:c r="K1516" s="13" t="str">
        <x:v>Подними температуру: быстрая ходьба, лестница или лёгкий велотренажёр 5 минут.</x:v>
      </x:c>
      <x:c r="L1516" s="13" t="str">
        <x:v>☐ Не начато</x:v>
      </x:c>
      <x:c r="M1516" s="13" t="str">
        <x:v>Обязательно</x:v>
      </x:c>
      <x:c r="N1516" s="13" t="str">
        <x:v>RPE 2–3</x:v>
      </x:c>
      <x:c r="O1516" s="13" t="str"/>
      <x:c r="P1516" s="13" t="str">
        <x:v>milestone_06_transfer_and_consolidation/week_22_2027-02-01/02_TUESDAY.md</x:v>
      </x:c>
      <x:c r="Q1516" s="138" t="str">
        <x:v>Markdown</x:v>
      </x:c>
      <x:c r="R1516" s="20" t="str"/>
    </x:row>
    <x:row r="1517" ht="36" customHeight="1">
      <x:c r="A1517" s="19" t="str">
        <x:v>W22-20270202-1516</x:v>
      </x:c>
      <x:c r="B1517" s="13" t="n">
        <x:v>22</x:v>
      </x:c>
      <x:c r="C1517" s="13" t="str">
        <x:v>Этап 6 — Перенос навыков, шестёрки и закрепление</x:v>
      </x:c>
      <x:c r="D1517" s="138" t="str">
        <x:v>2027-02-02</x:v>
      </x:c>
      <x:c r="E1517" s="13" t="str">
        <x:v>Вторник</x:v>
      </x:c>
      <x:c r="F1517" s="13" t="str">
        <x:v>Тренировка A — техника/объём</x:v>
      </x:c>
      <x:c r="G1517" s="44" t="n">
        <x:v>0.005555555555555556</x:v>
      </x:c>
      <x:c r="H1517" s="44" t="n">
        <x:v>0.009027777777777777</x:v>
      </x:c>
      <x:c r="I1517" s="32" t="n">
        <x:f>ROUND((H1517-G1517)*1440,0)</x:f>
        <x:v>5</x:v>
      </x:c>
      <x:c r="J1517" s="13" t="str">
        <x:v>Разминка</x:v>
      </x:c>
      <x:c r="K151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517" s="13" t="str">
        <x:v>☐ Не начато</x:v>
      </x:c>
      <x:c r="M1517" s="13" t="str">
        <x:v>Обязательно</x:v>
      </x:c>
      <x:c r="N1517" s="13" t="str">
        <x:v>Очень легко</x:v>
      </x:c>
      <x:c r="O1517" s="13" t="str">
        <x:v>Не делай press/отжимания и движения, которые раздражают плечо.</x:v>
      </x:c>
      <x:c r="P1517" s="13" t="str">
        <x:v>milestone_06_transfer_and_consolidation/week_22_2027-02-01/02_TUESDAY.md</x:v>
      </x:c>
      <x:c r="Q1517" s="138" t="str">
        <x:v>Markdown</x:v>
      </x:c>
      <x:c r="R1517" s="20" t="str"/>
    </x:row>
    <x:row r="1518" ht="36" customHeight="1">
      <x:c r="A1518" s="19" t="str">
        <x:v>W22-20270202-1517</x:v>
      </x:c>
      <x:c r="B1518" s="13" t="n">
        <x:v>22</x:v>
      </x:c>
      <x:c r="C1518" s="13" t="str">
        <x:v>Этап 6 — Перенос навыков, шестёрки и закрепление</x:v>
      </x:c>
      <x:c r="D1518" s="138" t="str">
        <x:v>2027-02-02</x:v>
      </x:c>
      <x:c r="E1518" s="13" t="str">
        <x:v>Вторник</x:v>
      </x:c>
      <x:c r="F1518" s="13" t="str">
        <x:v>Тренировка A — техника/объём</x:v>
      </x:c>
      <x:c r="G1518" s="44" t="n">
        <x:v>0.009027777777777777</x:v>
      </x:c>
      <x:c r="H1518" s="44" t="n">
        <x:v>0.011805555555555555</x:v>
      </x:c>
      <x:c r="I1518" s="32" t="n">
        <x:f>ROUND((H1518-G1518)*1440,0)</x:f>
        <x:v>4</x:v>
      </x:c>
      <x:c r="J1518" s="13" t="str">
        <x:v>Разминка пальцев</x:v>
      </x:c>
      <x:c r="K151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518" s="13" t="str">
        <x:v>☐ Не начато</x:v>
      </x:c>
      <x:c r="M1518" s="13" t="str">
        <x:v>Обязательно</x:v>
      </x:c>
      <x:c r="N1518" s="13" t="str">
        <x:v>Очень легко</x:v>
      </x:c>
      <x:c r="O1518" s="13" t="str"/>
      <x:c r="P1518" s="13" t="str">
        <x:v>milestone_06_transfer_and_consolidation/week_22_2027-02-01/02_TUESDAY.md</x:v>
      </x:c>
      <x:c r="Q1518" s="138" t="str">
        <x:v>Markdown</x:v>
      </x:c>
      <x:c r="R1518" s="20" t="str"/>
    </x:row>
    <x:row r="1519" ht="36" customHeight="1">
      <x:c r="A1519" s="19" t="str">
        <x:v>W22-20270202-1518</x:v>
      </x:c>
      <x:c r="B1519" s="13" t="n">
        <x:v>22</x:v>
      </x:c>
      <x:c r="C1519" s="13" t="str">
        <x:v>Этап 6 — Перенос навыков, шестёрки и закрепление</x:v>
      </x:c>
      <x:c r="D1519" s="138" t="str">
        <x:v>2027-02-02</x:v>
      </x:c>
      <x:c r="E1519" s="13" t="str">
        <x:v>Вторник</x:v>
      </x:c>
      <x:c r="F1519" s="13" t="str">
        <x:v>Тренировка A — техника/объём</x:v>
      </x:c>
      <x:c r="G1519" s="44" t="n">
        <x:v>0.011805555555555555</x:v>
      </x:c>
      <x:c r="H1519" s="44" t="n">
        <x:v>0.014583333333333334</x:v>
      </x:c>
      <x:c r="I1519" s="32" t="n">
        <x:f>ROUND((H1519-G1519)*1440,0)</x:f>
        <x:v>4</x:v>
      </x:c>
      <x:c r="J1519" s="13" t="str">
        <x:v>Разминочное лазание</x:v>
      </x:c>
      <x:c r="K1519" s="13" t="str">
        <x:v>Пройди 2 очень лёгкие трассы уровня 1–2; двигайся медленно, спускайся по зацепам.</x:v>
      </x:c>
      <x:c r="L1519" s="13" t="str">
        <x:v>☐ Не начато</x:v>
      </x:c>
      <x:c r="M1519" s="13" t="str">
        <x:v>Обязательно</x:v>
      </x:c>
      <x:c r="N1519" s="13" t="str">
        <x:v>RPE 2–3</x:v>
      </x:c>
      <x:c r="O1519" s="13" t="str">
        <x:v>Финиш с обязательным болезненным mantle/press пропусти.</x:v>
      </x:c>
      <x:c r="P1519" s="13" t="str">
        <x:v>milestone_06_transfer_and_consolidation/week_22_2027-02-01/02_TUESDAY.md</x:v>
      </x:c>
      <x:c r="Q1519" s="138" t="str">
        <x:v>Markdown</x:v>
      </x:c>
      <x:c r="R1519" s="20" t="str"/>
    </x:row>
    <x:row r="1520" ht="36" customHeight="1">
      <x:c r="A1520" s="19" t="str">
        <x:v>W22-20270202-1519</x:v>
      </x:c>
      <x:c r="B1520" s="13" t="n">
        <x:v>22</x:v>
      </x:c>
      <x:c r="C1520" s="13" t="str">
        <x:v>Этап 6 — Перенос навыков, шестёрки и закрепление</x:v>
      </x:c>
      <x:c r="D1520" s="138" t="str">
        <x:v>2027-02-02</x:v>
      </x:c>
      <x:c r="E1520" s="13" t="str">
        <x:v>Вторник</x:v>
      </x:c>
      <x:c r="F1520" s="13" t="str">
        <x:v>Тренировка A — техника/объём</x:v>
      </x:c>
      <x:c r="G1520" s="44" t="n">
        <x:v>0.014583333333333334</x:v>
      </x:c>
      <x:c r="H1520" s="44" t="n">
        <x:v>0.017361111111111112</x:v>
      </x:c>
      <x:c r="I1520" s="32" t="n">
        <x:f>ROUND((H1520-G1520)*1440,0)</x:f>
        <x:v>4</x:v>
      </x:c>
      <x:c r="J1520" s="13" t="str">
        <x:v>Разминочное лазание</x:v>
      </x:c>
      <x:c r="K1520" s="13" t="str">
        <x:v>Пройди 2 трассы уровня 2–3, затем сделай 2–3 движения на комфортной четвёрке. Между ними 45–60 секунд.</x:v>
      </x:c>
      <x:c r="L1520" s="13" t="str">
        <x:v>☐ Не начато</x:v>
      </x:c>
      <x:c r="M1520" s="13" t="str">
        <x:v>Обязательно</x:v>
      </x:c>
      <x:c r="N1520" s="13" t="str">
        <x:v>RPE 3–4</x:v>
      </x:c>
      <x:c r="O1520" s="13" t="str">
        <x:v>Разминка не должна утомить пальцы.</x:v>
      </x:c>
      <x:c r="P1520" s="13" t="str">
        <x:v>milestone_06_transfer_and_consolidation/week_22_2027-02-01/02_TUESDAY.md</x:v>
      </x:c>
      <x:c r="Q1520" s="138" t="str">
        <x:v>Markdown</x:v>
      </x:c>
      <x:c r="R1520" s="20" t="str"/>
    </x:row>
    <x:row r="1521" ht="36" customHeight="1">
      <x:c r="A1521" s="19" t="str">
        <x:v>W22-20270202-1520</x:v>
      </x:c>
      <x:c r="B1521" s="13" t="n">
        <x:v>22</x:v>
      </x:c>
      <x:c r="C1521" s="13" t="str">
        <x:v>Этап 6 — Перенос навыков, шестёрки и закрепление</x:v>
      </x:c>
      <x:c r="D1521" s="138" t="str">
        <x:v>2027-02-02</x:v>
      </x:c>
      <x:c r="E1521" s="13" t="str">
        <x:v>Вторник</x:v>
      </x:c>
      <x:c r="F1521" s="13" t="str">
        <x:v>Тренировка A — техника/объём</x:v>
      </x:c>
      <x:c r="G1521" s="44" t="n">
        <x:v>0.017361111111111112</x:v>
      </x:c>
      <x:c r="H1521" s="44" t="n">
        <x:v>0.02013888888888889</x:v>
      </x:c>
      <x:c r="I1521" s="32" t="n">
        <x:f>ROUND((H1521-G1521)*1440,0)</x:f>
        <x:v>4</x:v>
      </x:c>
      <x:c r="J1521" s="13" t="str">
        <x:v>Выбор трасс</x:v>
      </x:c>
      <x:c r="K1521" s="13" t="str">
        <x:v>Найди трассы для упражнения: 2 четвёрки + 2 пятёрки в стиле основной шестёрки, но заметно легче.</x:v>
      </x:c>
      <x:c r="L1521" s="13" t="str">
        <x:v>☐ Не начато</x:v>
      </x:c>
      <x:c r="M1521" s="13" t="str">
        <x:v>Обязательно</x:v>
      </x:c>
      <x:c r="N1521" s="13" t="str">
        <x:v>Без нагрузки</x:v>
      </x:c>
      <x:c r="O1521" s="13" t="str">
        <x:v>Не выбирать шестёрку только потому, что она новая/красивая: движение должно быть совместимо с плечом и коленом.</x:v>
      </x:c>
      <x:c r="P1521" s="13" t="str">
        <x:v>milestone_06_transfer_and_consolidation/week_22_2027-02-01/02_TUESDAY.md</x:v>
      </x:c>
      <x:c r="Q1521" s="138" t="str">
        <x:v>Markdown</x:v>
      </x:c>
      <x:c r="R1521" s="20" t="str"/>
    </x:row>
    <x:row r="1522" ht="36" customHeight="1">
      <x:c r="A1522" s="19" t="str">
        <x:v>W22-20270202-1521</x:v>
      </x:c>
      <x:c r="B1522" s="13" t="n">
        <x:v>22</x:v>
      </x:c>
      <x:c r="C1522" s="13" t="str">
        <x:v>Этап 6 — Перенос навыков, шестёрки и закрепление</x:v>
      </x:c>
      <x:c r="D1522" s="138" t="str">
        <x:v>2027-02-02</x:v>
      </x:c>
      <x:c r="E1522" s="13" t="str">
        <x:v>Вторник</x:v>
      </x:c>
      <x:c r="F1522" s="13" t="str">
        <x:v>Тренировка A — техника/объём</x:v>
      </x:c>
      <x:c r="G1522" s="44" t="n">
        <x:v>0.02013888888888889</x:v>
      </x:c>
      <x:c r="H1522" s="44" t="n">
        <x:v>0.03194444444444444</x:v>
      </x:c>
      <x:c r="I1522" s="32" t="n">
        <x:f>ROUND((H1522-G1522)*1440,0)</x:f>
        <x:v>17</x:v>
      </x:c>
      <x:c r="J1522" s="13" t="str">
        <x:v>Технический блок</x:v>
      </x:c>
      <x:c r="K1522" s="13" t="str">
        <x:v>Отработай «Диагностика основной шестёрки». Шаги: Сделай две диагностические полные попытки. После каждой запиши точную причину падения. Следующие 2–3 попытки адресуют по одной причине.</x:v>
      </x:c>
      <x:c r="L1522" s="13" t="str">
        <x:v>☐ Не начато</x:v>
      </x:c>
      <x:c r="M1522" s="13" t="str">
        <x:v>Обязательно</x:v>
      </x:c>
      <x:c r="N1522" s="13" t="str">
        <x:v>RPE 3–5</x:v>
      </x:c>
      <x:c r="O1522" s="13" t="str">
        <x:v>Никакого обязательного болезненного press/dyno.</x:v>
      </x:c>
      <x:c r="P1522" s="13" t="str">
        <x:v>milestone_06_transfer_and_consolidation/week_22_2027-02-01/02_TUESDAY.md</x:v>
      </x:c>
      <x:c r="Q1522" s="138" t="str">
        <x:v>Markdown</x:v>
      </x:c>
      <x:c r="R1522" s="20" t="str"/>
    </x:row>
    <x:row r="1523" ht="36" customHeight="1">
      <x:c r="A1523" s="19" t="str">
        <x:v>W22-20270202-1522</x:v>
      </x:c>
      <x:c r="B1523" s="13" t="n">
        <x:v>22</x:v>
      </x:c>
      <x:c r="C1523" s="13" t="str">
        <x:v>Этап 6 — Перенос навыков, шестёрки и закрепление</x:v>
      </x:c>
      <x:c r="D1523" s="138" t="str">
        <x:v>2027-02-02</x:v>
      </x:c>
      <x:c r="E1523" s="13" t="str">
        <x:v>Вторник</x:v>
      </x:c>
      <x:c r="F1523" s="13" t="str">
        <x:v>Тренировка A — техника/объём</x:v>
      </x:c>
      <x:c r="G1523" s="44" t="n">
        <x:v>0.03194444444444444</x:v>
      </x:c>
      <x:c r="H1523" s="44" t="n">
        <x:v>0.035416666666666666</x:v>
      </x:c>
      <x:c r="I1523" s="32" t="n">
        <x:f>ROUND((H1523-G1523)*1440,0)</x:f>
        <x:v>5</x:v>
      </x:c>
      <x:c r="J1523" s="13" t="str">
        <x:v>Обратная связь</x:v>
      </x:c>
      <x:c r="K1523" s="13" t="str">
        <x:v>Повтори лучшую лёгкую трассу и проверь критерий успеха: У каждой попытки есть конкретная цель и следующая гипотеза.</x:v>
      </x:c>
      <x:c r="L1523" s="13" t="str">
        <x:v>☐ Не начато</x:v>
      </x:c>
      <x:c r="M1523" s="13" t="str">
        <x:v>Обязательно</x:v>
      </x:c>
      <x:c r="N1523" s="13" t="str">
        <x:v>RPE 4–5</x:v>
      </x:c>
      <x:c r="O1523" s="13" t="str"/>
      <x:c r="P1523" s="13" t="str">
        <x:v>milestone_06_transfer_and_consolidation/week_22_2027-02-01/02_TUESDAY.md</x:v>
      </x:c>
      <x:c r="Q1523" s="138" t="str">
        <x:v>Markdown</x:v>
      </x:c>
      <x:c r="R1523" s="20" t="str"/>
    </x:row>
    <x:row r="1524" ht="36" customHeight="1">
      <x:c r="A1524" s="19" t="str">
        <x:v>W22-20270202-1523</x:v>
      </x:c>
      <x:c r="B1524" s="13" t="n">
        <x:v>22</x:v>
      </x:c>
      <x:c r="C1524" s="13" t="str">
        <x:v>Этап 6 — Перенос навыков, шестёрки и закрепление</x:v>
      </x:c>
      <x:c r="D1524" s="138" t="str">
        <x:v>2027-02-02</x:v>
      </x:c>
      <x:c r="E1524" s="13" t="str">
        <x:v>Вторник</x:v>
      </x:c>
      <x:c r="F1524" s="13" t="str">
        <x:v>Тренировка A — техника/объём</x:v>
      </x:c>
      <x:c r="G1524" s="44" t="n">
        <x:v>0.035416666666666666</x:v>
      </x:c>
      <x:c r="H1524" s="44" t="n">
        <x:v>0.04583333333333333</x:v>
      </x:c>
      <x:c r="I1524" s="32" t="n">
        <x:f>ROUND((H1524-G1524)*1440,0)</x:f>
        <x:v>15</x:v>
      </x:c>
      <x:c r="J1524" s="13" t="str">
        <x:v>Качественный объём</x:v>
      </x:c>
      <x:c r="K1524" s="13" t="str">
        <x:v>Попробуй 2–3 четвёрки, максимум 2 попытки на каждую, отдых 2:00. На неудаче назови техническую причину.</x:v>
      </x:c>
      <x:c r="L1524" s="13" t="str">
        <x:v>☐ Не начато</x:v>
      </x:c>
      <x:c r="M1524" s="13" t="str">
        <x:v>Обязательно</x:v>
      </x:c>
      <x:c r="N1524" s="13" t="str">
        <x:v>RPE 6–7</x:v>
      </x:c>
      <x:c r="O1524" s="13" t="str">
        <x:v>Не выбирать подряд три трассы на одинаково маленьких кромках.</x:v>
      </x:c>
      <x:c r="P1524" s="13" t="str">
        <x:v>milestone_06_transfer_and_consolidation/week_22_2027-02-01/02_TUESDAY.md</x:v>
      </x:c>
      <x:c r="Q1524" s="138" t="str">
        <x:v>Markdown</x:v>
      </x:c>
      <x:c r="R1524" s="20" t="str"/>
    </x:row>
    <x:row r="1525" ht="36" customHeight="1">
      <x:c r="A1525" s="19" t="str">
        <x:v>W22-20270202-1524</x:v>
      </x:c>
      <x:c r="B1525" s="13" t="n">
        <x:v>22</x:v>
      </x:c>
      <x:c r="C1525" s="13" t="str">
        <x:v>Этап 6 — Перенос навыков, шестёрки и закрепление</x:v>
      </x:c>
      <x:c r="D1525" s="138" t="str">
        <x:v>2027-02-02</x:v>
      </x:c>
      <x:c r="E1525" s="13" t="str">
        <x:v>Вторник</x:v>
      </x:c>
      <x:c r="F1525" s="13" t="str">
        <x:v>Тренировка A — техника/объём</x:v>
      </x:c>
      <x:c r="G1525" s="44" t="n">
        <x:v>0.04583333333333333</x:v>
      </x:c>
      <x:c r="H1525" s="44" t="n">
        <x:v>0.052083333333333336</x:v>
      </x:c>
      <x:c r="I1525" s="32" t="n">
        <x:f>ROUND((H1525-G1525)*1440,0)</x:f>
        <x:v>9</x:v>
      </x:c>
      <x:c r="J1525" s="13" t="str">
        <x:v>Рабочая пятёрка</x:v>
      </x:c>
      <x:c r="K1525" s="13" t="str">
        <x:v>Одна пятёрка, максимум 2 попытки, отдых 3:00. Цель — применить тему недели, а не обязательно закрыть.</x:v>
      </x:c>
      <x:c r="L1525" s="13" t="str">
        <x:v>☐ Не начато</x:v>
      </x:c>
      <x:c r="M1525" s="13" t="str">
        <x:v>Обязательно</x:v>
      </x:c>
      <x:c r="N1525" s="13" t="str">
        <x:v>RPE 7–8</x:v>
      </x:c>
      <x:c r="O1525" s="13" t="str">
        <x:v>Не выбирать шестёрку только потому, что она новая/красивая: движение должно быть совместимо с плечом и коленом.</x:v>
      </x:c>
      <x:c r="P1525" s="13" t="str">
        <x:v>milestone_06_transfer_and_consolidation/week_22_2027-02-01/02_TUESDAY.md</x:v>
      </x:c>
      <x:c r="Q1525" s="138" t="str">
        <x:v>Markdown</x:v>
      </x:c>
      <x:c r="R1525" s="20" t="str"/>
    </x:row>
    <x:row r="1526" ht="36" customHeight="1">
      <x:c r="A1526" s="19" t="str">
        <x:v>W22-20270202-1525</x:v>
      </x:c>
      <x:c r="B1526" s="13" t="n">
        <x:v>22</x:v>
      </x:c>
      <x:c r="C1526" s="13" t="str">
        <x:v>Этап 6 — Перенос навыков, шестёрки и закрепление</x:v>
      </x:c>
      <x:c r="D1526" s="138" t="str">
        <x:v>2027-02-02</x:v>
      </x:c>
      <x:c r="E1526" s="13" t="str">
        <x:v>Вторник</x:v>
      </x:c>
      <x:c r="F1526" s="13" t="str">
        <x:v>Тренировка A — техника/объём</x:v>
      </x:c>
      <x:c r="G1526" s="44" t="n">
        <x:v>0.052083333333333336</x:v>
      </x:c>
      <x:c r="H1526" s="44" t="n">
        <x:v>0.058333333333333334</x:v>
      </x:c>
      <x:c r="I1526" s="32" t="n">
        <x:f>ROUND((H1526-G1526)*1440,0)</x:f>
        <x:v>9</x:v>
      </x:c>
      <x:c r="J1526" s="13" t="str">
        <x:v>Лёгкая выносливость</x:v>
      </x:c>
      <x:c r="K1526" s="13" t="str">
        <x:v>Начни 2 раунда × 4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526" s="13" t="str">
        <x:v>☐ Не начато</x:v>
      </x:c>
      <x:c r="M1526" s="13" t="str">
        <x:v>Обязательно</x:v>
      </x:c>
      <x:c r="N1526" s="13" t="str">
        <x:v>Памп максимум 4/10</x:v>
      </x:c>
      <x:c r="O1526" s="13" t="str">
        <x:v>Остановиться при неточной постановке ног или разжимании пальцев.</x:v>
      </x:c>
      <x:c r="P1526" s="13" t="str">
        <x:v>milestone_06_transfer_and_consolidation/week_22_2027-02-01/02_TUESDAY.md</x:v>
      </x:c>
      <x:c r="Q1526" s="138" t="str">
        <x:v>Markdown</x:v>
      </x:c>
      <x:c r="R1526" s="20" t="str"/>
    </x:row>
    <x:row r="1527" ht="36" customHeight="1">
      <x:c r="A1527" s="19" t="str">
        <x:v>W22-20270202-1526</x:v>
      </x:c>
      <x:c r="B1527" s="13" t="n">
        <x:v>22</x:v>
      </x:c>
      <x:c r="C1527" s="13" t="str">
        <x:v>Этап 6 — Перенос навыков, шестёрки и закрепление</x:v>
      </x:c>
      <x:c r="D1527" s="138" t="str">
        <x:v>2027-02-02</x:v>
      </x:c>
      <x:c r="E1527" s="13" t="str">
        <x:v>Вторник</x:v>
      </x:c>
      <x:c r="F1527" s="13" t="str">
        <x:v>Тренировка A — техника/объём</x:v>
      </x:c>
      <x:c r="G1527" s="44" t="n">
        <x:v>0.058333333333333334</x:v>
      </x:c>
      <x:c r="H1527" s="44" t="n">
        <x:v>0.06041666666666667</x:v>
      </x:c>
      <x:c r="I1527" s="32" t="n">
        <x:f>ROUND((H1527-G1527)*1440,0)</x:f>
        <x:v>3</x:v>
      </x:c>
      <x:c r="J1527" s="13" t="str">
        <x:v>Завершение</x:v>
      </x:c>
      <x:c r="K1527" s="13" t="str">
        <x:v>Очень лёгкий спуск/ходьба и спокойное встряхивание кистей.</x:v>
      </x:c>
      <x:c r="L1527" s="13" t="str">
        <x:v>☐ Не начато</x:v>
      </x:c>
      <x:c r="M1527" s="13" t="str">
        <x:v>Обязательно</x:v>
      </x:c>
      <x:c r="N1527" s="13" t="str">
        <x:v>RPE 1–2</x:v>
      </x:c>
      <x:c r="O1527" s="13" t="str"/>
      <x:c r="P1527" s="13" t="str">
        <x:v>milestone_06_transfer_and_consolidation/week_22_2027-02-01/02_TUESDAY.md</x:v>
      </x:c>
      <x:c r="Q1527" s="138" t="str">
        <x:v>Markdown</x:v>
      </x:c>
      <x:c r="R1527" s="20" t="str"/>
    </x:row>
    <x:row r="1528" ht="36" customHeight="1">
      <x:c r="A1528" s="19" t="str">
        <x:v>W22-20270202-1527</x:v>
      </x:c>
      <x:c r="B1528" s="13" t="n">
        <x:v>22</x:v>
      </x:c>
      <x:c r="C1528" s="13" t="str">
        <x:v>Этап 6 — Перенос навыков, шестёрки и закрепление</x:v>
      </x:c>
      <x:c r="D1528" s="138" t="str">
        <x:v>2027-02-02</x:v>
      </x:c>
      <x:c r="E1528" s="13" t="str">
        <x:v>Вторник</x:v>
      </x:c>
      <x:c r="F1528" s="13" t="str">
        <x:v>Тренировка A — техника/объём</x:v>
      </x:c>
      <x:c r="G1528" s="44" t="n">
        <x:v>0.06041666666666667</x:v>
      </x:c>
      <x:c r="H1528" s="44" t="n">
        <x:v>0.0625</x:v>
      </x:c>
      <x:c r="I1528" s="32" t="n">
        <x:f>ROUND((H1528-G1528)*1440,0)</x:f>
        <x:v>3</x:v>
      </x:c>
      <x:c r="J1528" s="13" t="str">
        <x:v>Журнал</x:v>
      </x:c>
      <x:c r="K1528" s="13" t="str">
        <x:v>Запиши: Записать точную причину падения на каждой попытке и одну следующую гипотезу. Также отметь минуту первой просадки хвата.</x:v>
      </x:c>
      <x:c r="L1528" s="13" t="str">
        <x:v>☐ Не начато</x:v>
      </x:c>
      <x:c r="M1528" s="13" t="str">
        <x:v>Обязательно</x:v>
      </x:c>
      <x:c r="N1528" s="13" t="str">
        <x:v>Без нагрузки</x:v>
      </x:c>
      <x:c r="O1528" s="13" t="str"/>
      <x:c r="P1528" s="13" t="str">
        <x:v>milestone_06_transfer_and_consolidation/week_22_2027-02-01/02_TUESDAY.md</x:v>
      </x:c>
      <x:c r="Q1528" s="138" t="str">
        <x:v>Markdown</x:v>
      </x:c>
      <x:c r="R1528" s="20" t="str"/>
    </x:row>
    <x:row r="1529" ht="36" customHeight="1">
      <x:c r="A1529" s="19" t="str">
        <x:v>W22-20270203-1528</x:v>
      </x:c>
      <x:c r="B1529" s="13" t="n">
        <x:v>22</x:v>
      </x:c>
      <x:c r="C1529" s="13" t="str">
        <x:v>Этап 6 — Перенос навыков, шестёрки и закрепление</x:v>
      </x:c>
      <x:c r="D1529" s="138" t="str">
        <x:v>2027-02-03</x:v>
      </x:c>
      <x:c r="E1529" s="13" t="str">
        <x:v>Среда</x:v>
      </x:c>
      <x:c r="F1529" s="13" t="str">
        <x:v>Восстановление / видео</x:v>
      </x:c>
      <x:c r="G1529" s="44" t="n">
        <x:v>0</x:v>
      </x:c>
      <x:c r="H1529" s="44" t="n">
        <x:v>0.006944444444444444</x:v>
      </x:c>
      <x:c r="I1529" s="32" t="n">
        <x:f>ROUND((H1529-G1529)*1440,0)</x:f>
        <x:v>10</x:v>
      </x:c>
      <x:c r="J1529" s="13" t="str">
        <x:v>Восстановление</x:v>
      </x:c>
      <x:c r="K1529" s="13" t="str">
        <x:v>10 минут спокойной ходьбы. Руки расслаблены; это не тренировка выносливости.</x:v>
      </x:c>
      <x:c r="L1529" s="13" t="str">
        <x:v>☐ Не начато</x:v>
      </x:c>
      <x:c r="M1529" s="13" t="str">
        <x:v>Обязательно</x:v>
      </x:c>
      <x:c r="N1529" s="13" t="str">
        <x:v>RPE 1–2</x:v>
      </x:c>
      <x:c r="O1529" s="13" t="str"/>
      <x:c r="P1529" s="13" t="str">
        <x:v>milestone_06_transfer_and_consolidation/week_22_2027-02-01/03_WEDNESDAY.md</x:v>
      </x:c>
      <x:c r="Q1529" s="138" t="str">
        <x:v>Markdown</x:v>
      </x:c>
      <x:c r="R1529" s="20" t="str"/>
    </x:row>
    <x:row r="1530" ht="36" customHeight="1">
      <x:c r="A1530" s="19" t="str">
        <x:v>W22-20270203-1529</x:v>
      </x:c>
      <x:c r="B1530" s="13" t="n">
        <x:v>22</x:v>
      </x:c>
      <x:c r="C1530" s="13" t="str">
        <x:v>Этап 6 — Перенос навыков, шестёрки и закрепление</x:v>
      </x:c>
      <x:c r="D1530" s="138" t="str">
        <x:v>2027-02-03</x:v>
      </x:c>
      <x:c r="E1530" s="13" t="str">
        <x:v>Среда</x:v>
      </x:c>
      <x:c r="F1530" s="13" t="str">
        <x:v>Восстановление / видео</x:v>
      </x:c>
      <x:c r="G1530" s="44" t="n">
        <x:v>0.006944444444444444</x:v>
      </x:c>
      <x:c r="H1530" s="44" t="n">
        <x:v>0.009027777777777777</x:v>
      </x:c>
      <x:c r="I1530" s="32" t="n">
        <x:f>ROUND((H1530-G1530)*1440,0)</x:f>
        <x:v>3</x:v>
      </x:c>
      <x:c r="J1530" s="13" t="str">
        <x:v>Самопроверка</x:v>
      </x:c>
      <x:c r="K1530" s="13" t="str">
        <x:v>Оцени реакцию после вторника: плечо, пальцы, правое колено 0–10. Запиши, что изменилось относительно вчерашнего утра.</x:v>
      </x:c>
      <x:c r="L1530" s="13" t="str">
        <x:v>☐ Не начато</x:v>
      </x:c>
      <x:c r="M1530" s="13" t="str">
        <x:v>Обязательно</x:v>
      </x:c>
      <x:c r="N1530" s="13" t="str">
        <x:v>Без нагрузки</x:v>
      </x:c>
      <x:c r="O1530" s="13" t="str">
        <x:v>Острая локальная боль пальца или ухудшение плеча = не делать четверговую пальцевую нагрузку.</x:v>
      </x:c>
      <x:c r="P1530" s="13" t="str">
        <x:v>milestone_06_transfer_and_consolidation/week_22_2027-02-01/03_WEDNESDAY.md</x:v>
      </x:c>
      <x:c r="Q1530" s="138" t="str">
        <x:v>Markdown</x:v>
      </x:c>
      <x:c r="R1530" s="20" t="str"/>
    </x:row>
    <x:row r="1531" ht="36" customHeight="1">
      <x:c r="A1531" s="19" t="str">
        <x:v>W22-20270203-1530</x:v>
      </x:c>
      <x:c r="B1531" s="13" t="n">
        <x:v>22</x:v>
      </x:c>
      <x:c r="C1531" s="13" t="str">
        <x:v>Этап 6 — Перенос навыков, шестёрки и закрепление</x:v>
      </x:c>
      <x:c r="D1531" s="138" t="str">
        <x:v>2027-02-03</x:v>
      </x:c>
      <x:c r="E1531" s="13" t="str">
        <x:v>Среда</x:v>
      </x:c>
      <x:c r="F1531" s="13" t="str">
        <x:v>Восстановление / видео</x:v>
      </x:c>
      <x:c r="G1531" s="44" t="n">
        <x:v>0.009027777777777777</x:v>
      </x:c>
      <x:c r="H1531" s="44" t="n">
        <x:v>0.01597222222222222</x:v>
      </x:c>
      <x:c r="I1531" s="32" t="n">
        <x:f>ROUND((H1531-G1531)*1440,0)</x:f>
        <x:v>10</x:v>
      </x:c>
      <x:c r="J1531" s="13" t="str">
        <x:v>Видеоразбор</x:v>
      </x:c>
      <x:c r="K1531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531" s="13" t="str">
        <x:v>☐ Не начато</x:v>
      </x:c>
      <x:c r="M1531" s="13" t="str">
        <x:v>Обязательно</x:v>
      </x:c>
      <x:c r="N1531" s="13" t="str">
        <x:v>Без нагрузки</x:v>
      </x:c>
      <x:c r="O1531" s="13" t="str"/>
      <x:c r="P1531" s="13" t="str">
        <x:v>milestone_06_transfer_and_consolidation/week_22_2027-02-01/03_WEDNESDAY.md</x:v>
      </x:c>
      <x:c r="Q1531" s="138" t="str">
        <x:v>Markdown</x:v>
      </x:c>
      <x:c r="R1531" s="20" t="str"/>
    </x:row>
    <x:row r="1532" ht="36" customHeight="1">
      <x:c r="A1532" s="19" t="str">
        <x:v>W22-20270203-1531</x:v>
      </x:c>
      <x:c r="B1532" s="13" t="n">
        <x:v>22</x:v>
      </x:c>
      <x:c r="C1532" s="13" t="str">
        <x:v>Этап 6 — Перенос навыков, шестёрки и закрепление</x:v>
      </x:c>
      <x:c r="D1532" s="138" t="str">
        <x:v>2027-02-03</x:v>
      </x:c>
      <x:c r="E1532" s="13" t="str">
        <x:v>Среда</x:v>
      </x:c>
      <x:c r="F1532" s="13" t="str">
        <x:v>Восстановление / видео</x:v>
      </x:c>
      <x:c r="G1532" s="44" t="n">
        <x:v>0.01597222222222222</x:v>
      </x:c>
      <x:c r="H1532" s="44" t="n">
        <x:v>0.01875</x:v>
      </x:c>
      <x:c r="I1532" s="32" t="n">
        <x:f>ROUND((H1532-G1532)*1440,0)</x:f>
        <x:v>4</x:v>
      </x:c>
      <x:c r="J1532" s="13" t="str">
        <x:v>Конспект</x:v>
      </x:c>
      <x:c r="K1532" s="13" t="str">
        <x:v>Запиши одну правку на четверг в формате «В следующей попытке я…». Используй cue: «Первые две попытки собирают данные; следующие меняют по одной переменной.».</x:v>
      </x:c>
      <x:c r="L1532" s="13" t="str">
        <x:v>☐ Не начато</x:v>
      </x:c>
      <x:c r="M1532" s="13" t="str">
        <x:v>Обязательно</x:v>
      </x:c>
      <x:c r="N1532" s="13" t="str">
        <x:v>Без нагрузки</x:v>
      </x:c>
      <x:c r="O1532" s="13" t="str"/>
      <x:c r="P1532" s="13" t="str">
        <x:v>milestone_06_transfer_and_consolidation/week_22_2027-02-01/03_WEDNESDAY.md</x:v>
      </x:c>
      <x:c r="Q1532" s="138" t="str">
        <x:v>Markdown</x:v>
      </x:c>
      <x:c r="R1532" s="20" t="str"/>
    </x:row>
    <x:row r="1533" ht="36" customHeight="1">
      <x:c r="A1533" s="19" t="str">
        <x:v>W22-20270203-1532</x:v>
      </x:c>
      <x:c r="B1533" s="13" t="n">
        <x:v>22</x:v>
      </x:c>
      <x:c r="C1533" s="13" t="str">
        <x:v>Этап 6 — Перенос навыков, шестёрки и закрепление</x:v>
      </x:c>
      <x:c r="D1533" s="138" t="str">
        <x:v>2027-02-03</x:v>
      </x:c>
      <x:c r="E1533" s="13" t="str">
        <x:v>Среда</x:v>
      </x:c>
      <x:c r="F1533" s="13" t="str">
        <x:v>Восстановление / видео</x:v>
      </x:c>
      <x:c r="G1533" s="44" t="n">
        <x:v>0.01875</x:v>
      </x:c>
      <x:c r="H1533" s="44" t="n">
        <x:v>0.027083333333333334</x:v>
      </x:c>
      <x:c r="I1533" s="32" t="n">
        <x:f>ROUND((H1533-G1533)*1440,0)</x:f>
        <x:v>12</x:v>
      </x:c>
      <x:c r="J1533" s="13" t="str">
        <x:v>Домашняя мобильность</x:v>
      </x:c>
      <x:c r="K1533" s="13" t="str">
        <x:v>Выполни комплекс H1 «База: таз, корпус и стопы», 12 минут. Ни турника, ни колец для дополнительного хвата.</x:v>
      </x:c>
      <x:c r="L1533" s="13" t="str">
        <x:v>☐ Не начато</x:v>
      </x:c>
      <x:c r="M1533" s="13" t="str">
        <x:v>Обязательно</x:v>
      </x:c>
      <x:c r="N1533" s="13" t="str">
        <x:v>RPE 2–3</x:v>
      </x:c>
      <x:c r="O1533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533" s="13" t="str">
        <x:v>milestone_06_transfer_and_consolidation/week_22_2027-02-01/03_WEDNESDAY.md</x:v>
      </x:c>
      <x:c r="Q1533" s="138" t="str">
        <x:v>Markdown</x:v>
      </x:c>
      <x:c r="R1533" s="20" t="str"/>
    </x:row>
    <x:row r="1534" ht="36" customHeight="1">
      <x:c r="A1534" s="19" t="str">
        <x:v>W22-20270203-1533</x:v>
      </x:c>
      <x:c r="B1534" s="13" t="n">
        <x:v>22</x:v>
      </x:c>
      <x:c r="C1534" s="13" t="str">
        <x:v>Этап 6 — Перенос навыков, шестёрки и закрепление</x:v>
      </x:c>
      <x:c r="D1534" s="138" t="str">
        <x:v>2027-02-03</x:v>
      </x:c>
      <x:c r="E1534" s="13" t="str">
        <x:v>Среда</x:v>
      </x:c>
      <x:c r="F1534" s="13" t="str">
        <x:v>Восстановление / видео</x:v>
      </x:c>
      <x:c r="G1534" s="44" t="n">
        <x:v>0.027083333333333334</x:v>
      </x:c>
      <x:c r="H1534" s="44" t="n">
        <x:v>0.04097222222222222</x:v>
      </x:c>
      <x:c r="I1534" s="32" t="n">
        <x:f>ROUND((H1534-G1534)*1440,0)</x:f>
        <x:v>20</x:v>
      </x:c>
      <x:c r="J1534" s="13" t="str">
        <x:v>Физиотерапия</x:v>
      </x:c>
      <x:c r="K1534" s="13" t="str">
        <x:v>Выполни свой назначенный физиотерапевтом комплекс, если среда входит в его расписание.</x:v>
      </x:c>
      <x:c r="L1534" s="13" t="str">
        <x:v>☐ Не начато</x:v>
      </x:c>
      <x:c r="M1534" s="13" t="str">
        <x:v>По назначению</x:v>
      </x:c>
      <x:c r="N1534" s="13" t="str">
        <x:v>По назначению</x:v>
      </x:c>
      <x:c r="O1534" s="13" t="str">
        <x:v>Назначения физиотерапевта имеют приоритет.</x:v>
      </x:c>
      <x:c r="P1534" s="13" t="str">
        <x:v>milestone_06_transfer_and_consolidation/week_22_2027-02-01/03_WEDNESDAY.md</x:v>
      </x:c>
      <x:c r="Q1534" s="138" t="str">
        <x:v>Markdown</x:v>
      </x:c>
      <x:c r="R1534" s="20" t="str"/>
    </x:row>
    <x:row r="1535" ht="36" customHeight="1">
      <x:c r="A1535" s="19" t="str">
        <x:v>W22-20270203-1534</x:v>
      </x:c>
      <x:c r="B1535" s="13" t="n">
        <x:v>22</x:v>
      </x:c>
      <x:c r="C1535" s="13" t="str">
        <x:v>Этап 6 — Перенос навыков, шестёрки и закрепление</x:v>
      </x:c>
      <x:c r="D1535" s="138" t="str">
        <x:v>2027-02-03</x:v>
      </x:c>
      <x:c r="E1535" s="13" t="str">
        <x:v>Среда</x:v>
      </x:c>
      <x:c r="F1535" s="13" t="str">
        <x:v>Восстановление / видео</x:v>
      </x:c>
      <x:c r="G1535" s="44" t="n">
        <x:v>0.04097222222222222</x:v>
      </x:c>
      <x:c r="H1535" s="44" t="n">
        <x:v>0.043055555555555555</x:v>
      </x:c>
      <x:c r="I1535" s="32" t="n">
        <x:f>ROUND((H1535-G1535)*1440,0)</x:f>
        <x:v>3</x:v>
      </x:c>
      <x:c r="J1535" s="13" t="str">
        <x:v>Запрет лишней нагрузки</x:v>
      </x:c>
      <x:c r="K1535" s="13" t="str">
        <x:v>Поставь отметку: сегодня не было висов, подтягиваний «на проверку», эспандера-сжимателя или тяжёлого ношения.</x:v>
      </x:c>
      <x:c r="L1535" s="13" t="str">
        <x:v>☐ Не начато</x:v>
      </x:c>
      <x:c r="M1535" s="13" t="str">
        <x:v>Обязательно</x:v>
      </x:c>
      <x:c r="N1535" s="13" t="str">
        <x:v>Восстановление</x:v>
      </x:c>
      <x:c r="O1535" s="13" t="str"/>
      <x:c r="P1535" s="13" t="str">
        <x:v>milestone_06_transfer_and_consolidation/week_22_2027-02-01/03_WEDNESDAY.md</x:v>
      </x:c>
      <x:c r="Q1535" s="138" t="str">
        <x:v>Markdown</x:v>
      </x:c>
      <x:c r="R1535" s="20" t="str"/>
    </x:row>
    <x:row r="1536" ht="36" customHeight="1">
      <x:c r="A1536" s="19" t="str">
        <x:v>W22-20270204-1535</x:v>
      </x:c>
      <x:c r="B1536" s="13" t="n">
        <x:v>22</x:v>
      </x:c>
      <x:c r="C1536" s="13" t="str">
        <x:v>Этап 6 — Перенос навыков, шестёрки и закрепление</x:v>
      </x:c>
      <x:c r="D1536" s="138" t="str">
        <x:v>2027-02-04</x:v>
      </x:c>
      <x:c r="E1536" s="13" t="str">
        <x:v>Четверг</x:v>
      </x:c>
      <x:c r="F1536" s="13" t="str">
        <x:v>Тренировка B — пальцы/проект</x:v>
      </x:c>
      <x:c r="G1536" s="44" t="n">
        <x:v>0</x:v>
      </x:c>
      <x:c r="H1536" s="44" t="n">
        <x:v>0.0020833333333333333</x:v>
      </x:c>
      <x:c r="I1536" s="32" t="n">
        <x:f>ROUND((H1536-G1536)*1440,0)</x:f>
        <x:v>3</x:v>
      </x:c>
      <x:c r="J1536" s="13" t="str">
        <x:v>Самопроверка</x:v>
      </x:c>
      <x:c r="K1536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536" s="13" t="str">
        <x:v>☐ Не начато</x:v>
      </x:c>
      <x:c r="M1536" s="13" t="str">
        <x:v>Обязательно</x:v>
      </x:c>
      <x:c r="N1536" s="13" t="str">
        <x:v>Без нагрузки</x:v>
      </x:c>
      <x:c r="O1536" s="13" t="str">
        <x:v>Красный флаг = не начинать пальцевую нагрузку.</x:v>
      </x:c>
      <x:c r="P1536" s="13" t="str">
        <x:v>milestone_06_transfer_and_consolidation/week_22_2027-02-01/04_THURSDAY.md</x:v>
      </x:c>
      <x:c r="Q1536" s="138" t="str">
        <x:v>Markdown</x:v>
      </x:c>
      <x:c r="R1536" s="20" t="str"/>
    </x:row>
    <x:row r="1537" ht="36" customHeight="1">
      <x:c r="A1537" s="19" t="str">
        <x:v>W22-20270204-1536</x:v>
      </x:c>
      <x:c r="B1537" s="13" t="n">
        <x:v>22</x:v>
      </x:c>
      <x:c r="C1537" s="13" t="str">
        <x:v>Этап 6 — Перенос навыков, шестёрки и закрепление</x:v>
      </x:c>
      <x:c r="D1537" s="138" t="str">
        <x:v>2027-02-04</x:v>
      </x:c>
      <x:c r="E1537" s="13" t="str">
        <x:v>Четверг</x:v>
      </x:c>
      <x:c r="F1537" s="13" t="str">
        <x:v>Тренировка B — пальцы/проект</x:v>
      </x:c>
      <x:c r="G1537" s="44" t="n">
        <x:v>0.0020833333333333333</x:v>
      </x:c>
      <x:c r="H1537" s="44" t="n">
        <x:v>0.005555555555555556</x:v>
      </x:c>
      <x:c r="I1537" s="32" t="n">
        <x:f>ROUND((H1537-G1537)*1440,0)</x:f>
        <x:v>5</x:v>
      </x:c>
      <x:c r="J1537" s="13" t="str">
        <x:v>Разминка</x:v>
      </x:c>
      <x:c r="K1537" s="13" t="str">
        <x:v>Подними температуру: быстрая ходьба, лестница или лёгкий велотренажёр 5 минут.</x:v>
      </x:c>
      <x:c r="L1537" s="13" t="str">
        <x:v>☐ Не начато</x:v>
      </x:c>
      <x:c r="M1537" s="13" t="str">
        <x:v>Обязательно</x:v>
      </x:c>
      <x:c r="N1537" s="13" t="str">
        <x:v>RPE 2–3</x:v>
      </x:c>
      <x:c r="O1537" s="13" t="str"/>
      <x:c r="P1537" s="13" t="str">
        <x:v>milestone_06_transfer_and_consolidation/week_22_2027-02-01/04_THURSDAY.md</x:v>
      </x:c>
      <x:c r="Q1537" s="138" t="str">
        <x:v>Markdown</x:v>
      </x:c>
      <x:c r="R1537" s="20" t="str"/>
    </x:row>
    <x:row r="1538" ht="36" customHeight="1">
      <x:c r="A1538" s="19" t="str">
        <x:v>W22-20270204-1537</x:v>
      </x:c>
      <x:c r="B1538" s="13" t="n">
        <x:v>22</x:v>
      </x:c>
      <x:c r="C1538" s="13" t="str">
        <x:v>Этап 6 — Перенос навыков, шестёрки и закрепление</x:v>
      </x:c>
      <x:c r="D1538" s="138" t="str">
        <x:v>2027-02-04</x:v>
      </x:c>
      <x:c r="E1538" s="13" t="str">
        <x:v>Четверг</x:v>
      </x:c>
      <x:c r="F1538" s="13" t="str">
        <x:v>Тренировка B — пальцы/проект</x:v>
      </x:c>
      <x:c r="G1538" s="44" t="n">
        <x:v>0.005555555555555556</x:v>
      </x:c>
      <x:c r="H1538" s="44" t="n">
        <x:v>0.009027777777777777</x:v>
      </x:c>
      <x:c r="I1538" s="32" t="n">
        <x:f>ROUND((H1538-G1538)*1440,0)</x:f>
        <x:v>5</x:v>
      </x:c>
      <x:c r="J1538" s="13" t="str">
        <x:v>Разминка</x:v>
      </x:c>
      <x:c r="K1538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538" s="13" t="str">
        <x:v>☐ Не начато</x:v>
      </x:c>
      <x:c r="M1538" s="13" t="str">
        <x:v>Обязательно</x:v>
      </x:c>
      <x:c r="N1538" s="13" t="str">
        <x:v>Очень легко</x:v>
      </x:c>
      <x:c r="O1538" s="13" t="str">
        <x:v>Не делай press/отжимания и движения, которые раздражают плечо.</x:v>
      </x:c>
      <x:c r="P1538" s="13" t="str">
        <x:v>milestone_06_transfer_and_consolidation/week_22_2027-02-01/04_THURSDAY.md</x:v>
      </x:c>
      <x:c r="Q1538" s="138" t="str">
        <x:v>Markdown</x:v>
      </x:c>
      <x:c r="R1538" s="20" t="str"/>
    </x:row>
    <x:row r="1539" ht="36" customHeight="1">
      <x:c r="A1539" s="19" t="str">
        <x:v>W22-20270204-1538</x:v>
      </x:c>
      <x:c r="B1539" s="13" t="n">
        <x:v>22</x:v>
      </x:c>
      <x:c r="C1539" s="13" t="str">
        <x:v>Этап 6 — Перенос навыков, шестёрки и закрепление</x:v>
      </x:c>
      <x:c r="D1539" s="138" t="str">
        <x:v>2027-02-04</x:v>
      </x:c>
      <x:c r="E1539" s="13" t="str">
        <x:v>Четверг</x:v>
      </x:c>
      <x:c r="F1539" s="13" t="str">
        <x:v>Тренировка B — пальцы/проект</x:v>
      </x:c>
      <x:c r="G1539" s="44" t="n">
        <x:v>0.009027777777777777</x:v>
      </x:c>
      <x:c r="H1539" s="44" t="n">
        <x:v>0.011805555555555555</x:v>
      </x:c>
      <x:c r="I1539" s="32" t="n">
        <x:f>ROUND((H1539-G1539)*1440,0)</x:f>
        <x:v>4</x:v>
      </x:c>
      <x:c r="J1539" s="13" t="str">
        <x:v>Разминка пальцев</x:v>
      </x:c>
      <x:c r="K1539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539" s="13" t="str">
        <x:v>☐ Не начато</x:v>
      </x:c>
      <x:c r="M1539" s="13" t="str">
        <x:v>Обязательно</x:v>
      </x:c>
      <x:c r="N1539" s="13" t="str">
        <x:v>Очень легко</x:v>
      </x:c>
      <x:c r="O1539" s="13" t="str"/>
      <x:c r="P1539" s="13" t="str">
        <x:v>milestone_06_transfer_and_consolidation/week_22_2027-02-01/04_THURSDAY.md</x:v>
      </x:c>
      <x:c r="Q1539" s="138" t="str">
        <x:v>Markdown</x:v>
      </x:c>
      <x:c r="R1539" s="20" t="str"/>
    </x:row>
    <x:row r="1540" ht="36" customHeight="1">
      <x:c r="A1540" s="19" t="str">
        <x:v>W22-20270204-1539</x:v>
      </x:c>
      <x:c r="B1540" s="13" t="n">
        <x:v>22</x:v>
      </x:c>
      <x:c r="C1540" s="13" t="str">
        <x:v>Этап 6 — Перенос навыков, шестёрки и закрепление</x:v>
      </x:c>
      <x:c r="D1540" s="138" t="str">
        <x:v>2027-02-04</x:v>
      </x:c>
      <x:c r="E1540" s="13" t="str">
        <x:v>Четверг</x:v>
      </x:c>
      <x:c r="F1540" s="13" t="str">
        <x:v>Тренировка B — пальцы/проект</x:v>
      </x:c>
      <x:c r="G1540" s="44" t="n">
        <x:v>0.011805555555555555</x:v>
      </x:c>
      <x:c r="H1540" s="44" t="n">
        <x:v>0.014583333333333334</x:v>
      </x:c>
      <x:c r="I1540" s="32" t="n">
        <x:f>ROUND((H1540-G1540)*1440,0)</x:f>
        <x:v>4</x:v>
      </x:c>
      <x:c r="J1540" s="13" t="str">
        <x:v>Разминочное лазание</x:v>
      </x:c>
      <x:c r="K1540" s="13" t="str">
        <x:v>Пройди 2 очень лёгкие трассы уровня 1–2; двигайся медленно, спускайся по зацепам.</x:v>
      </x:c>
      <x:c r="L1540" s="13" t="str">
        <x:v>☐ Не начато</x:v>
      </x:c>
      <x:c r="M1540" s="13" t="str">
        <x:v>Обязательно</x:v>
      </x:c>
      <x:c r="N1540" s="13" t="str">
        <x:v>RPE 2–3</x:v>
      </x:c>
      <x:c r="O1540" s="13" t="str">
        <x:v>Финиш с обязательным болезненным mantle/press пропусти.</x:v>
      </x:c>
      <x:c r="P1540" s="13" t="str">
        <x:v>milestone_06_transfer_and_consolidation/week_22_2027-02-01/04_THURSDAY.md</x:v>
      </x:c>
      <x:c r="Q1540" s="138" t="str">
        <x:v>Markdown</x:v>
      </x:c>
      <x:c r="R1540" s="20" t="str"/>
    </x:row>
    <x:row r="1541" ht="36" customHeight="1">
      <x:c r="A1541" s="19" t="str">
        <x:v>W22-20270204-1540</x:v>
      </x:c>
      <x:c r="B1541" s="13" t="n">
        <x:v>22</x:v>
      </x:c>
      <x:c r="C1541" s="13" t="str">
        <x:v>Этап 6 — Перенос навыков, шестёрки и закрепление</x:v>
      </x:c>
      <x:c r="D1541" s="138" t="str">
        <x:v>2027-02-04</x:v>
      </x:c>
      <x:c r="E1541" s="13" t="str">
        <x:v>Четверг</x:v>
      </x:c>
      <x:c r="F1541" s="13" t="str">
        <x:v>Тренировка B — пальцы/проект</x:v>
      </x:c>
      <x:c r="G1541" s="44" t="n">
        <x:v>0.014583333333333334</x:v>
      </x:c>
      <x:c r="H1541" s="44" t="n">
        <x:v>0.017361111111111112</x:v>
      </x:c>
      <x:c r="I1541" s="32" t="n">
        <x:f>ROUND((H1541-G1541)*1440,0)</x:f>
        <x:v>4</x:v>
      </x:c>
      <x:c r="J1541" s="13" t="str">
        <x:v>Разминочное лазание</x:v>
      </x:c>
      <x:c r="K1541" s="13" t="str">
        <x:v>Пройди 2 трассы уровня 2–3, затем сделай 2–3 движения на комфортной четвёрке. Между ними 45–60 секунд.</x:v>
      </x:c>
      <x:c r="L1541" s="13" t="str">
        <x:v>☐ Не начато</x:v>
      </x:c>
      <x:c r="M1541" s="13" t="str">
        <x:v>Обязательно</x:v>
      </x:c>
      <x:c r="N1541" s="13" t="str">
        <x:v>RPE 3–4</x:v>
      </x:c>
      <x:c r="O1541" s="13" t="str">
        <x:v>Разминка не должна утомить пальцы.</x:v>
      </x:c>
      <x:c r="P1541" s="13" t="str">
        <x:v>milestone_06_transfer_and_consolidation/week_22_2027-02-01/04_THURSDAY.md</x:v>
      </x:c>
      <x:c r="Q1541" s="138" t="str">
        <x:v>Markdown</x:v>
      </x:c>
      <x:c r="R1541" s="20" t="str"/>
    </x:row>
    <x:row r="1542" ht="36" customHeight="1">
      <x:c r="A1542" s="19" t="str">
        <x:v>W22-20270204-1541</x:v>
      </x:c>
      <x:c r="B1542" s="13" t="n">
        <x:v>22</x:v>
      </x:c>
      <x:c r="C1542" s="13" t="str">
        <x:v>Этап 6 — Перенос навыков, шестёрки и закрепление</x:v>
      </x:c>
      <x:c r="D1542" s="138" t="str">
        <x:v>2027-02-04</x:v>
      </x:c>
      <x:c r="E1542" s="13" t="str">
        <x:v>Четверг</x:v>
      </x:c>
      <x:c r="F1542" s="13" t="str">
        <x:v>Тренировка B — пальцы/проект</x:v>
      </x:c>
      <x:c r="G1542" s="44" t="n">
        <x:v>0.017361111111111112</x:v>
      </x:c>
      <x:c r="H1542" s="44" t="n">
        <x:v>0.019444444444444445</x:v>
      </x:c>
      <x:c r="I1542" s="32" t="n">
        <x:f>ROUND((H1542-G1542)*1440,0)</x:f>
        <x:v>3</x:v>
      </x:c>
      <x:c r="J1542" s="13" t="str">
        <x:v>Фингерборд — готовность</x:v>
      </x:c>
      <x:c r="K1542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542" s="13" t="str">
        <x:v>☐ Не начато</x:v>
      </x:c>
      <x:c r="M1542" s="13" t="str">
        <x:v>Обязательно</x:v>
      </x:c>
      <x:c r="N1542" s="13" t="str">
        <x:v>Подготовка</x:v>
      </x:c>
      <x:c r="O1542" s="13" t="str">
        <x:v>Плечо полностью спокойно; full crimp, карманы, одна рука и допвес запрещены.</x:v>
      </x:c>
      <x:c r="P1542" s="13" t="str">
        <x:v>milestone_06_transfer_and_consolidation/week_22_2027-02-01/04_THURSDAY.md</x:v>
      </x:c>
      <x:c r="Q1542" s="138" t="str">
        <x:v>Markdown</x:v>
      </x:c>
      <x:c r="R1542" s="20" t="str"/>
    </x:row>
    <x:row r="1543" ht="36" customHeight="1">
      <x:c r="A1543" s="19" t="str">
        <x:v>W22-20270204-1542</x:v>
      </x:c>
      <x:c r="B1543" s="13" t="n">
        <x:v>22</x:v>
      </x:c>
      <x:c r="C1543" s="13" t="str">
        <x:v>Этап 6 — Перенос навыков, шестёрки и закрепление</x:v>
      </x:c>
      <x:c r="D1543" s="138" t="str">
        <x:v>2027-02-04</x:v>
      </x:c>
      <x:c r="E1543" s="13" t="str">
        <x:v>Четверг</x:v>
      </x:c>
      <x:c r="F1543" s="13" t="str">
        <x:v>Тренировка B — пальцы/проект</x:v>
      </x:c>
      <x:c r="G1543" s="44" t="n">
        <x:v>0.019444444444444445</x:v>
      </x:c>
      <x:c r="H1543" s="44" t="n">
        <x:v>0.029861111111111113</x:v>
      </x:c>
      <x:c r="I1543" s="32" t="n">
        <x:f>ROUND((H1543-G1543)*1440,0)</x:f>
        <x:v>15</x:v>
      </x:c>
      <x:c r="J1543" s="13" t="str">
        <x:v>Фингерборд</x:v>
      </x:c>
      <x:c r="K1543" s="13" t="str">
        <x:v>Выполни протокол: 5 × 10 сек, ноги помогают, RPE 7–8, отдых 2:30. Запусти таймер. Каждый вис прекращай с указанным запасом; форма кисти не меняется.</x:v>
      </x:c>
      <x:c r="L1543" s="13" t="str">
        <x:v>☐ Не начато</x:v>
      </x:c>
      <x:c r="M1543" s="13" t="str">
        <x:v>Обязательно</x:v>
      </x:c>
      <x:c r="N1543" s="13" t="str">
        <x:v>5 × 10 сек, ноги помогают, RPE 7–8, отдых 2:30</x:v>
      </x:c>
      <x:c r="O1543" s="13" t="str">
        <x:v>Острая боль, дрожь формы, падение RPE-контроля или боль плеча = закончить блок.</x:v>
      </x:c>
      <x:c r="P1543" s="13" t="str">
        <x:v>milestone_06_transfer_and_consolidation/week_22_2027-02-01/04_THURSDAY.md</x:v>
      </x:c>
      <x:c r="Q1543" s="138" t="str">
        <x:v>Markdown</x:v>
      </x:c>
      <x:c r="R1543" s="20" t="str"/>
    </x:row>
    <x:row r="1544" ht="36" customHeight="1">
      <x:c r="A1544" s="19" t="str">
        <x:v>W22-20270204-1543</x:v>
      </x:c>
      <x:c r="B1544" s="13" t="n">
        <x:v>22</x:v>
      </x:c>
      <x:c r="C1544" s="13" t="str">
        <x:v>Этап 6 — Перенос навыков, шестёрки и закрепление</x:v>
      </x:c>
      <x:c r="D1544" s="138" t="str">
        <x:v>2027-02-04</x:v>
      </x:c>
      <x:c r="E1544" s="13" t="str">
        <x:v>Четверг</x:v>
      </x:c>
      <x:c r="F1544" s="13" t="str">
        <x:v>Тренировка B — пальцы/проект</x:v>
      </x:c>
      <x:c r="G1544" s="44" t="n">
        <x:v>0.029861111111111113</x:v>
      </x:c>
      <x:c r="H1544" s="44" t="n">
        <x:v>0.03194444444444444</x:v>
      </x:c>
      <x:c r="I1544" s="32" t="n">
        <x:f>ROUND((H1544-G1544)*1440,0)</x:f>
        <x:v>3</x:v>
      </x:c>
      <x:c r="J1544" s="13" t="str">
        <x:v>Фингерборд — запись</x:v>
      </x:c>
      <x:c r="K1544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544" s="13" t="str">
        <x:v>☐ Не начато</x:v>
      </x:c>
      <x:c r="M1544" s="13" t="str">
        <x:v>Обязательно</x:v>
      </x:c>
      <x:c r="N1544" s="13" t="str">
        <x:v>Без нагрузки</x:v>
      </x:c>
      <x:c r="O1544" s="13" t="str"/>
      <x:c r="P1544" s="13" t="str">
        <x:v>milestone_06_transfer_and_consolidation/week_22_2027-02-01/04_THURSDAY.md</x:v>
      </x:c>
      <x:c r="Q1544" s="138" t="str">
        <x:v>Markdown</x:v>
      </x:c>
      <x:c r="R1544" s="20" t="str"/>
    </x:row>
    <x:row r="1545" ht="36" customHeight="1">
      <x:c r="A1545" s="19" t="str">
        <x:v>W22-20270204-1544</x:v>
      </x:c>
      <x:c r="B1545" s="13" t="n">
        <x:v>22</x:v>
      </x:c>
      <x:c r="C1545" s="13" t="str">
        <x:v>Этап 6 — Перенос навыков, шестёрки и закрепление</x:v>
      </x:c>
      <x:c r="D1545" s="138" t="str">
        <x:v>2027-02-04</x:v>
      </x:c>
      <x:c r="E1545" s="13" t="str">
        <x:v>Четверг</x:v>
      </x:c>
      <x:c r="F1545" s="13" t="str">
        <x:v>Тренировка B — пальцы/проект</x:v>
      </x:c>
      <x:c r="G1545" s="44" t="n">
        <x:v>0.03194444444444444</x:v>
      </x:c>
      <x:c r="H1545" s="44" t="n">
        <x:v>0.035416666666666666</x:v>
      </x:c>
      <x:c r="I1545" s="32" t="n">
        <x:f>ROUND((H1545-G1545)*1440,0)</x:f>
        <x:v>5</x:v>
      </x:c>
      <x:c r="J1545" s="13" t="str">
        <x:v>Отдых</x:v>
      </x:c>
      <x:c r="K1545" s="13" t="str">
        <x:v>5 минут полного отдыха: ходьба, вода, без лазания и без тестового виса.</x:v>
      </x:c>
      <x:c r="L1545" s="13" t="str">
        <x:v>☐ Не начато</x:v>
      </x:c>
      <x:c r="M1545" s="13" t="str">
        <x:v>Обязательно</x:v>
      </x:c>
      <x:c r="N1545" s="13" t="str">
        <x:v>Восстановление</x:v>
      </x:c>
      <x:c r="O1545" s="13" t="str"/>
      <x:c r="P1545" s="13" t="str">
        <x:v>milestone_06_transfer_and_consolidation/week_22_2027-02-01/04_THURSDAY.md</x:v>
      </x:c>
      <x:c r="Q1545" s="138" t="str">
        <x:v>Markdown</x:v>
      </x:c>
      <x:c r="R1545" s="20" t="str"/>
    </x:row>
    <x:row r="1546" ht="36" customHeight="1">
      <x:c r="A1546" s="19" t="str">
        <x:v>W22-20270204-1545</x:v>
      </x:c>
      <x:c r="B1546" s="13" t="n">
        <x:v>22</x:v>
      </x:c>
      <x:c r="C1546" s="13" t="str">
        <x:v>Этап 6 — Перенос навыков, шестёрки и закрепление</x:v>
      </x:c>
      <x:c r="D1546" s="138" t="str">
        <x:v>2027-02-04</x:v>
      </x:c>
      <x:c r="E1546" s="13" t="str">
        <x:v>Четверг</x:v>
      </x:c>
      <x:c r="F1546" s="13" t="str">
        <x:v>Тренировка B — пальцы/проект</x:v>
      </x:c>
      <x:c r="G1546" s="44" t="n">
        <x:v>0.035416666666666666</x:v>
      </x:c>
      <x:c r="H1546" s="44" t="n">
        <x:v>0.03819444444444445</x:v>
      </x:c>
      <x:c r="I1546" s="32" t="n">
        <x:f>ROUND((H1546-G1546)*1440,0)</x:f>
        <x:v>4</x:v>
      </x:c>
      <x:c r="J1546" s="13" t="str">
        <x:v>Выбор проекта</x:v>
      </x:c>
      <x:c r="K1546" s="13" t="str">
        <x:v>Выбери трассу по критериям недели: Выбрать одну шестёрку, которая не требует болезненного press/dyno. 5–6 качественных попыток, 4–5 минут отдыха.</x:v>
      </x:c>
      <x:c r="L1546" s="13" t="str">
        <x:v>☐ Не начато</x:v>
      </x:c>
      <x:c r="M1546" s="13" t="str">
        <x:v>Обязательно</x:v>
      </x:c>
      <x:c r="N1546" s="13" t="str">
        <x:v>Без нагрузки</x:v>
      </x:c>
      <x:c r="O1546" s="13" t="str">
        <x:v>Не выбирать шестёрку только потому, что она новая/красивая: движение должно быть совместимо с плечом и коленом.</x:v>
      </x:c>
      <x:c r="P1546" s="13" t="str">
        <x:v>milestone_06_transfer_and_consolidation/week_22_2027-02-01/04_THURSDAY.md</x:v>
      </x:c>
      <x:c r="Q1546" s="138" t="str">
        <x:v>Markdown</x:v>
      </x:c>
      <x:c r="R1546" s="20" t="str"/>
    </x:row>
    <x:row r="1547" ht="36" customHeight="1">
      <x:c r="A1547" s="19" t="str">
        <x:v>W22-20270204-1546</x:v>
      </x:c>
      <x:c r="B1547" s="13" t="n">
        <x:v>22</x:v>
      </x:c>
      <x:c r="C1547" s="13" t="str">
        <x:v>Этап 6 — Перенос навыков, шестёрки и закрепление</x:v>
      </x:c>
      <x:c r="D1547" s="138" t="str">
        <x:v>2027-02-04</x:v>
      </x:c>
      <x:c r="E1547" s="13" t="str">
        <x:v>Четверг</x:v>
      </x:c>
      <x:c r="F1547" s="13" t="str">
        <x:v>Тренировка B — пальцы/проект</x:v>
      </x:c>
      <x:c r="G1547" s="44" t="n">
        <x:v>0.03819444444444445</x:v>
      </x:c>
      <x:c r="H1547" s="44" t="n">
        <x:v>0.041666666666666664</x:v>
      </x:c>
      <x:c r="I1547" s="32" t="n">
        <x:f>ROUND((H1547-G1547)*1440,0)</x:f>
        <x:v>5</x:v>
      </x:c>
      <x:c r="J1547" s="13" t="str">
        <x:v>Проект — попытка 1</x:v>
      </x:c>
      <x:c r="K1547" s="13" t="str">
        <x:v>Сделай первую полную диагностическую попытку. После падения не повторяй сразу: назови точную причину.</x:v>
      </x:c>
      <x:c r="L1547" s="13" t="str">
        <x:v>☐ Не начато</x:v>
      </x:c>
      <x:c r="M1547" s="13" t="str">
        <x:v>Обязательно</x:v>
      </x:c>
      <x:c r="N1547" s="13" t="str">
        <x:v>RPE 7–8</x:v>
      </x:c>
      <x:c r="O1547" s="13" t="str">
        <x:v>Прекратить движение при боли, а не после падения.</x:v>
      </x:c>
      <x:c r="P1547" s="13" t="str">
        <x:v>milestone_06_transfer_and_consolidation/week_22_2027-02-01/04_THURSDAY.md</x:v>
      </x:c>
      <x:c r="Q1547" s="138" t="str">
        <x:v>Markdown</x:v>
      </x:c>
      <x:c r="R1547" s="20" t="str"/>
    </x:row>
    <x:row r="1548" ht="36" customHeight="1">
      <x:c r="A1548" s="19" t="str">
        <x:v>W22-20270204-1547</x:v>
      </x:c>
      <x:c r="B1548" s="13" t="n">
        <x:v>22</x:v>
      </x:c>
      <x:c r="C1548" s="13" t="str">
        <x:v>Этап 6 — Перенос навыков, шестёрки и закрепление</x:v>
      </x:c>
      <x:c r="D1548" s="138" t="str">
        <x:v>2027-02-04</x:v>
      </x:c>
      <x:c r="E1548" s="13" t="str">
        <x:v>Четверг</x:v>
      </x:c>
      <x:c r="F1548" s="13" t="str">
        <x:v>Тренировка B — пальцы/проект</x:v>
      </x:c>
      <x:c r="G1548" s="44" t="n">
        <x:v>0.041666666666666664</x:v>
      </x:c>
      <x:c r="H1548" s="44" t="n">
        <x:v>0.04513888888888889</x:v>
      </x:c>
      <x:c r="I1548" s="32" t="n">
        <x:f>ROUND((H1548-G1548)*1440,0)</x:f>
        <x:v>5</x:v>
      </x:c>
      <x:c r="J1548" s="13" t="str">
        <x:v>Отдых / гипотеза</x:v>
      </x:c>
      <x:c r="K1548" s="13" t="str">
        <x:v>Отдых 4–5 минут. Запиши одну гипотезу: стопа, положение таза, хват или темп.</x:v>
      </x:c>
      <x:c r="L1548" s="13" t="str">
        <x:v>☐ Не начато</x:v>
      </x:c>
      <x:c r="M1548" s="13" t="str">
        <x:v>Обязательно</x:v>
      </x:c>
      <x:c r="N1548" s="13" t="str">
        <x:v>Восстановление</x:v>
      </x:c>
      <x:c r="O1548" s="13" t="str"/>
      <x:c r="P1548" s="13" t="str">
        <x:v>milestone_06_transfer_and_consolidation/week_22_2027-02-01/04_THURSDAY.md</x:v>
      </x:c>
      <x:c r="Q1548" s="138" t="str">
        <x:v>Markdown</x:v>
      </x:c>
      <x:c r="R1548" s="20" t="str"/>
    </x:row>
    <x:row r="1549" ht="36" customHeight="1">
      <x:c r="A1549" s="19" t="str">
        <x:v>W22-20270204-1548</x:v>
      </x:c>
      <x:c r="B1549" s="13" t="n">
        <x:v>22</x:v>
      </x:c>
      <x:c r="C1549" s="13" t="str">
        <x:v>Этап 6 — Перенос навыков, шестёрки и закрепление</x:v>
      </x:c>
      <x:c r="D1549" s="138" t="str">
        <x:v>2027-02-04</x:v>
      </x:c>
      <x:c r="E1549" s="13" t="str">
        <x:v>Четверг</x:v>
      </x:c>
      <x:c r="F1549" s="13" t="str">
        <x:v>Тренировка B — пальцы/проект</x:v>
      </x:c>
      <x:c r="G1549" s="44" t="n">
        <x:v>0.04513888888888889</x:v>
      </x:c>
      <x:c r="H1549" s="44" t="n">
        <x:v>0.049305555555555554</x:v>
      </x:c>
      <x:c r="I1549" s="32" t="n">
        <x:f>ROUND((H1549-G1549)*1440,0)</x:f>
        <x:v>6</x:v>
      </x:c>
      <x:c r="J1549" s="13" t="str">
        <x:v>Проект — попытки 2–3</x:v>
      </x:c>
      <x:c r="K1549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549" s="13" t="str">
        <x:v>☐ Не начато</x:v>
      </x:c>
      <x:c r="M1549" s="13" t="str">
        <x:v>Обязательно</x:v>
      </x:c>
      <x:c r="N1549" s="13" t="str">
        <x:v>RPE 7–8, без отказа</x:v>
      </x:c>
      <x:c r="O1549" s="13" t="str">
        <x:v>Не смотреть beta заранее: сначала собственная гипотеза.</x:v>
      </x:c>
      <x:c r="P1549" s="13" t="str">
        <x:v>milestone_06_transfer_and_consolidation/week_22_2027-02-01/04_THURSDAY.md</x:v>
      </x:c>
      <x:c r="Q1549" s="138" t="str">
        <x:v>Markdown</x:v>
      </x:c>
      <x:c r="R1549" s="20" t="str"/>
    </x:row>
    <x:row r="1550" ht="36" customHeight="1">
      <x:c r="A1550" s="19" t="str">
        <x:v>W22-20270204-1549</x:v>
      </x:c>
      <x:c r="B1550" s="13" t="n">
        <x:v>22</x:v>
      </x:c>
      <x:c r="C1550" s="13" t="str">
        <x:v>Этап 6 — Перенос навыков, шестёрки и закрепление</x:v>
      </x:c>
      <x:c r="D1550" s="138" t="str">
        <x:v>2027-02-04</x:v>
      </x:c>
      <x:c r="E1550" s="13" t="str">
        <x:v>Четверг</x:v>
      </x:c>
      <x:c r="F1550" s="13" t="str">
        <x:v>Тренировка B — пальцы/проект</x:v>
      </x:c>
      <x:c r="G1550" s="44" t="n">
        <x:v>0.049305555555555554</x:v>
      </x:c>
      <x:c r="H1550" s="44" t="n">
        <x:v>0.05277777777777778</x:v>
      </x:c>
      <x:c r="I1550" s="32" t="n">
        <x:f>ROUND((H1550-G1550)*1440,0)</x:f>
        <x:v>5</x:v>
      </x:c>
      <x:c r="J1550" s="13" t="str">
        <x:v>Проект — заключительная попытка</x:v>
      </x:c>
      <x:c r="K1550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550" s="13" t="str">
        <x:v>☐ Не начато</x:v>
      </x:c>
      <x:c r="M1550" s="13" t="str">
        <x:v>Обязательно</x:v>
      </x:c>
      <x:c r="N1550" s="13" t="str">
        <x:v>RPE 8, с запасом</x:v>
      </x:c>
      <x:c r="O1550" s="13" t="str">
        <x:v>Не выбирать шестёрку только потому, что она новая/красивая: движение должно быть совместимо с плечом и коленом.</x:v>
      </x:c>
      <x:c r="P1550" s="13" t="str">
        <x:v>milestone_06_transfer_and_consolidation/week_22_2027-02-01/04_THURSDAY.md</x:v>
      </x:c>
      <x:c r="Q1550" s="138" t="str">
        <x:v>Markdown</x:v>
      </x:c>
      <x:c r="R1550" s="20" t="str"/>
    </x:row>
    <x:row r="1551" ht="36" customHeight="1">
      <x:c r="A1551" s="19" t="str">
        <x:v>W22-20270204-1550</x:v>
      </x:c>
      <x:c r="B1551" s="13" t="n">
        <x:v>22</x:v>
      </x:c>
      <x:c r="C1551" s="13" t="str">
        <x:v>Этап 6 — Перенос навыков, шестёрки и закрепление</x:v>
      </x:c>
      <x:c r="D1551" s="138" t="str">
        <x:v>2027-02-04</x:v>
      </x:c>
      <x:c r="E1551" s="13" t="str">
        <x:v>Четверг</x:v>
      </x:c>
      <x:c r="F1551" s="13" t="str">
        <x:v>Тренировка B — пальцы/проект</x:v>
      </x:c>
      <x:c r="G1551" s="44" t="n">
        <x:v>0.05277777777777778</x:v>
      </x:c>
      <x:c r="H1551" s="44" t="n">
        <x:v>0.05763888888888889</x:v>
      </x:c>
      <x:c r="I1551" s="32" t="n">
        <x:f>ROUND((H1551-G1551)*1440,0)</x:f>
        <x:v>7</x:v>
      </x:c>
      <x:c r="J1551" s="13" t="str">
        <x:v>Вторичная трасса</x:v>
      </x:c>
      <x:c r="K1551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551" s="13" t="str">
        <x:v>☐ Не начато</x:v>
      </x:c>
      <x:c r="M1551" s="13" t="str">
        <x:v>Обязательно</x:v>
      </x:c>
      <x:c r="N1551" s="13" t="str">
        <x:v>RPE 5–7</x:v>
      </x:c>
      <x:c r="O1551" s="13" t="str">
        <x:v>Пропустить, если хват уже просел.</x:v>
      </x:c>
      <x:c r="P1551" s="13" t="str">
        <x:v>milestone_06_transfer_and_consolidation/week_22_2027-02-01/04_THURSDAY.md</x:v>
      </x:c>
      <x:c r="Q1551" s="138" t="str">
        <x:v>Markdown</x:v>
      </x:c>
      <x:c r="R1551" s="20" t="str"/>
    </x:row>
    <x:row r="1552" ht="36" customHeight="1">
      <x:c r="A1552" s="19" t="str">
        <x:v>W22-20270204-1551</x:v>
      </x:c>
      <x:c r="B1552" s="13" t="n">
        <x:v>22</x:v>
      </x:c>
      <x:c r="C1552" s="13" t="str">
        <x:v>Этап 6 — Перенос навыков, шестёрки и закрепление</x:v>
      </x:c>
      <x:c r="D1552" s="138" t="str">
        <x:v>2027-02-04</x:v>
      </x:c>
      <x:c r="E1552" s="13" t="str">
        <x:v>Четверг</x:v>
      </x:c>
      <x:c r="F1552" s="13" t="str">
        <x:v>Тренировка B — пальцы/проект</x:v>
      </x:c>
      <x:c r="G1552" s="44" t="n">
        <x:v>0.05763888888888889</x:v>
      </x:c>
      <x:c r="H1552" s="44" t="n">
        <x:v>0.06041666666666667</x:v>
      </x:c>
      <x:c r="I1552" s="32" t="n">
        <x:f>ROUND((H1552-G1552)*1440,0)</x:f>
        <x:v>4</x:v>
      </x:c>
      <x:c r="J1552" s="13" t="str">
        <x:v>Завершение</x:v>
      </x:c>
      <x:c r="K1552" s="13" t="str">
        <x:v>Очень лёгкий спуск/ходьба, вода, никаких финишных висов.</x:v>
      </x:c>
      <x:c r="L1552" s="13" t="str">
        <x:v>☐ Не начато</x:v>
      </x:c>
      <x:c r="M1552" s="13" t="str">
        <x:v>Обязательно</x:v>
      </x:c>
      <x:c r="N1552" s="13" t="str">
        <x:v>RPE 1–2</x:v>
      </x:c>
      <x:c r="O1552" s="13" t="str"/>
      <x:c r="P1552" s="13" t="str">
        <x:v>milestone_06_transfer_and_consolidation/week_22_2027-02-01/04_THURSDAY.md</x:v>
      </x:c>
      <x:c r="Q1552" s="138" t="str">
        <x:v>Markdown</x:v>
      </x:c>
      <x:c r="R1552" s="20" t="str"/>
    </x:row>
    <x:row r="1553" ht="36" customHeight="1">
      <x:c r="A1553" s="19" t="str">
        <x:v>W22-20270204-1552</x:v>
      </x:c>
      <x:c r="B1553" s="13" t="n">
        <x:v>22</x:v>
      </x:c>
      <x:c r="C1553" s="13" t="str">
        <x:v>Этап 6 — Перенос навыков, шестёрки и закрепление</x:v>
      </x:c>
      <x:c r="D1553" s="138" t="str">
        <x:v>2027-02-04</x:v>
      </x:c>
      <x:c r="E1553" s="13" t="str">
        <x:v>Четверг</x:v>
      </x:c>
      <x:c r="F1553" s="13" t="str">
        <x:v>Тренировка B — пальцы/проект</x:v>
      </x:c>
      <x:c r="G1553" s="44" t="n">
        <x:v>0.06041666666666667</x:v>
      </x:c>
      <x:c r="H1553" s="44" t="n">
        <x:v>0.0625</x:v>
      </x:c>
      <x:c r="I1553" s="32" t="n">
        <x:f>ROUND((H1553-G1553)*1440,0)</x:f>
        <x:v>3</x:v>
      </x:c>
      <x:c r="J1553" s="13" t="str">
        <x:v>Журнал</x:v>
      </x:c>
      <x:c r="K1553" s="13" t="str">
        <x:v>Запиши попытки, лучшую связку, одну правку и benchmark: Записать точную причину падения на каждой попытке и одну следующую гипотезу.</x:v>
      </x:c>
      <x:c r="L1553" s="13" t="str">
        <x:v>☐ Не начато</x:v>
      </x:c>
      <x:c r="M1553" s="13" t="str">
        <x:v>Обязательно</x:v>
      </x:c>
      <x:c r="N1553" s="13" t="str">
        <x:v>Без нагрузки</x:v>
      </x:c>
      <x:c r="O1553" s="13" t="str"/>
      <x:c r="P1553" s="13" t="str">
        <x:v>milestone_06_transfer_and_consolidation/week_22_2027-02-01/04_THURSDAY.md</x:v>
      </x:c>
      <x:c r="Q1553" s="138" t="str">
        <x:v>Markdown</x:v>
      </x:c>
      <x:c r="R1553" s="20" t="str"/>
    </x:row>
    <x:row r="1554" ht="36" customHeight="1">
      <x:c r="A1554" s="19" t="str">
        <x:v>W22-20270205-1553</x:v>
      </x:c>
      <x:c r="B1554" s="13" t="n">
        <x:v>22</x:v>
      </x:c>
      <x:c r="C1554" s="13" t="str">
        <x:v>Этап 6 — Перенос навыков, шестёрки и закрепление</x:v>
      </x:c>
      <x:c r="D1554" s="138" t="str">
        <x:v>2027-02-05</x:v>
      </x:c>
      <x:c r="E1554" s="13" t="str">
        <x:v>Пятница</x:v>
      </x:c>
      <x:c r="F1554" s="13" t="str">
        <x:v>Дом / теория</x:v>
      </x:c>
      <x:c r="G1554" s="44" t="n">
        <x:v>0</x:v>
      </x:c>
      <x:c r="H1554" s="44" t="n">
        <x:v>0.0020833333333333333</x:v>
      </x:c>
      <x:c r="I1554" s="32" t="n">
        <x:f>ROUND((H1554-G1554)*1440,0)</x:f>
        <x:v>3</x:v>
      </x:c>
      <x:c r="J1554" s="13" t="str">
        <x:v>Самопроверка</x:v>
      </x:c>
      <x:c r="K1554" s="13" t="str">
        <x:v>Оцени утреннюю реакцию после четверга: пальцы/плечо/колено 0–10. Запиши, восстановилась ли обычная сила кисти.</x:v>
      </x:c>
      <x:c r="L1554" s="13" t="str">
        <x:v>☐ Не начато</x:v>
      </x:c>
      <x:c r="M1554" s="13" t="str">
        <x:v>Обязательно</x:v>
      </x:c>
      <x:c r="N1554" s="13" t="str">
        <x:v>Без нагрузки</x:v>
      </x:c>
      <x:c r="O1554" s="13" t="str">
        <x:v>Острая локальная боль пальца или усилившаяся боль плеча = воскресенье только восстановительное.</x:v>
      </x:c>
      <x:c r="P1554" s="13" t="str">
        <x:v>milestone_06_transfer_and_consolidation/week_22_2027-02-01/05_FRIDAY.md</x:v>
      </x:c>
      <x:c r="Q1554" s="138" t="str">
        <x:v>Markdown</x:v>
      </x:c>
      <x:c r="R1554" s="20" t="str"/>
    </x:row>
    <x:row r="1555" ht="36" customHeight="1">
      <x:c r="A1555" s="19" t="str">
        <x:v>W22-20270205-1554</x:v>
      </x:c>
      <x:c r="B1555" s="13" t="n">
        <x:v>22</x:v>
      </x:c>
      <x:c r="C1555" s="13" t="str">
        <x:v>Этап 6 — Перенос навыков, шестёрки и закрепление</x:v>
      </x:c>
      <x:c r="D1555" s="138" t="str">
        <x:v>2027-02-05</x:v>
      </x:c>
      <x:c r="E1555" s="13" t="str">
        <x:v>Пятница</x:v>
      </x:c>
      <x:c r="F1555" s="13" t="str">
        <x:v>Дом / теория</x:v>
      </x:c>
      <x:c r="G1555" s="44" t="n">
        <x:v>0.0020833333333333333</x:v>
      </x:c>
      <x:c r="H1555" s="44" t="n">
        <x:v>0.007638888888888889</x:v>
      </x:c>
      <x:c r="I1555" s="32" t="n">
        <x:f>ROUND((H1555-G1555)*1440,0)</x:f>
        <x:v>8</x:v>
      </x:c>
      <x:c r="J1555" s="13" t="str">
        <x:v>Теория</x:v>
      </x:c>
      <x:c r="K1555" s="13" t="str">
        <x:v>Посмотри/прочитай второй ресурс недели: [R02: Berta Block — BETA7](https://www.bertablock.de/beta7). Задача: Научиться сканировать QR у старта, сохранять трассу, отмечать попытки и смотреть beta-видео только после собственных попыток.</x:v>
      </x:c>
      <x:c r="L1555" s="13" t="str">
        <x:v>☐ Не начато</x:v>
      </x:c>
      <x:c r="M1555" s="13" t="str">
        <x:v>Обязательно</x:v>
      </x:c>
      <x:c r="N1555" s="13" t="str">
        <x:v>Без нагрузки</x:v>
      </x:c>
      <x:c r="O1555" s="13" t="str"/>
      <x:c r="P1555" s="13" t="str">
        <x:v>milestone_06_transfer_and_consolidation/week_22_2027-02-01/05_FRIDAY.md</x:v>
      </x:c>
      <x:c r="Q1555" s="138" t="str">
        <x:v>Markdown</x:v>
      </x:c>
      <x:c r="R1555" s="20" t="str"/>
    </x:row>
    <x:row r="1556" ht="36" customHeight="1">
      <x:c r="A1556" s="19" t="str">
        <x:v>W22-20270205-1555</x:v>
      </x:c>
      <x:c r="B1556" s="13" t="n">
        <x:v>22</x:v>
      </x:c>
      <x:c r="C1556" s="13" t="str">
        <x:v>Этап 6 — Перенос навыков, шестёрки и закрепление</x:v>
      </x:c>
      <x:c r="D1556" s="138" t="str">
        <x:v>2027-02-05</x:v>
      </x:c>
      <x:c r="E1556" s="13" t="str">
        <x:v>Пятница</x:v>
      </x:c>
      <x:c r="F1556" s="13" t="str">
        <x:v>Дом / теория</x:v>
      </x:c>
      <x:c r="G1556" s="44" t="n">
        <x:v>0.007638888888888889</x:v>
      </x:c>
      <x:c r="H1556" s="44" t="n">
        <x:v>0.011805555555555555</x:v>
      </x:c>
      <x:c r="I1556" s="32" t="n">
        <x:f>ROUND((H1556-G1556)*1440,0)</x:f>
        <x:v>6</x:v>
      </x:c>
      <x:c r="J1556" s="13" t="str">
        <x:v>Ментальная репетиция</x:v>
      </x:c>
      <x:c r="K1556" s="13" t="str">
        <x:v>Закрой глаза и 3 раза мысленно пройди одну рабочую трассу: руки → ноги → положение таза → дыхание. Визуализируй cue «Первые две попытки собирают данные; следующие меняют по одной переменной.».</x:v>
      </x:c>
      <x:c r="L1556" s="13" t="str">
        <x:v>☐ Не начато</x:v>
      </x:c>
      <x:c r="M1556" s="13" t="str">
        <x:v>Обязательно</x:v>
      </x:c>
      <x:c r="N1556" s="13" t="str">
        <x:v>Без нагрузки</x:v>
      </x:c>
      <x:c r="O1556" s="13" t="str"/>
      <x:c r="P1556" s="13" t="str">
        <x:v>milestone_06_transfer_and_consolidation/week_22_2027-02-01/05_FRIDAY.md</x:v>
      </x:c>
      <x:c r="Q1556" s="138" t="str">
        <x:v>Markdown</x:v>
      </x:c>
      <x:c r="R1556" s="20" t="str"/>
    </x:row>
    <x:row r="1557" ht="36" customHeight="1">
      <x:c r="A1557" s="19" t="str">
        <x:v>W22-20270205-1556</x:v>
      </x:c>
      <x:c r="B1557" s="13" t="n">
        <x:v>22</x:v>
      </x:c>
      <x:c r="C1557" s="13" t="str">
        <x:v>Этап 6 — Перенос навыков, шестёрки и закрепление</x:v>
      </x:c>
      <x:c r="D1557" s="138" t="str">
        <x:v>2027-02-05</x:v>
      </x:c>
      <x:c r="E1557" s="13" t="str">
        <x:v>Пятница</x:v>
      </x:c>
      <x:c r="F1557" s="13" t="str">
        <x:v>Дом / теория</x:v>
      </x:c>
      <x:c r="G1557" s="44" t="n">
        <x:v>0.011805555555555555</x:v>
      </x:c>
      <x:c r="H1557" s="44" t="n">
        <x:v>0.02013888888888889</x:v>
      </x:c>
      <x:c r="I1557" s="32" t="n">
        <x:f>ROUND((H1557-G1557)*1440,0)</x:f>
        <x:v>12</x:v>
      </x:c>
      <x:c r="J1557" s="13" t="str">
        <x:v>Домашняя мобильность</x:v>
      </x:c>
      <x:c r="K1557" s="13" t="str">
        <x:v>Выполни H3 «Мобильность таза и контроль корпуса» — 12 минут.</x:v>
      </x:c>
      <x:c r="L1557" s="13" t="str">
        <x:v>☐ Не начато</x:v>
      </x:c>
      <x:c r="M1557" s="13" t="str">
        <x:v>Обязательно</x:v>
      </x:c>
      <x:c r="N1557" s="13" t="str">
        <x:v>RPE 2–3</x:v>
      </x:c>
      <x:c r="O1557" s="13" t="str">
        <x:v>Никаких скручиваний через боль. Плечом не отталкивайся от стены; касание только для равновесия.</x:v>
      </x:c>
      <x:c r="P1557" s="13" t="str">
        <x:v>milestone_06_transfer_and_consolidation/week_22_2027-02-01/05_FRIDAY.md</x:v>
      </x:c>
      <x:c r="Q1557" s="138" t="str">
        <x:v>Markdown</x:v>
      </x:c>
      <x:c r="R1557" s="20" t="str"/>
    </x:row>
    <x:row r="1558" ht="36" customHeight="1">
      <x:c r="A1558" s="19" t="str">
        <x:v>W22-20270205-1557</x:v>
      </x:c>
      <x:c r="B1558" s="13" t="n">
        <x:v>22</x:v>
      </x:c>
      <x:c r="C1558" s="13" t="str">
        <x:v>Этап 6 — Перенос навыков, шестёрки и закрепление</x:v>
      </x:c>
      <x:c r="D1558" s="138" t="str">
        <x:v>2027-02-05</x:v>
      </x:c>
      <x:c r="E1558" s="13" t="str">
        <x:v>Пятница</x:v>
      </x:c>
      <x:c r="F1558" s="13" t="str">
        <x:v>Дом / теория</x:v>
      </x:c>
      <x:c r="G1558" s="44" t="n">
        <x:v>0.02013888888888889</x:v>
      </x:c>
      <x:c r="H1558" s="44" t="n">
        <x:v>0.034027777777777775</x:v>
      </x:c>
      <x:c r="I1558" s="32" t="n">
        <x:f>ROUND((H1558-G1558)*1440,0)</x:f>
        <x:v>20</x:v>
      </x:c>
      <x:c r="J1558" s="13" t="str">
        <x:v>Физиотерапия</x:v>
      </x:c>
      <x:c r="K1558" s="13" t="str">
        <x:v>Выполни свой назначенный комплекс, если пятница входит в расписание физиотерапевта.</x:v>
      </x:c>
      <x:c r="L1558" s="13" t="str">
        <x:v>☐ Не начато</x:v>
      </x:c>
      <x:c r="M1558" s="13" t="str">
        <x:v>По назначению</x:v>
      </x:c>
      <x:c r="N1558" s="13" t="str">
        <x:v>По назначению</x:v>
      </x:c>
      <x:c r="O1558" s="13" t="str">
        <x:v>Не добавляй упражнения из интернета поверх назначений.</x:v>
      </x:c>
      <x:c r="P1558" s="13" t="str">
        <x:v>milestone_06_transfer_and_consolidation/week_22_2027-02-01/05_FRIDAY.md</x:v>
      </x:c>
      <x:c r="Q1558" s="138" t="str">
        <x:v>Markdown</x:v>
      </x:c>
      <x:c r="R1558" s="20" t="str"/>
    </x:row>
    <x:row r="1559" ht="36" customHeight="1">
      <x:c r="A1559" s="19" t="str">
        <x:v>W22-20270205-1558</x:v>
      </x:c>
      <x:c r="B1559" s="13" t="n">
        <x:v>22</x:v>
      </x:c>
      <x:c r="C1559" s="13" t="str">
        <x:v>Этап 6 — Перенос навыков, шестёрки и закрепление</x:v>
      </x:c>
      <x:c r="D1559" s="138" t="str">
        <x:v>2027-02-05</x:v>
      </x:c>
      <x:c r="E1559" s="13" t="str">
        <x:v>Пятница</x:v>
      </x:c>
      <x:c r="F1559" s="13" t="str">
        <x:v>Дом / теория</x:v>
      </x:c>
      <x:c r="G1559" s="44" t="n">
        <x:v>0.034027777777777775</x:v>
      </x:c>
      <x:c r="H1559" s="44" t="n">
        <x:v>0.03680555555555556</x:v>
      </x:c>
      <x:c r="I1559" s="32" t="n">
        <x:f>ROUND((H1559-G1559)*1440,0)</x:f>
        <x:v>4</x:v>
      </x:c>
      <x:c r="J1559" s="13" t="str">
        <x:v>Журнал</x:v>
      </x:c>
      <x:c r="K1559" s="13" t="str">
        <x:v>Запиши одну вещь, которая сработала на этой неделе, и одну, которую повторишь в воскресенье на лёгкой трассе.</x:v>
      </x:c>
      <x:c r="L1559" s="13" t="str">
        <x:v>☐ Не начато</x:v>
      </x:c>
      <x:c r="M1559" s="13" t="str">
        <x:v>Обязательно</x:v>
      </x:c>
      <x:c r="N1559" s="13" t="str">
        <x:v>Без нагрузки</x:v>
      </x:c>
      <x:c r="O1559" s="13" t="str"/>
      <x:c r="P1559" s="13" t="str">
        <x:v>milestone_06_transfer_and_consolidation/week_22_2027-02-01/05_FRIDAY.md</x:v>
      </x:c>
      <x:c r="Q1559" s="138" t="str">
        <x:v>Markdown</x:v>
      </x:c>
      <x:c r="R1559" s="20" t="str"/>
    </x:row>
    <x:row r="1560" ht="36" customHeight="1">
      <x:c r="A1560" s="19" t="str">
        <x:v>W22-20270205-1559</x:v>
      </x:c>
      <x:c r="B1560" s="13" t="n">
        <x:v>22</x:v>
      </x:c>
      <x:c r="C1560" s="13" t="str">
        <x:v>Этап 6 — Перенос навыков, шестёрки и закрепление</x:v>
      </x:c>
      <x:c r="D1560" s="138" t="str">
        <x:v>2027-02-05</x:v>
      </x:c>
      <x:c r="E1560" s="13" t="str">
        <x:v>Пятница</x:v>
      </x:c>
      <x:c r="F1560" s="13" t="str">
        <x:v>Дом / теория</x:v>
      </x:c>
      <x:c r="G1560" s="44" t="n">
        <x:v>0.03680555555555556</x:v>
      </x:c>
      <x:c r="H1560" s="44" t="n">
        <x:v>0.03888888888888889</x:v>
      </x:c>
      <x:c r="I1560" s="32" t="n">
        <x:f>ROUND((H1560-G1560)*1440,0)</x:f>
        <x:v>3</x:v>
      </x:c>
      <x:c r="J1560" s="13" t="str">
        <x:v>Запрет лишней нагрузки</x:v>
      </x:c>
      <x:c r="K1560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560" s="13" t="str">
        <x:v>☐ Не начато</x:v>
      </x:c>
      <x:c r="M1560" s="13" t="str">
        <x:v>Обязательно</x:v>
      </x:c>
      <x:c r="N1560" s="13" t="str">
        <x:v>Восстановление</x:v>
      </x:c>
      <x:c r="O1560" s="13" t="str">
        <x:v>Общая пальцевая нагрузка уже получена в четверг.</x:v>
      </x:c>
      <x:c r="P1560" s="13" t="str">
        <x:v>milestone_06_transfer_and_consolidation/week_22_2027-02-01/05_FRIDAY.md</x:v>
      </x:c>
      <x:c r="Q1560" s="138" t="str">
        <x:v>Markdown</x:v>
      </x:c>
      <x:c r="R1560" s="20" t="str"/>
    </x:row>
    <x:row r="1561" ht="36" customHeight="1">
      <x:c r="A1561" s="19" t="str">
        <x:v>W22-20270206-1560</x:v>
      </x:c>
      <x:c r="B1561" s="13" t="n">
        <x:v>22</x:v>
      </x:c>
      <x:c r="C1561" s="13" t="str">
        <x:v>Этап 6 — Перенос навыков, шестёрки и закрепление</x:v>
      </x:c>
      <x:c r="D1561" s="138" t="str">
        <x:v>2027-02-06</x:v>
      </x:c>
      <x:c r="E1561" s="13" t="str">
        <x:v>Суббота</x:v>
      </x:c>
      <x:c r="F1561" s="13" t="str">
        <x:v>Отдых / подготовка</x:v>
      </x:c>
      <x:c r="G1561" s="44" t="n">
        <x:v>0</x:v>
      </x:c>
      <x:c r="H1561" s="44" t="n">
        <x:v>0.003472222222222222</x:v>
      </x:c>
      <x:c r="I1561" s="32" t="n">
        <x:f>ROUND((H1561-G1561)*1440,0)</x:f>
        <x:v>5</x:v>
      </x:c>
      <x:c r="J1561" s="13" t="str">
        <x:v>Самопроверка</x:v>
      </x:c>
      <x:c r="K1561" s="13" t="str">
        <x:v>Проверь кожу пальцев, ногти, плечо и колено. Никаких тестовых висов.</x:v>
      </x:c>
      <x:c r="L1561" s="13" t="str">
        <x:v>☐ Не начато</x:v>
      </x:c>
      <x:c r="M1561" s="13" t="str">
        <x:v>Обязательно</x:v>
      </x:c>
      <x:c r="N1561" s="13" t="str">
        <x:v>Восстановление</x:v>
      </x:c>
      <x:c r="O1561" s="13" t="str"/>
      <x:c r="P1561" s="13" t="str">
        <x:v>milestone_06_transfer_and_consolidation/week_22_2027-02-01/06_SATURDAY.md</x:v>
      </x:c>
      <x:c r="Q1561" s="138" t="str">
        <x:v>Markdown</x:v>
      </x:c>
      <x:c r="R1561" s="20" t="str"/>
    </x:row>
    <x:row r="1562" ht="36" customHeight="1">
      <x:c r="A1562" s="19" t="str">
        <x:v>W22-20270206-1561</x:v>
      </x:c>
      <x:c r="B1562" s="13" t="n">
        <x:v>22</x:v>
      </x:c>
      <x:c r="C1562" s="13" t="str">
        <x:v>Этап 6 — Перенос навыков, шестёрки и закрепление</x:v>
      </x:c>
      <x:c r="D1562" s="138" t="str">
        <x:v>2027-02-06</x:v>
      </x:c>
      <x:c r="E1562" s="13" t="str">
        <x:v>Суббота</x:v>
      </x:c>
      <x:c r="F1562" s="13" t="str">
        <x:v>Отдых / подготовка</x:v>
      </x:c>
      <x:c r="G1562" s="44" t="n">
        <x:v>0.003472222222222222</x:v>
      </x:c>
      <x:c r="H1562" s="44" t="n">
        <x:v>0.010416666666666666</x:v>
      </x:c>
      <x:c r="I1562" s="32" t="n">
        <x:f>ROUND((H1562-G1562)*1440,0)</x:f>
        <x:v>10</x:v>
      </x:c>
      <x:c r="J1562" s="13" t="str">
        <x:v>Активное восстановление</x:v>
      </x:c>
      <x:c r="K1562" s="13" t="str">
        <x:v>10 минут лёгкой прогулки или бытовой активности. Цель — восстановление, не тренировка.</x:v>
      </x:c>
      <x:c r="L1562" s="13" t="str">
        <x:v>☐ Не начато</x:v>
      </x:c>
      <x:c r="M1562" s="13" t="str">
        <x:v>Обязательно</x:v>
      </x:c>
      <x:c r="N1562" s="13" t="str">
        <x:v>RPE 1–2</x:v>
      </x:c>
      <x:c r="O1562" s="13" t="str"/>
      <x:c r="P1562" s="13" t="str">
        <x:v>milestone_06_transfer_and_consolidation/week_22_2027-02-01/06_SATURDAY.md</x:v>
      </x:c>
      <x:c r="Q1562" s="138" t="str">
        <x:v>Markdown</x:v>
      </x:c>
      <x:c r="R1562" s="20" t="str"/>
    </x:row>
    <x:row r="1563" ht="36" customHeight="1">
      <x:c r="A1563" s="19" t="str">
        <x:v>W22-20270206-1562</x:v>
      </x:c>
      <x:c r="B1563" s="13" t="n">
        <x:v>22</x:v>
      </x:c>
      <x:c r="C1563" s="13" t="str">
        <x:v>Этап 6 — Перенос навыков, шестёрки и закрепление</x:v>
      </x:c>
      <x:c r="D1563" s="138" t="str">
        <x:v>2027-02-06</x:v>
      </x:c>
      <x:c r="E1563" s="13" t="str">
        <x:v>Суббота</x:v>
      </x:c>
      <x:c r="F1563" s="13" t="str">
        <x:v>Отдых / подготовка</x:v>
      </x:c>
      <x:c r="G1563" s="44" t="n">
        <x:v>0.010416666666666666</x:v>
      </x:c>
      <x:c r="H1563" s="44" t="n">
        <x:v>0.013888888888888888</x:v>
      </x:c>
      <x:c r="I1563" s="32" t="n">
        <x:f>ROUND((H1563-G1563)*1440,0)</x:f>
        <x:v>5</x:v>
      </x:c>
      <x:c r="J1563" s="13" t="str">
        <x:v>Уход за кожей</x:v>
      </x:c>
      <x:c r="K1563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563" s="13" t="str">
        <x:v>☐ Не начато</x:v>
      </x:c>
      <x:c r="M1563" s="13" t="str">
        <x:v>Опционально</x:v>
      </x:c>
      <x:c r="N1563" s="13" t="str">
        <x:v>Без нагрузки</x:v>
      </x:c>
      <x:c r="O1563" s="13" t="str">
        <x:v>Повреждённую/болезненную кожу не шлифовать.</x:v>
      </x:c>
      <x:c r="P1563" s="13" t="str">
        <x:v>milestone_06_transfer_and_consolidation/week_22_2027-02-01/06_SATURDAY.md</x:v>
      </x:c>
      <x:c r="Q1563" s="138" t="str">
        <x:v>Markdown</x:v>
      </x:c>
      <x:c r="R1563" s="20" t="str"/>
    </x:row>
    <x:row r="1564" ht="36" customHeight="1">
      <x:c r="A1564" s="19" t="str">
        <x:v>W22-20270206-1563</x:v>
      </x:c>
      <x:c r="B1564" s="13" t="n">
        <x:v>22</x:v>
      </x:c>
      <x:c r="C1564" s="13" t="str">
        <x:v>Этап 6 — Перенос навыков, шестёрки и закрепление</x:v>
      </x:c>
      <x:c r="D1564" s="138" t="str">
        <x:v>2027-02-06</x:v>
      </x:c>
      <x:c r="E1564" s="13" t="str">
        <x:v>Суббота</x:v>
      </x:c>
      <x:c r="F1564" s="13" t="str">
        <x:v>Отдых / подготовка</x:v>
      </x:c>
      <x:c r="G1564" s="44" t="n">
        <x:v>0.013888888888888888</x:v>
      </x:c>
      <x:c r="H1564" s="44" t="n">
        <x:v>0.016666666666666666</x:v>
      </x:c>
      <x:c r="I1564" s="32" t="n">
        <x:f>ROUND((H1564-G1564)*1440,0)</x:f>
        <x:v>4</x:v>
      </x:c>
      <x:c r="J1564" s="13" t="str">
        <x:v>Подготовка</x:v>
      </x:c>
      <x:c r="K1564" s="13" t="str">
        <x:v>Заряди телефон, освободи память для одного видео, положи щётку и магнезию.</x:v>
      </x:c>
      <x:c r="L1564" s="13" t="str">
        <x:v>☐ Не начато</x:v>
      </x:c>
      <x:c r="M1564" s="13" t="str">
        <x:v>Обязательно</x:v>
      </x:c>
      <x:c r="N1564" s="13" t="str">
        <x:v>Без нагрузки</x:v>
      </x:c>
      <x:c r="O1564" s="13" t="str"/>
      <x:c r="P1564" s="13" t="str">
        <x:v>milestone_06_transfer_and_consolidation/week_22_2027-02-01/06_SATURDAY.md</x:v>
      </x:c>
      <x:c r="Q1564" s="138" t="str">
        <x:v>Markdown</x:v>
      </x:c>
      <x:c r="R1564" s="20" t="str"/>
    </x:row>
    <x:row r="1565" ht="36" customHeight="1">
      <x:c r="A1565" s="19" t="str">
        <x:v>W22-20270206-1564</x:v>
      </x:c>
      <x:c r="B1565" s="13" t="n">
        <x:v>22</x:v>
      </x:c>
      <x:c r="C1565" s="13" t="str">
        <x:v>Этап 6 — Перенос навыков, шестёрки и закрепление</x:v>
      </x:c>
      <x:c r="D1565" s="138" t="str">
        <x:v>2027-02-06</x:v>
      </x:c>
      <x:c r="E1565" s="13" t="str">
        <x:v>Суббота</x:v>
      </x:c>
      <x:c r="F1565" s="13" t="str">
        <x:v>Отдых / подготовка</x:v>
      </x:c>
      <x:c r="G1565" s="44" t="n">
        <x:v>0.016666666666666666</x:v>
      </x:c>
      <x:c r="H1565" s="44" t="n">
        <x:v>0.01875</x:v>
      </x:c>
      <x:c r="I1565" s="32" t="n">
        <x:f>ROUND((H1565-G1565)*1440,0)</x:f>
        <x:v>3</x:v>
      </x:c>
      <x:c r="J1565" s="13" t="str">
        <x:v>План воскресенья</x:v>
      </x:c>
      <x:c r="K1565" s="13" t="str">
        <x:v>Выбери заранее одну лёгкую трассу под тему «Диагностика основной шестёрки». Воскресенье остаётся развлечением, не третьим тяжёлым днём.</x:v>
      </x:c>
      <x:c r="L1565" s="13" t="str">
        <x:v>☐ Не начато</x:v>
      </x:c>
      <x:c r="M1565" s="13" t="str">
        <x:v>Обязательно</x:v>
      </x:c>
      <x:c r="N1565" s="13" t="str">
        <x:v>Без нагрузки</x:v>
      </x:c>
      <x:c r="O1565" s="13" t="str"/>
      <x:c r="P1565" s="13" t="str">
        <x:v>milestone_06_transfer_and_consolidation/week_22_2027-02-01/06_SATURDAY.md</x:v>
      </x:c>
      <x:c r="Q1565" s="138" t="str">
        <x:v>Markdown</x:v>
      </x:c>
      <x:c r="R1565" s="20" t="str"/>
    </x:row>
    <x:row r="1566" ht="36" customHeight="1">
      <x:c r="A1566" s="19" t="str">
        <x:v>W22-20270206-1565</x:v>
      </x:c>
      <x:c r="B1566" s="13" t="n">
        <x:v>22</x:v>
      </x:c>
      <x:c r="C1566" s="13" t="str">
        <x:v>Этап 6 — Перенос навыков, шестёрки и закрепление</x:v>
      </x:c>
      <x:c r="D1566" s="138" t="str">
        <x:v>2027-02-06</x:v>
      </x:c>
      <x:c r="E1566" s="13" t="str">
        <x:v>Суббота</x:v>
      </x:c>
      <x:c r="F1566" s="13" t="str">
        <x:v>Отдых / подготовка</x:v>
      </x:c>
      <x:c r="G1566" s="44" t="n">
        <x:v>0.01875</x:v>
      </x:c>
      <x:c r="H1566" s="44" t="n">
        <x:v>0.020833333333333332</x:v>
      </x:c>
      <x:c r="I1566" s="32" t="n">
        <x:f>ROUND((H1566-G1566)*1440,0)</x:f>
        <x:v>3</x:v>
      </x:c>
      <x:c r="J1566" s="13" t="str">
        <x:v>Сон / восстановление</x:v>
      </x:c>
      <x:c r="K1566" s="13" t="str">
        <x:v>Запланируй обычный сон и нормальный приём пищи; не пытайся «разбудить хват» вечером.</x:v>
      </x:c>
      <x:c r="L1566" s="13" t="str">
        <x:v>☐ Не начато</x:v>
      </x:c>
      <x:c r="M1566" s="13" t="str">
        <x:v>Обязательно</x:v>
      </x:c>
      <x:c r="N1566" s="13" t="str">
        <x:v>Восстановление</x:v>
      </x:c>
      <x:c r="O1566" s="13" t="str"/>
      <x:c r="P1566" s="13" t="str">
        <x:v>milestone_06_transfer_and_consolidation/week_22_2027-02-01/06_SATURDAY.md</x:v>
      </x:c>
      <x:c r="Q1566" s="138" t="str">
        <x:v>Markdown</x:v>
      </x:c>
      <x:c r="R1566" s="20" t="str"/>
    </x:row>
    <x:row r="1567" ht="36" customHeight="1">
      <x:c r="A1567" s="19" t="str">
        <x:v>W22-20270207-1566</x:v>
      </x:c>
      <x:c r="B1567" s="13" t="n">
        <x:v>22</x:v>
      </x:c>
      <x:c r="C1567" s="13" t="str">
        <x:v>Этап 6 — Перенос навыков, шестёрки и закрепление</x:v>
      </x:c>
      <x:c r="D1567" s="138" t="str">
        <x:v>2027-02-07</x:v>
      </x:c>
      <x:c r="E1567" s="13" t="str">
        <x:v>Воскресенье</x:v>
      </x:c>
      <x:c r="F1567" s="13" t="str">
        <x:v>Тренировка C — fun / опционально</x:v>
      </x:c>
      <x:c r="G1567" s="44" t="n">
        <x:v>0</x:v>
      </x:c>
      <x:c r="H1567" s="44" t="n">
        <x:v>0.0020833333333333333</x:v>
      </x:c>
      <x:c r="I1567" s="32" t="n">
        <x:f>ROUND((H1567-G1567)*1440,0)</x:f>
        <x:v>3</x:v>
      </x:c>
      <x:c r="J1567" s="13" t="str">
        <x:v>Выбор сценария</x:v>
      </x:c>
      <x:c r="K1567" s="13" t="str">
        <x:v>Выбери один сценарий: (A) fun-сессия 75 минут в зале или (B) восстановительный день дома 25 минут. Не выполнять оба.</x:v>
      </x:c>
      <x:c r="L1567" s="13" t="str">
        <x:v>☐ Не начато</x:v>
      </x:c>
      <x:c r="M1567" s="13" t="str">
        <x:v>Выбрать один сценарий</x:v>
      </x:c>
      <x:c r="N1567" s="13" t="str">
        <x:v>По состоянию</x:v>
      </x:c>
      <x:c r="O1567" s="13" t="str"/>
      <x:c r="P1567" s="13" t="str">
        <x:v>milestone_06_transfer_and_consolidation/week_22_2027-02-01/07_SUNDAY.md</x:v>
      </x:c>
      <x:c r="Q1567" s="138" t="str">
        <x:v>Markdown</x:v>
      </x:c>
      <x:c r="R1567" s="20" t="str"/>
    </x:row>
    <x:row r="1568" ht="36" customHeight="1">
      <x:c r="A1568" s="19" t="str">
        <x:v>W22-20270207-1567</x:v>
      </x:c>
      <x:c r="B1568" s="13" t="n">
        <x:v>22</x:v>
      </x:c>
      <x:c r="C1568" s="13" t="str">
        <x:v>Этап 6 — Перенос навыков, шестёрки и закрепление</x:v>
      </x:c>
      <x:c r="D1568" s="138" t="str">
        <x:v>2027-02-07</x:v>
      </x:c>
      <x:c r="E1568" s="13" t="str">
        <x:v>Воскресенье</x:v>
      </x:c>
      <x:c r="F1568" s="13" t="str">
        <x:v>Тренировка C — fun / опционально</x:v>
      </x:c>
      <x:c r="G1568" s="44" t="n">
        <x:v>0.0020833333333333333</x:v>
      </x:c>
      <x:c r="H1568" s="44" t="n">
        <x:v>0.005555555555555556</x:v>
      </x:c>
      <x:c r="I1568" s="32" t="n">
        <x:f>ROUND((H1568-G1568)*1440,0)</x:f>
        <x:v>5</x:v>
      </x:c>
      <x:c r="J1568" s="13" t="str">
        <x:v>Разминка A</x:v>
      </x:c>
      <x:c r="K1568" s="13" t="str">
        <x:v>Если идёшь в зал: 5 минут поднятия температуры.</x:v>
      </x:c>
      <x:c r="L1568" s="13" t="str">
        <x:v>☐ Не начато</x:v>
      </x:c>
      <x:c r="M1568" s="13" t="str">
        <x:v>Опционально</x:v>
      </x:c>
      <x:c r="N1568" s="13" t="str">
        <x:v>RPE 2–3</x:v>
      </x:c>
      <x:c r="O1568" s="13" t="str"/>
      <x:c r="P1568" s="13" t="str">
        <x:v>milestone_06_transfer_and_consolidation/week_22_2027-02-01/07_SUNDAY.md</x:v>
      </x:c>
      <x:c r="Q1568" s="138" t="str">
        <x:v>Markdown</x:v>
      </x:c>
      <x:c r="R1568" s="20" t="str"/>
    </x:row>
    <x:row r="1569" ht="36" customHeight="1">
      <x:c r="A1569" s="19" t="str">
        <x:v>W22-20270207-1568</x:v>
      </x:c>
      <x:c r="B1569" s="13" t="n">
        <x:v>22</x:v>
      </x:c>
      <x:c r="C1569" s="13" t="str">
        <x:v>Этап 6 — Перенос навыков, шестёрки и закрепление</x:v>
      </x:c>
      <x:c r="D1569" s="138" t="str">
        <x:v>2027-02-07</x:v>
      </x:c>
      <x:c r="E1569" s="13" t="str">
        <x:v>Воскресенье</x:v>
      </x:c>
      <x:c r="F1569" s="13" t="str">
        <x:v>Тренировка C — fun / опционально</x:v>
      </x:c>
      <x:c r="G1569" s="44" t="n">
        <x:v>0.005555555555555556</x:v>
      </x:c>
      <x:c r="H1569" s="44" t="n">
        <x:v>0.009027777777777777</x:v>
      </x:c>
      <x:c r="I1569" s="32" t="n">
        <x:f>ROUND((H1569-G1569)*1440,0)</x:f>
        <x:v>5</x:v>
      </x:c>
      <x:c r="J1569" s="13" t="str">
        <x:v>Разминка A</x:v>
      </x:c>
      <x:c r="K1569" s="13" t="str">
        <x:v>Динамическая суставная разминка в безболезненном диапазоне; без отжиманий/press.</x:v>
      </x:c>
      <x:c r="L1569" s="13" t="str">
        <x:v>☐ Не начато</x:v>
      </x:c>
      <x:c r="M1569" s="13" t="str">
        <x:v>Опционально</x:v>
      </x:c>
      <x:c r="N1569" s="13" t="str">
        <x:v>Очень легко</x:v>
      </x:c>
      <x:c r="O1569" s="13" t="str">
        <x:v>Не выбирать шестёрку только потому, что она новая/красивая: движение должно быть совместимо с плечом и коленом.</x:v>
      </x:c>
      <x:c r="P1569" s="13" t="str">
        <x:v>milestone_06_transfer_and_consolidation/week_22_2027-02-01/07_SUNDAY.md</x:v>
      </x:c>
      <x:c r="Q1569" s="138" t="str">
        <x:v>Markdown</x:v>
      </x:c>
      <x:c r="R1569" s="20" t="str"/>
    </x:row>
    <x:row r="1570" ht="36" customHeight="1">
      <x:c r="A1570" s="19" t="str">
        <x:v>W22-20270207-1569</x:v>
      </x:c>
      <x:c r="B1570" s="13" t="n">
        <x:v>22</x:v>
      </x:c>
      <x:c r="C1570" s="13" t="str">
        <x:v>Этап 6 — Перенос навыков, шестёрки и закрепление</x:v>
      </x:c>
      <x:c r="D1570" s="138" t="str">
        <x:v>2027-02-07</x:v>
      </x:c>
      <x:c r="E1570" s="13" t="str">
        <x:v>Воскресенье</x:v>
      </x:c>
      <x:c r="F1570" s="13" t="str">
        <x:v>Тренировка C — fun / опционально</x:v>
      </x:c>
      <x:c r="G1570" s="44" t="n">
        <x:v>0.009027777777777777</x:v>
      </x:c>
      <x:c r="H1570" s="44" t="n">
        <x:v>0.013888888888888888</x:v>
      </x:c>
      <x:c r="I1570" s="32" t="n">
        <x:f>ROUND((H1570-G1570)*1440,0)</x:f>
        <x:v>7</x:v>
      </x:c>
      <x:c r="J1570" s="13" t="str">
        <x:v>Лёгкое лазание A</x:v>
      </x:c>
      <x:c r="K1570" s="13" t="str">
        <x:v>3 очень лёгкие трассы 1–3 с постепенным увеличением сложности.</x:v>
      </x:c>
      <x:c r="L1570" s="13" t="str">
        <x:v>☐ Не начато</x:v>
      </x:c>
      <x:c r="M1570" s="13" t="str">
        <x:v>Опционально</x:v>
      </x:c>
      <x:c r="N1570" s="13" t="str">
        <x:v>RPE 2–4</x:v>
      </x:c>
      <x:c r="O1570" s="13" t="str"/>
      <x:c r="P1570" s="13" t="str">
        <x:v>milestone_06_transfer_and_consolidation/week_22_2027-02-01/07_SUNDAY.md</x:v>
      </x:c>
      <x:c r="Q1570" s="138" t="str">
        <x:v>Markdown</x:v>
      </x:c>
      <x:c r="R1570" s="20" t="str"/>
    </x:row>
    <x:row r="1571" ht="36" customHeight="1">
      <x:c r="A1571" s="19" t="str">
        <x:v>W22-20270207-1570</x:v>
      </x:c>
      <x:c r="B1571" s="13" t="n">
        <x:v>22</x:v>
      </x:c>
      <x:c r="C1571" s="13" t="str">
        <x:v>Этап 6 — Перенос навыков, шестёрки и закрепление</x:v>
      </x:c>
      <x:c r="D1571" s="138" t="str">
        <x:v>2027-02-07</x:v>
      </x:c>
      <x:c r="E1571" s="13" t="str">
        <x:v>Воскресенье</x:v>
      </x:c>
      <x:c r="F1571" s="13" t="str">
        <x:v>Тренировка C — fun / опционально</x:v>
      </x:c>
      <x:c r="G1571" s="44" t="n">
        <x:v>0.013888888888888888</x:v>
      </x:c>
      <x:c r="H1571" s="44" t="n">
        <x:v>0.020833333333333332</x:v>
      </x:c>
      <x:c r="I1571" s="32" t="n">
        <x:f>ROUND((H1571-G1571)*1440,0)</x:f>
        <x:v>10</x:v>
      </x:c>
      <x:c r="J1571" s="13" t="str">
        <x:v>Технический праймер A</x:v>
      </x:c>
      <x:c r="K1571" s="13" t="str">
        <x:v>На одной лёгкой трассе дважды повтори «Диагностика основной шестёрки». Критерий: У каждой попытки есть конкретная цель и следующая гипотеза.</x:v>
      </x:c>
      <x:c r="L1571" s="13" t="str">
        <x:v>☐ Не начато</x:v>
      </x:c>
      <x:c r="M1571" s="13" t="str">
        <x:v>Опционально</x:v>
      </x:c>
      <x:c r="N1571" s="13" t="str">
        <x:v>RPE 3–4</x:v>
      </x:c>
      <x:c r="O1571" s="13" t="str">
        <x:v>Никакого обязательного болезненного press/dyno.</x:v>
      </x:c>
      <x:c r="P1571" s="13" t="str">
        <x:v>milestone_06_transfer_and_consolidation/week_22_2027-02-01/07_SUNDAY.md</x:v>
      </x:c>
      <x:c r="Q1571" s="138" t="str">
        <x:v>Markdown</x:v>
      </x:c>
      <x:c r="R1571" s="20" t="str"/>
    </x:row>
    <x:row r="1572" ht="36" customHeight="1">
      <x:c r="A1572" s="19" t="str">
        <x:v>W22-20270207-1571</x:v>
      </x:c>
      <x:c r="B1572" s="13" t="n">
        <x:v>22</x:v>
      </x:c>
      <x:c r="C1572" s="13" t="str">
        <x:v>Этап 6 — Перенос навыков, шестёрки и закрепление</x:v>
      </x:c>
      <x:c r="D1572" s="138" t="str">
        <x:v>2027-02-07</x:v>
      </x:c>
      <x:c r="E1572" s="13" t="str">
        <x:v>Воскресенье</x:v>
      </x:c>
      <x:c r="F1572" s="13" t="str">
        <x:v>Тренировка C — fun / опционально</x:v>
      </x:c>
      <x:c r="G1572" s="44" t="n">
        <x:v>0.020833333333333332</x:v>
      </x:c>
      <x:c r="H1572" s="44" t="n">
        <x:v>0.03819444444444445</x:v>
      </x:c>
      <x:c r="I1572" s="32" t="n">
        <x:f>ROUND((H1572-G1572)*1440,0)</x:f>
        <x:v>25</x:v>
      </x:c>
      <x:c r="J1572" s="13" t="str">
        <x:v>Свободное лазание A</x:v>
      </x:c>
      <x:c r="K1572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572" s="13" t="str">
        <x:v>☐ Не начато</x:v>
      </x:c>
      <x:c r="M1572" s="13" t="str">
        <x:v>Опционально</x:v>
      </x:c>
      <x:c r="N1572" s="13" t="str">
        <x:v>RPE 4–7</x:v>
      </x:c>
      <x:c r="O1572" s="13" t="str">
        <x:v>Не превращать блок в круг на выносливость.</x:v>
      </x:c>
      <x:c r="P1572" s="13" t="str">
        <x:v>milestone_06_transfer_and_consolidation/week_22_2027-02-01/07_SUNDAY.md</x:v>
      </x:c>
      <x:c r="Q1572" s="138" t="str">
        <x:v>Markdown</x:v>
      </x:c>
      <x:c r="R1572" s="20" t="str"/>
    </x:row>
    <x:row r="1573" ht="36" customHeight="1">
      <x:c r="A1573" s="19" t="str">
        <x:v>W22-20270207-1572</x:v>
      </x:c>
      <x:c r="B1573" s="13" t="n">
        <x:v>22</x:v>
      </x:c>
      <x:c r="C1573" s="13" t="str">
        <x:v>Этап 6 — Перенос навыков, шестёрки и закрепление</x:v>
      </x:c>
      <x:c r="D1573" s="138" t="str">
        <x:v>2027-02-07</x:v>
      </x:c>
      <x:c r="E1573" s="13" t="str">
        <x:v>Воскресенье</x:v>
      </x:c>
      <x:c r="F1573" s="13" t="str">
        <x:v>Тренировка C — fun / опционально</x:v>
      </x:c>
      <x:c r="G1573" s="44" t="n">
        <x:v>0.03819444444444445</x:v>
      </x:c>
      <x:c r="H1573" s="44" t="n">
        <x:v>0.04583333333333333</x:v>
      </x:c>
      <x:c r="I1573" s="32" t="n">
        <x:f>ROUND((H1573-G1573)*1440,0)</x:f>
        <x:v>11</x:v>
      </x:c>
      <x:c r="J1573" s="13" t="str">
        <x:v>Свежая сложная попытка A</x:v>
      </x:c>
      <x:c r="K1573" s="13" t="str">
        <x:v>Только если всё зелёное: попробуй одну рабочую пятёрку или дружелюбную шестёрку по критериям недели — Выбрать одну шестёрку, которая не требует болезненного press/dyno. 5–6 качественных попыток, 4–5 минут отдыха. Максимум 2 попытки, отдых 4 минуты.</x:v>
      </x:c>
      <x:c r="L1573" s="13" t="str">
        <x:v>☐ Не начато</x:v>
      </x:c>
      <x:c r="M1573" s="13" t="str">
        <x:v>Опционально</x:v>
      </x:c>
      <x:c r="N1573" s="13" t="str">
        <x:v>RPE 7–8, без отказа</x:v>
      </x:c>
      <x:c r="O1573" s="13" t="str">
        <x:v>Не выбирать шестёрку только потому, что она новая/красивая: движение должно быть совместимо с плечом и коленом.</x:v>
      </x:c>
      <x:c r="P1573" s="13" t="str">
        <x:v>milestone_06_transfer_and_consolidation/week_22_2027-02-01/07_SUNDAY.md</x:v>
      </x:c>
      <x:c r="Q1573" s="138" t="str">
        <x:v>Markdown</x:v>
      </x:c>
      <x:c r="R1573" s="20" t="str"/>
    </x:row>
    <x:row r="1574" ht="36" customHeight="1">
      <x:c r="A1574" s="19" t="str">
        <x:v>W22-20270207-1573</x:v>
      </x:c>
      <x:c r="B1574" s="13" t="n">
        <x:v>22</x:v>
      </x:c>
      <x:c r="C1574" s="13" t="str">
        <x:v>Этап 6 — Перенос навыков, шестёрки и закрепление</x:v>
      </x:c>
      <x:c r="D1574" s="138" t="str">
        <x:v>2027-02-07</x:v>
      </x:c>
      <x:c r="E1574" s="13" t="str">
        <x:v>Воскресенье</x:v>
      </x:c>
      <x:c r="F1574" s="13" t="str">
        <x:v>Тренировка C — fun / опционально</x:v>
      </x:c>
      <x:c r="G1574" s="44" t="n">
        <x:v>0.04583333333333333</x:v>
      </x:c>
      <x:c r="H1574" s="44" t="n">
        <x:v>0.05</x:v>
      </x:c>
      <x:c r="I1574" s="32" t="n">
        <x:f>ROUND((H1574-G1574)*1440,0)</x:f>
        <x:v>6</x:v>
      </x:c>
      <x:c r="J1574" s="13" t="str">
        <x:v>Лёгкий финал A</x:v>
      </x:c>
      <x:c r="K1574" s="13" t="str">
        <x:v>Одна любимая лёгкая трасса или спокойный спуск. Фингерборда и capacity-круга нет.</x:v>
      </x:c>
      <x:c r="L1574" s="13" t="str">
        <x:v>☐ Не начато</x:v>
      </x:c>
      <x:c r="M1574" s="13" t="str">
        <x:v>Опционально</x:v>
      </x:c>
      <x:c r="N1574" s="13" t="str">
        <x:v>RPE 2–3</x:v>
      </x:c>
      <x:c r="O1574" s="13" t="str"/>
      <x:c r="P1574" s="13" t="str">
        <x:v>milestone_06_transfer_and_consolidation/week_22_2027-02-01/07_SUNDAY.md</x:v>
      </x:c>
      <x:c r="Q1574" s="138" t="str">
        <x:v>Markdown</x:v>
      </x:c>
      <x:c r="R1574" s="20" t="str"/>
    </x:row>
    <x:row r="1575" ht="36" customHeight="1">
      <x:c r="A1575" s="19" t="str">
        <x:v>W22-20270207-1574</x:v>
      </x:c>
      <x:c r="B1575" s="13" t="n">
        <x:v>22</x:v>
      </x:c>
      <x:c r="C1575" s="13" t="str">
        <x:v>Этап 6 — Перенос навыков, шестёрки и закрепление</x:v>
      </x:c>
      <x:c r="D1575" s="138" t="str">
        <x:v>2027-02-07</x:v>
      </x:c>
      <x:c r="E1575" s="13" t="str">
        <x:v>Воскресенье</x:v>
      </x:c>
      <x:c r="F1575" s="13" t="str">
        <x:v>Тренировка C — fun / опционально</x:v>
      </x:c>
      <x:c r="G1575" s="44" t="n">
        <x:v>0.05</x:v>
      </x:c>
      <x:c r="H1575" s="44" t="n">
        <x:v>0.052083333333333336</x:v>
      </x:c>
      <x:c r="I1575" s="32" t="n">
        <x:f>ROUND((H1575-G1575)*1440,0)</x:f>
        <x:v>3</x:v>
      </x:c>
      <x:c r="J1575" s="13" t="str">
        <x:v>Журнал A</x:v>
      </x:c>
      <x:c r="K1575" s="13" t="str">
        <x:v>Запиши только 3 вещи: что было весело, один удачный технический момент, состояние пальцев после сессии.</x:v>
      </x:c>
      <x:c r="L1575" s="13" t="str">
        <x:v>☐ Не начато</x:v>
      </x:c>
      <x:c r="M1575" s="13" t="str">
        <x:v>Опционально</x:v>
      </x:c>
      <x:c r="N1575" s="13" t="str">
        <x:v>Без нагрузки</x:v>
      </x:c>
      <x:c r="O1575" s="13" t="str"/>
      <x:c r="P1575" s="13" t="str">
        <x:v>milestone_06_transfer_and_consolidation/week_22_2027-02-01/07_SUNDAY.md</x:v>
      </x:c>
      <x:c r="Q1575" s="138" t="str">
        <x:v>Markdown</x:v>
      </x:c>
      <x:c r="R1575" s="20" t="str"/>
    </x:row>
    <x:row r="1576" ht="36" customHeight="1">
      <x:c r="A1576" s="19" t="str">
        <x:v>W22-20270207-1575</x:v>
      </x:c>
      <x:c r="B1576" s="13" t="n">
        <x:v>22</x:v>
      </x:c>
      <x:c r="C1576" s="13" t="str">
        <x:v>Этап 6 — Перенос навыков, шестёрки и закрепление</x:v>
      </x:c>
      <x:c r="D1576" s="138" t="str">
        <x:v>2027-02-07</x:v>
      </x:c>
      <x:c r="E1576" s="13" t="str">
        <x:v>Воскресенье</x:v>
      </x:c>
      <x:c r="F1576" s="13" t="str">
        <x:v>Восстановление B — дома</x:v>
      </x:c>
      <x:c r="G1576" s="44" t="n">
        <x:v>0</x:v>
      </x:c>
      <x:c r="H1576" s="44" t="n">
        <x:v>0.010416666666666666</x:v>
      </x:c>
      <x:c r="I1576" s="32" t="n">
        <x:f>ROUND((H1576-G1576)*1440,0)</x:f>
        <x:v>15</x:v>
      </x:c>
      <x:c r="J1576" s="13" t="str">
        <x:v>Прогулка B</x:v>
      </x:c>
      <x:c r="K1576" s="13" t="str">
        <x:v>Если не идёшь в зал: 15 минут спокойной прогулки.</x:v>
      </x:c>
      <x:c r="L1576" s="13" t="str">
        <x:v>☐ Не начато</x:v>
      </x:c>
      <x:c r="M1576" s="13" t="str">
        <x:v>Опционально</x:v>
      </x:c>
      <x:c r="N1576" s="13" t="str">
        <x:v>RPE 1–2</x:v>
      </x:c>
      <x:c r="O1576" s="13" t="str"/>
      <x:c r="P1576" s="13" t="str">
        <x:v>milestone_06_transfer_and_consolidation/week_22_2027-02-01/07_SUNDAY.md</x:v>
      </x:c>
      <x:c r="Q1576" s="138" t="str">
        <x:v>Markdown</x:v>
      </x:c>
      <x:c r="R1576" s="20" t="str"/>
    </x:row>
    <x:row r="1577" ht="36" customHeight="1">
      <x:c r="A1577" s="19" t="str">
        <x:v>W22-20270207-1576</x:v>
      </x:c>
      <x:c r="B1577" s="13" t="n">
        <x:v>22</x:v>
      </x:c>
      <x:c r="C1577" s="13" t="str">
        <x:v>Этап 6 — Перенос навыков, шестёрки и закрепление</x:v>
      </x:c>
      <x:c r="D1577" s="138" t="str">
        <x:v>2027-02-07</x:v>
      </x:c>
      <x:c r="E1577" s="13" t="str">
        <x:v>Воскресенье</x:v>
      </x:c>
      <x:c r="F1577" s="13" t="str">
        <x:v>Восстановление B — дома</x:v>
      </x:c>
      <x:c r="G1577" s="44" t="n">
        <x:v>0.010416666666666666</x:v>
      </x:c>
      <x:c r="H1577" s="44" t="n">
        <x:v>0.015277777777777777</x:v>
      </x:c>
      <x:c r="I1577" s="32" t="n">
        <x:f>ROUND((H1577-G1577)*1440,0)</x:f>
        <x:v>7</x:v>
      </x:c>
      <x:c r="J1577" s="13" t="str">
        <x:v>Визуализация B</x:v>
      </x:c>
      <x:c r="K1577" s="13" t="str">
        <x:v>7 минут: мысленно повтори тему недели «Диагностика основной шестёрки» и одну трассу четверга.</x:v>
      </x:c>
      <x:c r="L1577" s="13" t="str">
        <x:v>☐ Не начато</x:v>
      </x:c>
      <x:c r="M1577" s="13" t="str">
        <x:v>Опционально</x:v>
      </x:c>
      <x:c r="N1577" s="13" t="str">
        <x:v>Без нагрузки</x:v>
      </x:c>
      <x:c r="O1577" s="13" t="str"/>
      <x:c r="P1577" s="13" t="str">
        <x:v>milestone_06_transfer_and_consolidation/week_22_2027-02-01/07_SUNDAY.md</x:v>
      </x:c>
      <x:c r="Q1577" s="138" t="str">
        <x:v>Markdown</x:v>
      </x:c>
      <x:c r="R1577" s="20" t="str"/>
    </x:row>
    <x:row r="1578" ht="36" customHeight="1">
      <x:c r="A1578" s="19" t="str">
        <x:v>W22-20270207-1577</x:v>
      </x:c>
      <x:c r="B1578" s="13" t="n">
        <x:v>22</x:v>
      </x:c>
      <x:c r="C1578" s="13" t="str">
        <x:v>Этап 6 — Перенос навыков, шестёрки и закрепление</x:v>
      </x:c>
      <x:c r="D1578" s="138" t="str">
        <x:v>2027-02-07</x:v>
      </x:c>
      <x:c r="E1578" s="13" t="str">
        <x:v>Воскресенье</x:v>
      </x:c>
      <x:c r="F1578" s="13" t="str">
        <x:v>Восстановление B — дома</x:v>
      </x:c>
      <x:c r="G1578" s="44" t="n">
        <x:v>0.015277777777777777</x:v>
      </x:c>
      <x:c r="H1578" s="44" t="n">
        <x:v>0.017361111111111112</x:v>
      </x:c>
      <x:c r="I1578" s="32" t="n">
        <x:f>ROUND((H1578-G1578)*1440,0)</x:f>
        <x:v>3</x:v>
      </x:c>
      <x:c r="J1578" s="13" t="str">
        <x:v>Итог недели B</x:v>
      </x:c>
      <x:c r="K1578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578" s="13" t="str">
        <x:v>☐ Не начато</x:v>
      </x:c>
      <x:c r="M1578" s="13" t="str">
        <x:v>Опционально</x:v>
      </x:c>
      <x:c r="N1578" s="13" t="str">
        <x:v>Без нагрузки</x:v>
      </x:c>
      <x:c r="O1578" s="13" t="str"/>
      <x:c r="P1578" s="13" t="str">
        <x:v>milestone_06_transfer_and_consolidation/week_22_2027-02-01/07_SUNDAY.md</x:v>
      </x:c>
      <x:c r="Q1578" s="138" t="str">
        <x:v>Markdown</x:v>
      </x:c>
      <x:c r="R1578" s="20" t="str"/>
    </x:row>
    <x:row r="1579" ht="36" customHeight="1">
      <x:c r="A1579" s="19" t="str">
        <x:v>W23-20270208-1578</x:v>
      </x:c>
      <x:c r="B1579" s="13" t="n">
        <x:v>23</x:v>
      </x:c>
      <x:c r="C1579" s="13" t="str">
        <x:v>Этап 6 — Перенос навыков, шестёрки и закрепление</x:v>
      </x:c>
      <x:c r="D1579" s="138" t="str">
        <x:v>2027-02-08</x:v>
      </x:c>
      <x:c r="E1579" s="13" t="str">
        <x:v>Понедельник</x:v>
      </x:c>
      <x:c r="F1579" s="13" t="str">
        <x:v>Дом / теория</x:v>
      </x:c>
      <x:c r="G1579" s="44" t="n">
        <x:v>0</x:v>
      </x:c>
      <x:c r="H1579" s="44" t="n">
        <x:v>0.0020833333333333333</x:v>
      </x:c>
      <x:c r="I1579" s="32" t="n">
        <x:f>ROUND((H1579-G1579)*1440,0)</x:f>
        <x:v>3</x:v>
      </x:c>
      <x:c r="J1579" s="13" t="str">
        <x:v>Самопроверка</x:v>
      </x:c>
      <x:c r="K1579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579" s="13" t="str">
        <x:v>☐ Не начато</x:v>
      </x:c>
      <x:c r="M1579" s="13" t="str">
        <x:v>Обязательно</x:v>
      </x:c>
      <x:c r="N1579" s="13" t="str">
        <x:v>Очень легко</x:v>
      </x:c>
      <x:c r="O1579" s="13" t="str">
        <x:v>Не диагностируй травму самостоятельно; используй правила из документа безопасности.</x:v>
      </x:c>
      <x:c r="P1579" s="13" t="str">
        <x:v>milestone_06_transfer_and_consolidation/week_23_2027-02-08/01_MONDAY.md</x:v>
      </x:c>
      <x:c r="Q1579" s="138" t="str">
        <x:v>Markdown</x:v>
      </x:c>
      <x:c r="R1579" s="20" t="str"/>
    </x:row>
    <x:row r="1580" ht="36" customHeight="1">
      <x:c r="A1580" s="19" t="str">
        <x:v>W23-20270208-1579</x:v>
      </x:c>
      <x:c r="B1580" s="13" t="n">
        <x:v>23</x:v>
      </x:c>
      <x:c r="C1580" s="13" t="str">
        <x:v>Этап 6 — Перенос навыков, шестёрки и закрепление</x:v>
      </x:c>
      <x:c r="D1580" s="138" t="str">
        <x:v>2027-02-08</x:v>
      </x:c>
      <x:c r="E1580" s="13" t="str">
        <x:v>Понедельник</x:v>
      </x:c>
      <x:c r="F1580" s="13" t="str">
        <x:v>Дом / теория</x:v>
      </x:c>
      <x:c r="G1580" s="44" t="n">
        <x:v>0.0020833333333333333</x:v>
      </x:c>
      <x:c r="H1580" s="44" t="n">
        <x:v>0.005555555555555556</x:v>
      </x:c>
      <x:c r="I1580" s="32" t="n">
        <x:f>ROUND((H1580-G1580)*1440,0)</x:f>
        <x:v>5</x:v>
      </x:c>
      <x:c r="J1580" s="13" t="str">
        <x:v>Планирование</x:v>
      </x:c>
      <x:c r="K1580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«Одна полная попытка после хорошего отдыха лучше трёх усталых подряд.»</x:v>
      </x:c>
      <x:c r="L1580" s="13" t="str">
        <x:v>☐ Не начато</x:v>
      </x:c>
      <x:c r="M1580" s="13" t="str">
        <x:v>Обязательно</x:v>
      </x:c>
      <x:c r="N1580" s="13" t="str">
        <x:v>Без нагрузки</x:v>
      </x:c>
      <x:c r="O1580" s="13" t="str"/>
      <x:c r="P1580" s="13" t="str">
        <x:v>milestone_06_transfer_and_consolidation/week_23_2027-02-08/01_MONDAY.md</x:v>
      </x:c>
      <x:c r="Q1580" s="138" t="str">
        <x:v>Markdown</x:v>
      </x:c>
      <x:c r="R1580" s="20" t="str"/>
    </x:row>
    <x:row r="1581" ht="36" customHeight="1">
      <x:c r="A1581" s="19" t="str">
        <x:v>W23-20270208-1580</x:v>
      </x:c>
      <x:c r="B1581" s="13" t="n">
        <x:v>23</x:v>
      </x:c>
      <x:c r="C1581" s="13" t="str">
        <x:v>Этап 6 — Перенос навыков, шестёрки и закрепление</x:v>
      </x:c>
      <x:c r="D1581" s="138" t="str">
        <x:v>2027-02-08</x:v>
      </x:c>
      <x:c r="E1581" s="13" t="str">
        <x:v>Понедельник</x:v>
      </x:c>
      <x:c r="F1581" s="13" t="str">
        <x:v>Дом / теория</x:v>
      </x:c>
      <x:c r="G1581" s="44" t="n">
        <x:v>0.005555555555555556</x:v>
      </x:c>
      <x:c r="H1581" s="44" t="n">
        <x:v>0.011111111111111112</x:v>
      </x:c>
      <x:c r="I1581" s="32" t="n">
        <x:f>ROUND((H1581-G1581)*1440,0)</x:f>
        <x:v>8</x:v>
      </x:c>
      <x:c r="J1581" s="13" t="str">
        <x:v>Теория</x:v>
      </x:c>
      <x:c r="K1581" s="13" t="str">
        <x:v>Посмотри/прочитай [R02: Berta Block — BETA7](https://www.bertablock.de/beta7). Задача: Научиться сканировать QR у старта, сохранять трассу, отмечать попытки и смотреть beta-видео только после собственных попыток.</x:v>
      </x:c>
      <x:c r="L1581" s="13" t="str">
        <x:v>☐ Не начато</x:v>
      </x:c>
      <x:c r="M1581" s="13" t="str">
        <x:v>Обязательно</x:v>
      </x:c>
      <x:c r="N1581" s="13" t="str">
        <x:v>Без нагрузки</x:v>
      </x:c>
      <x:c r="O1581" s="13" t="str"/>
      <x:c r="P1581" s="13" t="str">
        <x:v>milestone_06_transfer_and_consolidation/week_23_2027-02-08/01_MONDAY.md</x:v>
      </x:c>
      <x:c r="Q1581" s="138" t="str">
        <x:v>Markdown</x:v>
      </x:c>
      <x:c r="R1581" s="20" t="str"/>
    </x:row>
    <x:row r="1582" ht="36" customHeight="1">
      <x:c r="A1582" s="19" t="str">
        <x:v>W23-20270208-1581</x:v>
      </x:c>
      <x:c r="B1582" s="13" t="n">
        <x:v>23</x:v>
      </x:c>
      <x:c r="C1582" s="13" t="str">
        <x:v>Этап 6 — Перенос навыков, шестёрки и закрепление</x:v>
      </x:c>
      <x:c r="D1582" s="138" t="str">
        <x:v>2027-02-08</x:v>
      </x:c>
      <x:c r="E1582" s="13" t="str">
        <x:v>Понедельник</x:v>
      </x:c>
      <x:c r="F1582" s="13" t="str">
        <x:v>Дом / теория</x:v>
      </x:c>
      <x:c r="G1582" s="44" t="n">
        <x:v>0.011111111111111112</x:v>
      </x:c>
      <x:c r="H1582" s="44" t="n">
        <x:v>0.014583333333333334</x:v>
      </x:c>
      <x:c r="I1582" s="32" t="n">
        <x:f>ROUND((H1582-G1582)*1440,0)</x:f>
        <x:v>5</x:v>
      </x:c>
      <x:c r="J1582" s="13" t="str">
        <x:v>Конспект</x:v>
      </x:c>
      <x:c r="K1582" s="13" t="str">
        <x:v>Запиши ровно 3 пункта: (1) что делать ногами/тазом; (2) что не делать руками; (3) какой признак успеха проверишь на стене для темы «Лучшая связка шестёрки».</x:v>
      </x:c>
      <x:c r="L1582" s="13" t="str">
        <x:v>☐ Не начато</x:v>
      </x:c>
      <x:c r="M1582" s="13" t="str">
        <x:v>Обязательно</x:v>
      </x:c>
      <x:c r="N1582" s="13" t="str">
        <x:v>Без нагрузки</x:v>
      </x:c>
      <x:c r="O1582" s="13" t="str"/>
      <x:c r="P1582" s="13" t="str">
        <x:v>milestone_06_transfer_and_consolidation/week_23_2027-02-08/01_MONDAY.md</x:v>
      </x:c>
      <x:c r="Q1582" s="138" t="str">
        <x:v>Markdown</x:v>
      </x:c>
      <x:c r="R1582" s="20" t="str"/>
    </x:row>
    <x:row r="1583" ht="36" customHeight="1">
      <x:c r="A1583" s="19" t="str">
        <x:v>W23-20270208-1582</x:v>
      </x:c>
      <x:c r="B1583" s="13" t="n">
        <x:v>23</x:v>
      </x:c>
      <x:c r="C1583" s="13" t="str">
        <x:v>Этап 6 — Перенос навыков, шестёрки и закрепление</x:v>
      </x:c>
      <x:c r="D1583" s="138" t="str">
        <x:v>2027-02-08</x:v>
      </x:c>
      <x:c r="E1583" s="13" t="str">
        <x:v>Понедельник</x:v>
      </x:c>
      <x:c r="F1583" s="13" t="str">
        <x:v>Дом / теория</x:v>
      </x:c>
      <x:c r="G1583" s="44" t="n">
        <x:v>0.014583333333333334</x:v>
      </x:c>
      <x:c r="H1583" s="44" t="n">
        <x:v>0.022916666666666665</x:v>
      </x:c>
      <x:c r="I1583" s="32" t="n">
        <x:f>ROUND((H1583-G1583)*1440,0)</x:f>
        <x:v>12</x:v>
      </x:c>
      <x:c r="J1583" s="13" t="str">
        <x:v>Домашняя мобильность</x:v>
      </x:c>
      <x:c r="K1583" s="13" t="str">
        <x:v>Выполни комплекс H3 «Мобильность таза и контроль корпуса» по библиотеке упражнений: 12 минут, без дополнительной нагрузки на пальцы.</x:v>
      </x:c>
      <x:c r="L1583" s="13" t="str">
        <x:v>☐ Не начато</x:v>
      </x:c>
      <x:c r="M1583" s="13" t="str">
        <x:v>Обязательно</x:v>
      </x:c>
      <x:c r="N1583" s="13" t="str">
        <x:v>RPE 2–3</x:v>
      </x:c>
      <x:c r="O1583" s="13" t="str">
        <x:v>Никаких скручиваний через боль. Плечом не отталкивайся от стены; касание только для равновесия.</x:v>
      </x:c>
      <x:c r="P1583" s="13" t="str">
        <x:v>milestone_06_transfer_and_consolidation/week_23_2027-02-08/01_MONDAY.md</x:v>
      </x:c>
      <x:c r="Q1583" s="138" t="str">
        <x:v>Markdown</x:v>
      </x:c>
      <x:c r="R1583" s="20" t="str"/>
    </x:row>
    <x:row r="1584" ht="36" customHeight="1">
      <x:c r="A1584" s="19" t="str">
        <x:v>W23-20270208-1583</x:v>
      </x:c>
      <x:c r="B1584" s="13" t="n">
        <x:v>23</x:v>
      </x:c>
      <x:c r="C1584" s="13" t="str">
        <x:v>Этап 6 — Перенос навыков, шестёрки и закрепление</x:v>
      </x:c>
      <x:c r="D1584" s="138" t="str">
        <x:v>2027-02-08</x:v>
      </x:c>
      <x:c r="E1584" s="13" t="str">
        <x:v>Понедельник</x:v>
      </x:c>
      <x:c r="F1584" s="13" t="str">
        <x:v>Дом / теория</x:v>
      </x:c>
      <x:c r="G1584" s="44" t="n">
        <x:v>0.022916666666666665</x:v>
      </x:c>
      <x:c r="H1584" s="44" t="n">
        <x:v>0.03680555555555556</x:v>
      </x:c>
      <x:c r="I1584" s="32" t="n">
        <x:f>ROUND((H1584-G1584)*1440,0)</x:f>
        <x:v>20</x:v>
      </x:c>
      <x:c r="J1584" s="13" t="str">
        <x:v>Физиотерапия</x:v>
      </x:c>
      <x:c r="K1584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584" s="13" t="str">
        <x:v>☐ Не начато</x:v>
      </x:c>
      <x:c r="M1584" s="13" t="str">
        <x:v>По назначению</x:v>
      </x:c>
      <x:c r="N1584" s="13" t="str">
        <x:v>По назначению физиотерапевта</x:v>
      </x:c>
      <x:c r="O1584" s="13" t="str">
        <x:v>Любые указания физиотерапевта имеют приоритет над этим планом.</x:v>
      </x:c>
      <x:c r="P1584" s="13" t="str">
        <x:v>milestone_06_transfer_and_consolidation/week_23_2027-02-08/01_MONDAY.md</x:v>
      </x:c>
      <x:c r="Q1584" s="138" t="str">
        <x:v>Markdown</x:v>
      </x:c>
      <x:c r="R1584" s="20" t="str"/>
    </x:row>
    <x:row r="1585" ht="36" customHeight="1">
      <x:c r="A1585" s="19" t="str">
        <x:v>W23-20270208-1584</x:v>
      </x:c>
      <x:c r="B1585" s="13" t="n">
        <x:v>23</x:v>
      </x:c>
      <x:c r="C1585" s="13" t="str">
        <x:v>Этап 6 — Перенос навыков, шестёрки и закрепление</x:v>
      </x:c>
      <x:c r="D1585" s="138" t="str">
        <x:v>2027-02-08</x:v>
      </x:c>
      <x:c r="E1585" s="13" t="str">
        <x:v>Понедельник</x:v>
      </x:c>
      <x:c r="F1585" s="13" t="str">
        <x:v>Дом / теория</x:v>
      </x:c>
      <x:c r="G1585" s="44" t="n">
        <x:v>0.03680555555555556</x:v>
      </x:c>
      <x:c r="H1585" s="44" t="n">
        <x:v>0.03888888888888889</x:v>
      </x:c>
      <x:c r="I1585" s="32" t="n">
        <x:f>ROUND((H1585-G1585)*1440,0)</x:f>
        <x:v>3</x:v>
      </x:c>
      <x:c r="J1585" s="13" t="str">
        <x:v>Подготовка</x:v>
      </x:c>
      <x:c r="K1585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585" s="13" t="str">
        <x:v>☐ Не начато</x:v>
      </x:c>
      <x:c r="M1585" s="13" t="str">
        <x:v>Обязательно</x:v>
      </x:c>
      <x:c r="N1585" s="13" t="str">
        <x:v>Без нагрузки</x:v>
      </x:c>
      <x:c r="O1585" s="13" t="str">
        <x:v>Кольца и турник — только в рамках программы физиотерапевта.</x:v>
      </x:c>
      <x:c r="P1585" s="13" t="str">
        <x:v>milestone_06_transfer_and_consolidation/week_23_2027-02-08/01_MONDAY.md</x:v>
      </x:c>
      <x:c r="Q1585" s="138" t="str">
        <x:v>Markdown</x:v>
      </x:c>
      <x:c r="R1585" s="20" t="str"/>
    </x:row>
    <x:row r="1586" ht="36" customHeight="1">
      <x:c r="A1586" s="19" t="str">
        <x:v>W23-20270209-1585</x:v>
      </x:c>
      <x:c r="B1586" s="13" t="n">
        <x:v>23</x:v>
      </x:c>
      <x:c r="C1586" s="13" t="str">
        <x:v>Этап 6 — Перенос навыков, шестёрки и закрепление</x:v>
      </x:c>
      <x:c r="D1586" s="138" t="str">
        <x:v>2027-02-09</x:v>
      </x:c>
      <x:c r="E1586" s="13" t="str">
        <x:v>Вторник</x:v>
      </x:c>
      <x:c r="F1586" s="13" t="str">
        <x:v>Тренировка A — техника/объём</x:v>
      </x:c>
      <x:c r="G1586" s="44" t="n">
        <x:v>0</x:v>
      </x:c>
      <x:c r="H1586" s="44" t="n">
        <x:v>0.0020833333333333333</x:v>
      </x:c>
      <x:c r="I1586" s="32" t="n">
        <x:f>ROUND((H1586-G1586)*1440,0)</x:f>
        <x:v>3</x:v>
      </x:c>
      <x:c r="J1586" s="13" t="str">
        <x:v>Самопроверка</x:v>
      </x:c>
      <x:c r="K1586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586" s="13" t="str">
        <x:v>☐ Не начато</x:v>
      </x:c>
      <x:c r="M1586" s="13" t="str">
        <x:v>Обязательно</x:v>
      </x:c>
      <x:c r="N1586" s="13" t="str">
        <x:v>Без нагрузки</x:v>
      </x:c>
      <x:c r="O1586" s="13" t="str">
        <x:v>Красный флаг = не начинать пальцевую нагрузку.</x:v>
      </x:c>
      <x:c r="P1586" s="13" t="str">
        <x:v>milestone_06_transfer_and_consolidation/week_23_2027-02-08/02_TUESDAY.md</x:v>
      </x:c>
      <x:c r="Q1586" s="138" t="str">
        <x:v>Markdown</x:v>
      </x:c>
      <x:c r="R1586" s="20" t="str"/>
    </x:row>
    <x:row r="1587" ht="36" customHeight="1">
      <x:c r="A1587" s="19" t="str">
        <x:v>W23-20270209-1586</x:v>
      </x:c>
      <x:c r="B1587" s="13" t="n">
        <x:v>23</x:v>
      </x:c>
      <x:c r="C1587" s="13" t="str">
        <x:v>Этап 6 — Перенос навыков, шестёрки и закрепление</x:v>
      </x:c>
      <x:c r="D1587" s="138" t="str">
        <x:v>2027-02-09</x:v>
      </x:c>
      <x:c r="E1587" s="13" t="str">
        <x:v>Вторник</x:v>
      </x:c>
      <x:c r="F1587" s="13" t="str">
        <x:v>Тренировка A — техника/объём</x:v>
      </x:c>
      <x:c r="G1587" s="44" t="n">
        <x:v>0.0020833333333333333</x:v>
      </x:c>
      <x:c r="H1587" s="44" t="n">
        <x:v>0.005555555555555556</x:v>
      </x:c>
      <x:c r="I1587" s="32" t="n">
        <x:f>ROUND((H1587-G1587)*1440,0)</x:f>
        <x:v>5</x:v>
      </x:c>
      <x:c r="J1587" s="13" t="str">
        <x:v>Разминка</x:v>
      </x:c>
      <x:c r="K1587" s="13" t="str">
        <x:v>Подними температуру: быстрая ходьба, лестница или лёгкий велотренажёр 5 минут.</x:v>
      </x:c>
      <x:c r="L1587" s="13" t="str">
        <x:v>☐ Не начато</x:v>
      </x:c>
      <x:c r="M1587" s="13" t="str">
        <x:v>Обязательно</x:v>
      </x:c>
      <x:c r="N1587" s="13" t="str">
        <x:v>RPE 2–3</x:v>
      </x:c>
      <x:c r="O1587" s="13" t="str"/>
      <x:c r="P1587" s="13" t="str">
        <x:v>milestone_06_transfer_and_consolidation/week_23_2027-02-08/02_TUESDAY.md</x:v>
      </x:c>
      <x:c r="Q1587" s="138" t="str">
        <x:v>Markdown</x:v>
      </x:c>
      <x:c r="R1587" s="20" t="str"/>
    </x:row>
    <x:row r="1588" ht="36" customHeight="1">
      <x:c r="A1588" s="19" t="str">
        <x:v>W23-20270209-1587</x:v>
      </x:c>
      <x:c r="B1588" s="13" t="n">
        <x:v>23</x:v>
      </x:c>
      <x:c r="C1588" s="13" t="str">
        <x:v>Этап 6 — Перенос навыков, шестёрки и закрепление</x:v>
      </x:c>
      <x:c r="D1588" s="138" t="str">
        <x:v>2027-02-09</x:v>
      </x:c>
      <x:c r="E1588" s="13" t="str">
        <x:v>Вторник</x:v>
      </x:c>
      <x:c r="F1588" s="13" t="str">
        <x:v>Тренировка A — техника/объём</x:v>
      </x:c>
      <x:c r="G1588" s="44" t="n">
        <x:v>0.005555555555555556</x:v>
      </x:c>
      <x:c r="H1588" s="44" t="n">
        <x:v>0.009027777777777777</x:v>
      </x:c>
      <x:c r="I1588" s="32" t="n">
        <x:f>ROUND((H1588-G1588)*1440,0)</x:f>
        <x:v>5</x:v>
      </x:c>
      <x:c r="J1588" s="13" t="str">
        <x:v>Разминка</x:v>
      </x:c>
      <x:c r="K1588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588" s="13" t="str">
        <x:v>☐ Не начато</x:v>
      </x:c>
      <x:c r="M1588" s="13" t="str">
        <x:v>Обязательно</x:v>
      </x:c>
      <x:c r="N1588" s="13" t="str">
        <x:v>Очень легко</x:v>
      </x:c>
      <x:c r="O1588" s="13" t="str">
        <x:v>Не делай press/отжимания и движения, которые раздражают плечо.</x:v>
      </x:c>
      <x:c r="P1588" s="13" t="str">
        <x:v>milestone_06_transfer_and_consolidation/week_23_2027-02-08/02_TUESDAY.md</x:v>
      </x:c>
      <x:c r="Q1588" s="138" t="str">
        <x:v>Markdown</x:v>
      </x:c>
      <x:c r="R1588" s="20" t="str"/>
    </x:row>
    <x:row r="1589" ht="36" customHeight="1">
      <x:c r="A1589" s="19" t="str">
        <x:v>W23-20270209-1588</x:v>
      </x:c>
      <x:c r="B1589" s="13" t="n">
        <x:v>23</x:v>
      </x:c>
      <x:c r="C1589" s="13" t="str">
        <x:v>Этап 6 — Перенос навыков, шестёрки и закрепление</x:v>
      </x:c>
      <x:c r="D1589" s="138" t="str">
        <x:v>2027-02-09</x:v>
      </x:c>
      <x:c r="E1589" s="13" t="str">
        <x:v>Вторник</x:v>
      </x:c>
      <x:c r="F1589" s="13" t="str">
        <x:v>Тренировка A — техника/объём</x:v>
      </x:c>
      <x:c r="G1589" s="44" t="n">
        <x:v>0.009027777777777777</x:v>
      </x:c>
      <x:c r="H1589" s="44" t="n">
        <x:v>0.011805555555555555</x:v>
      </x:c>
      <x:c r="I1589" s="32" t="n">
        <x:f>ROUND((H1589-G1589)*1440,0)</x:f>
        <x:v>4</x:v>
      </x:c>
      <x:c r="J1589" s="13" t="str">
        <x:v>Разминка пальцев</x:v>
      </x:c>
      <x:c r="K1589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589" s="13" t="str">
        <x:v>☐ Не начато</x:v>
      </x:c>
      <x:c r="M1589" s="13" t="str">
        <x:v>Обязательно</x:v>
      </x:c>
      <x:c r="N1589" s="13" t="str">
        <x:v>Очень легко</x:v>
      </x:c>
      <x:c r="O1589" s="13" t="str"/>
      <x:c r="P1589" s="13" t="str">
        <x:v>milestone_06_transfer_and_consolidation/week_23_2027-02-08/02_TUESDAY.md</x:v>
      </x:c>
      <x:c r="Q1589" s="138" t="str">
        <x:v>Markdown</x:v>
      </x:c>
      <x:c r="R1589" s="20" t="str"/>
    </x:row>
    <x:row r="1590" ht="36" customHeight="1">
      <x:c r="A1590" s="19" t="str">
        <x:v>W23-20270209-1589</x:v>
      </x:c>
      <x:c r="B1590" s="13" t="n">
        <x:v>23</x:v>
      </x:c>
      <x:c r="C1590" s="13" t="str">
        <x:v>Этап 6 — Перенос навыков, шестёрки и закрепление</x:v>
      </x:c>
      <x:c r="D1590" s="138" t="str">
        <x:v>2027-02-09</x:v>
      </x:c>
      <x:c r="E1590" s="13" t="str">
        <x:v>Вторник</x:v>
      </x:c>
      <x:c r="F1590" s="13" t="str">
        <x:v>Тренировка A — техника/объём</x:v>
      </x:c>
      <x:c r="G1590" s="44" t="n">
        <x:v>0.011805555555555555</x:v>
      </x:c>
      <x:c r="H1590" s="44" t="n">
        <x:v>0.014583333333333334</x:v>
      </x:c>
      <x:c r="I1590" s="32" t="n">
        <x:f>ROUND((H1590-G1590)*1440,0)</x:f>
        <x:v>4</x:v>
      </x:c>
      <x:c r="J1590" s="13" t="str">
        <x:v>Разминочное лазание</x:v>
      </x:c>
      <x:c r="K1590" s="13" t="str">
        <x:v>Пройди 2 очень лёгкие трассы уровня 1–2; двигайся медленно, спускайся по зацепам.</x:v>
      </x:c>
      <x:c r="L1590" s="13" t="str">
        <x:v>☐ Не начато</x:v>
      </x:c>
      <x:c r="M1590" s="13" t="str">
        <x:v>Обязательно</x:v>
      </x:c>
      <x:c r="N1590" s="13" t="str">
        <x:v>RPE 2–3</x:v>
      </x:c>
      <x:c r="O1590" s="13" t="str">
        <x:v>Финиш с обязательным болезненным mantle/press пропусти.</x:v>
      </x:c>
      <x:c r="P1590" s="13" t="str">
        <x:v>milestone_06_transfer_and_consolidation/week_23_2027-02-08/02_TUESDAY.md</x:v>
      </x:c>
      <x:c r="Q1590" s="138" t="str">
        <x:v>Markdown</x:v>
      </x:c>
      <x:c r="R1590" s="20" t="str"/>
    </x:row>
    <x:row r="1591" ht="36" customHeight="1">
      <x:c r="A1591" s="19" t="str">
        <x:v>W23-20270209-1590</x:v>
      </x:c>
      <x:c r="B1591" s="13" t="n">
        <x:v>23</x:v>
      </x:c>
      <x:c r="C1591" s="13" t="str">
        <x:v>Этап 6 — Перенос навыков, шестёрки и закрепление</x:v>
      </x:c>
      <x:c r="D1591" s="138" t="str">
        <x:v>2027-02-09</x:v>
      </x:c>
      <x:c r="E1591" s="13" t="str">
        <x:v>Вторник</x:v>
      </x:c>
      <x:c r="F1591" s="13" t="str">
        <x:v>Тренировка A — техника/объём</x:v>
      </x:c>
      <x:c r="G1591" s="44" t="n">
        <x:v>0.014583333333333334</x:v>
      </x:c>
      <x:c r="H1591" s="44" t="n">
        <x:v>0.017361111111111112</x:v>
      </x:c>
      <x:c r="I1591" s="32" t="n">
        <x:f>ROUND((H1591-G1591)*1440,0)</x:f>
        <x:v>4</x:v>
      </x:c>
      <x:c r="J1591" s="13" t="str">
        <x:v>Разминочное лазание</x:v>
      </x:c>
      <x:c r="K1591" s="13" t="str">
        <x:v>Пройди 2 трассы уровня 2–3, затем сделай 2–3 движения на комфортной четвёрке. Между ними 45–60 секунд.</x:v>
      </x:c>
      <x:c r="L1591" s="13" t="str">
        <x:v>☐ Не начато</x:v>
      </x:c>
      <x:c r="M1591" s="13" t="str">
        <x:v>Обязательно</x:v>
      </x:c>
      <x:c r="N1591" s="13" t="str">
        <x:v>RPE 3–4</x:v>
      </x:c>
      <x:c r="O1591" s="13" t="str">
        <x:v>Разминка не должна утомить пальцы.</x:v>
      </x:c>
      <x:c r="P1591" s="13" t="str">
        <x:v>milestone_06_transfer_and_consolidation/week_23_2027-02-08/02_TUESDAY.md</x:v>
      </x:c>
      <x:c r="Q1591" s="138" t="str">
        <x:v>Markdown</x:v>
      </x:c>
      <x:c r="R1591" s="20" t="str"/>
    </x:row>
    <x:row r="1592" ht="36" customHeight="1">
      <x:c r="A1592" s="19" t="str">
        <x:v>W23-20270209-1591</x:v>
      </x:c>
      <x:c r="B1592" s="13" t="n">
        <x:v>23</x:v>
      </x:c>
      <x:c r="C1592" s="13" t="str">
        <x:v>Этап 6 — Перенос навыков, шестёрки и закрепление</x:v>
      </x:c>
      <x:c r="D1592" s="138" t="str">
        <x:v>2027-02-09</x:v>
      </x:c>
      <x:c r="E1592" s="13" t="str">
        <x:v>Вторник</x:v>
      </x:c>
      <x:c r="F1592" s="13" t="str">
        <x:v>Тренировка A — техника/объём</x:v>
      </x:c>
      <x:c r="G1592" s="44" t="n">
        <x:v>0.017361111111111112</x:v>
      </x:c>
      <x:c r="H1592" s="44" t="n">
        <x:v>0.02013888888888889</x:v>
      </x:c>
      <x:c r="I1592" s="32" t="n">
        <x:f>ROUND((H1592-G1592)*1440,0)</x:f>
        <x:v>4</x:v>
      </x:c>
      <x:c r="J1592" s="13" t="str">
        <x:v>Выбор трасс</x:v>
      </x:c>
      <x:c r="K1592" s="13" t="str">
        <x:v>Найди трассы для упражнения: 2 лёгкие трассы с движениями, похожими на crux шестёрки; затем короткий объём.</x:v>
      </x:c>
      <x:c r="L1592" s="13" t="str">
        <x:v>☐ Не начато</x:v>
      </x:c>
      <x:c r="M1592" s="13" t="str">
        <x:v>Обязательно</x:v>
      </x:c>
      <x:c r="N1592" s="13" t="str">
        <x:v>Без нагрузки</x:v>
      </x:c>
      <x:c r="O1592" s="13" t="str">
        <x:v>Если пальцы уже слабее обычного на разминке, сократить фингерборд и проект наполовину.</x:v>
      </x:c>
      <x:c r="P1592" s="13" t="str">
        <x:v>milestone_06_transfer_and_consolidation/week_23_2027-02-08/02_TUESDAY.md</x:v>
      </x:c>
      <x:c r="Q1592" s="138" t="str">
        <x:v>Markdown</x:v>
      </x:c>
      <x:c r="R1592" s="20" t="str"/>
    </x:row>
    <x:row r="1593" ht="36" customHeight="1">
      <x:c r="A1593" s="19" t="str">
        <x:v>W23-20270209-1592</x:v>
      </x:c>
      <x:c r="B1593" s="13" t="n">
        <x:v>23</x:v>
      </x:c>
      <x:c r="C1593" s="13" t="str">
        <x:v>Этап 6 — Перенос навыков, шестёрки и закрепление</x:v>
      </x:c>
      <x:c r="D1593" s="138" t="str">
        <x:v>2027-02-09</x:v>
      </x:c>
      <x:c r="E1593" s="13" t="str">
        <x:v>Вторник</x:v>
      </x:c>
      <x:c r="F1593" s="13" t="str">
        <x:v>Тренировка A — техника/объём</x:v>
      </x:c>
      <x:c r="G1593" s="44" t="n">
        <x:v>0.02013888888888889</x:v>
      </x:c>
      <x:c r="H1593" s="44" t="n">
        <x:v>0.03194444444444444</x:v>
      </x:c>
      <x:c r="I1593" s="32" t="n">
        <x:f>ROUND((H1593-G1593)*1440,0)</x:f>
        <x:v>17</x:v>
      </x:c>
      <x:c r="J1593" s="13" t="str">
        <x:v>Технический блок</x:v>
      </x:c>
      <x:c r="K1593" s="13" t="str">
        <x:v>Отработай «Лучшая связка шестёрки». Шаги: Разогрей ключевое движение на двух лёгких аналогах. Сделай 4–5 попыток с 4–5 минутами отдыха. Сними одну полную попытку.</x:v>
      </x:c>
      <x:c r="L1593" s="13" t="str">
        <x:v>☐ Не начато</x:v>
      </x:c>
      <x:c r="M1593" s="13" t="str">
        <x:v>Обязательно</x:v>
      </x:c>
      <x:c r="N1593" s="13" t="str">
        <x:v>RPE 3–5</x:v>
      </x:c>
      <x:c r="O1593" s="13" t="str">
        <x:v>При слабых пальцах уже на разминке сократить фингерборд и проект наполовину.</x:v>
      </x:c>
      <x:c r="P1593" s="13" t="str">
        <x:v>milestone_06_transfer_and_consolidation/week_23_2027-02-08/02_TUESDAY.md</x:v>
      </x:c>
      <x:c r="Q1593" s="138" t="str">
        <x:v>Markdown</x:v>
      </x:c>
      <x:c r="R1593" s="20" t="str"/>
    </x:row>
    <x:row r="1594" ht="36" customHeight="1">
      <x:c r="A1594" s="19" t="str">
        <x:v>W23-20270209-1593</x:v>
      </x:c>
      <x:c r="B1594" s="13" t="n">
        <x:v>23</x:v>
      </x:c>
      <x:c r="C1594" s="13" t="str">
        <x:v>Этап 6 — Перенос навыков, шестёрки и закрепление</x:v>
      </x:c>
      <x:c r="D1594" s="138" t="str">
        <x:v>2027-02-09</x:v>
      </x:c>
      <x:c r="E1594" s="13" t="str">
        <x:v>Вторник</x:v>
      </x:c>
      <x:c r="F1594" s="13" t="str">
        <x:v>Тренировка A — техника/объём</x:v>
      </x:c>
      <x:c r="G1594" s="44" t="n">
        <x:v>0.03194444444444444</x:v>
      </x:c>
      <x:c r="H1594" s="44" t="n">
        <x:v>0.035416666666666666</x:v>
      </x:c>
      <x:c r="I1594" s="32" t="n">
        <x:f>ROUND((H1594-G1594)*1440,0)</x:f>
        <x:v>5</x:v>
      </x:c>
      <x:c r="J1594" s="13" t="str">
        <x:v>Обратная связь</x:v>
      </x:c>
      <x:c r="K1594" s="13" t="str">
        <x:v>Повтори лучшую лёгкую трассу и проверь критерий успеха: Связка стала длиннее или технически чище.</x:v>
      </x:c>
      <x:c r="L1594" s="13" t="str">
        <x:v>☐ Не начато</x:v>
      </x:c>
      <x:c r="M1594" s="13" t="str">
        <x:v>Обязательно</x:v>
      </x:c>
      <x:c r="N1594" s="13" t="str">
        <x:v>RPE 4–5</x:v>
      </x:c>
      <x:c r="O1594" s="13" t="str"/>
      <x:c r="P1594" s="13" t="str">
        <x:v>milestone_06_transfer_and_consolidation/week_23_2027-02-08/02_TUESDAY.md</x:v>
      </x:c>
      <x:c r="Q1594" s="138" t="str">
        <x:v>Markdown</x:v>
      </x:c>
      <x:c r="R1594" s="20" t="str"/>
    </x:row>
    <x:row r="1595" ht="36" customHeight="1">
      <x:c r="A1595" s="19" t="str">
        <x:v>W23-20270209-1594</x:v>
      </x:c>
      <x:c r="B1595" s="13" t="n">
        <x:v>23</x:v>
      </x:c>
      <x:c r="C1595" s="13" t="str">
        <x:v>Этап 6 — Перенос навыков, шестёрки и закрепление</x:v>
      </x:c>
      <x:c r="D1595" s="138" t="str">
        <x:v>2027-02-09</x:v>
      </x:c>
      <x:c r="E1595" s="13" t="str">
        <x:v>Вторник</x:v>
      </x:c>
      <x:c r="F1595" s="13" t="str">
        <x:v>Тренировка A — техника/объём</x:v>
      </x:c>
      <x:c r="G1595" s="44" t="n">
        <x:v>0.035416666666666666</x:v>
      </x:c>
      <x:c r="H1595" s="44" t="n">
        <x:v>0.04583333333333333</x:v>
      </x:c>
      <x:c r="I1595" s="32" t="n">
        <x:f>ROUND((H1595-G1595)*1440,0)</x:f>
        <x:v>15</x:v>
      </x:c>
      <x:c r="J1595" s="13" t="str">
        <x:v>Качественный объём</x:v>
      </x:c>
      <x:c r="K1595" s="13" t="str">
        <x:v>Попробуй 2–3 четвёрки, максимум 2 попытки на каждую, отдых 2:00. На неудаче назови техническую причину.</x:v>
      </x:c>
      <x:c r="L1595" s="13" t="str">
        <x:v>☐ Не начато</x:v>
      </x:c>
      <x:c r="M1595" s="13" t="str">
        <x:v>Обязательно</x:v>
      </x:c>
      <x:c r="N1595" s="13" t="str">
        <x:v>RPE 6–7</x:v>
      </x:c>
      <x:c r="O1595" s="13" t="str">
        <x:v>Не выбирать подряд три трассы на одинаково маленьких кромках.</x:v>
      </x:c>
      <x:c r="P1595" s="13" t="str">
        <x:v>milestone_06_transfer_and_consolidation/week_23_2027-02-08/02_TUESDAY.md</x:v>
      </x:c>
      <x:c r="Q1595" s="138" t="str">
        <x:v>Markdown</x:v>
      </x:c>
      <x:c r="R1595" s="20" t="str"/>
    </x:row>
    <x:row r="1596" ht="36" customHeight="1">
      <x:c r="A1596" s="19" t="str">
        <x:v>W23-20270209-1595</x:v>
      </x:c>
      <x:c r="B1596" s="13" t="n">
        <x:v>23</x:v>
      </x:c>
      <x:c r="C1596" s="13" t="str">
        <x:v>Этап 6 — Перенос навыков, шестёрки и закрепление</x:v>
      </x:c>
      <x:c r="D1596" s="138" t="str">
        <x:v>2027-02-09</x:v>
      </x:c>
      <x:c r="E1596" s="13" t="str">
        <x:v>Вторник</x:v>
      </x:c>
      <x:c r="F1596" s="13" t="str">
        <x:v>Тренировка A — техника/объём</x:v>
      </x:c>
      <x:c r="G1596" s="44" t="n">
        <x:v>0.04583333333333333</x:v>
      </x:c>
      <x:c r="H1596" s="44" t="n">
        <x:v>0.052083333333333336</x:v>
      </x:c>
      <x:c r="I1596" s="32" t="n">
        <x:f>ROUND((H1596-G1596)*1440,0)</x:f>
        <x:v>9</x:v>
      </x:c>
      <x:c r="J1596" s="13" t="str">
        <x:v>Рабочая пятёрка</x:v>
      </x:c>
      <x:c r="K1596" s="13" t="str">
        <x:v>Одна пятёрка, максимум 2 попытки, отдых 3:00. Цель — применить тему недели, а не обязательно закрыть.</x:v>
      </x:c>
      <x:c r="L1596" s="13" t="str">
        <x:v>☐ Не начато</x:v>
      </x:c>
      <x:c r="M1596" s="13" t="str">
        <x:v>Обязательно</x:v>
      </x:c>
      <x:c r="N1596" s="13" t="str">
        <x:v>RPE 7–8</x:v>
      </x:c>
      <x:c r="O1596" s="13" t="str">
        <x:v>Если пальцы уже слабее обычного на разминке, сократить фингерборд и проект наполовину.</x:v>
      </x:c>
      <x:c r="P1596" s="13" t="str">
        <x:v>milestone_06_transfer_and_consolidation/week_23_2027-02-08/02_TUESDAY.md</x:v>
      </x:c>
      <x:c r="Q1596" s="138" t="str">
        <x:v>Markdown</x:v>
      </x:c>
      <x:c r="R1596" s="20" t="str"/>
    </x:row>
    <x:row r="1597" ht="36" customHeight="1">
      <x:c r="A1597" s="19" t="str">
        <x:v>W23-20270209-1596</x:v>
      </x:c>
      <x:c r="B1597" s="13" t="n">
        <x:v>23</x:v>
      </x:c>
      <x:c r="C1597" s="13" t="str">
        <x:v>Этап 6 — Перенос навыков, шестёрки и закрепление</x:v>
      </x:c>
      <x:c r="D1597" s="138" t="str">
        <x:v>2027-02-09</x:v>
      </x:c>
      <x:c r="E1597" s="13" t="str">
        <x:v>Вторник</x:v>
      </x:c>
      <x:c r="F1597" s="13" t="str">
        <x:v>Тренировка A — техника/объём</x:v>
      </x:c>
      <x:c r="G1597" s="44" t="n">
        <x:v>0.052083333333333336</x:v>
      </x:c>
      <x:c r="H1597" s="44" t="n">
        <x:v>0.058333333333333334</x:v>
      </x:c>
      <x:c r="I1597" s="32" t="n">
        <x:f>ROUND((H1597-G1597)*1440,0)</x:f>
        <x:v>9</x:v>
      </x:c>
      <x:c r="J1597" s="13" t="str">
        <x:v>Лёгкая выносливость</x:v>
      </x:c>
      <x:c r="K1597" s="13" t="str">
        <x:v>Начни 2 раунда × 4 очень лёгкие трассы. Маршруты 1–3, отдых между трассами 30–45 сек, между раундами до 4 мин. Если весь объём не помещается — завершить по таймеру.</x:v>
      </x:c>
      <x:c r="L1597" s="13" t="str">
        <x:v>☐ Не начато</x:v>
      </x:c>
      <x:c r="M1597" s="13" t="str">
        <x:v>Обязательно</x:v>
      </x:c>
      <x:c r="N1597" s="13" t="str">
        <x:v>Памп максимум 4/10</x:v>
      </x:c>
      <x:c r="O1597" s="13" t="str">
        <x:v>Остановиться при неточной постановке ног или разжимании пальцев.</x:v>
      </x:c>
      <x:c r="P1597" s="13" t="str">
        <x:v>milestone_06_transfer_and_consolidation/week_23_2027-02-08/02_TUESDAY.md</x:v>
      </x:c>
      <x:c r="Q1597" s="138" t="str">
        <x:v>Markdown</x:v>
      </x:c>
      <x:c r="R1597" s="20" t="str"/>
    </x:row>
    <x:row r="1598" ht="36" customHeight="1">
      <x:c r="A1598" s="19" t="str">
        <x:v>W23-20270209-1597</x:v>
      </x:c>
      <x:c r="B1598" s="13" t="n">
        <x:v>23</x:v>
      </x:c>
      <x:c r="C1598" s="13" t="str">
        <x:v>Этап 6 — Перенос навыков, шестёрки и закрепление</x:v>
      </x:c>
      <x:c r="D1598" s="138" t="str">
        <x:v>2027-02-09</x:v>
      </x:c>
      <x:c r="E1598" s="13" t="str">
        <x:v>Вторник</x:v>
      </x:c>
      <x:c r="F1598" s="13" t="str">
        <x:v>Тренировка A — техника/объём</x:v>
      </x:c>
      <x:c r="G1598" s="44" t="n">
        <x:v>0.058333333333333334</x:v>
      </x:c>
      <x:c r="H1598" s="44" t="n">
        <x:v>0.06041666666666667</x:v>
      </x:c>
      <x:c r="I1598" s="32" t="n">
        <x:f>ROUND((H1598-G1598)*1440,0)</x:f>
        <x:v>3</x:v>
      </x:c>
      <x:c r="J1598" s="13" t="str">
        <x:v>Завершение</x:v>
      </x:c>
      <x:c r="K1598" s="13" t="str">
        <x:v>Очень лёгкий спуск/ходьба и спокойное встряхивание кистей.</x:v>
      </x:c>
      <x:c r="L1598" s="13" t="str">
        <x:v>☐ Не начато</x:v>
      </x:c>
      <x:c r="M1598" s="13" t="str">
        <x:v>Обязательно</x:v>
      </x:c>
      <x:c r="N1598" s="13" t="str">
        <x:v>RPE 1–2</x:v>
      </x:c>
      <x:c r="O1598" s="13" t="str"/>
      <x:c r="P1598" s="13" t="str">
        <x:v>milestone_06_transfer_and_consolidation/week_23_2027-02-08/02_TUESDAY.md</x:v>
      </x:c>
      <x:c r="Q1598" s="138" t="str">
        <x:v>Markdown</x:v>
      </x:c>
      <x:c r="R1598" s="20" t="str"/>
    </x:row>
    <x:row r="1599" ht="36" customHeight="1">
      <x:c r="A1599" s="19" t="str">
        <x:v>W23-20270209-1598</x:v>
      </x:c>
      <x:c r="B1599" s="13" t="n">
        <x:v>23</x:v>
      </x:c>
      <x:c r="C1599" s="13" t="str">
        <x:v>Этап 6 — Перенос навыков, шестёрки и закрепление</x:v>
      </x:c>
      <x:c r="D1599" s="138" t="str">
        <x:v>2027-02-09</x:v>
      </x:c>
      <x:c r="E1599" s="13" t="str">
        <x:v>Вторник</x:v>
      </x:c>
      <x:c r="F1599" s="13" t="str">
        <x:v>Тренировка A — техника/объём</x:v>
      </x:c>
      <x:c r="G1599" s="44" t="n">
        <x:v>0.06041666666666667</x:v>
      </x:c>
      <x:c r="H1599" s="44" t="n">
        <x:v>0.0625</x:v>
      </x:c>
      <x:c r="I1599" s="32" t="n">
        <x:f>ROUND((H1599-G1599)*1440,0)</x:f>
        <x:v>3</x:v>
      </x:c>
      <x:c r="J1599" s="13" t="str">
        <x:v>Журнал</x:v>
      </x:c>
      <x:c r="K1599" s="13" t="str">
        <x:v>Запиши: Лучшая связка должна стать длиннее или технически чище, даже если топа нет. Также отметь минуту первой просадки хвата.</x:v>
      </x:c>
      <x:c r="L1599" s="13" t="str">
        <x:v>☐ Не начато</x:v>
      </x:c>
      <x:c r="M1599" s="13" t="str">
        <x:v>Обязательно</x:v>
      </x:c>
      <x:c r="N1599" s="13" t="str">
        <x:v>Без нагрузки</x:v>
      </x:c>
      <x:c r="O1599" s="13" t="str"/>
      <x:c r="P1599" s="13" t="str">
        <x:v>milestone_06_transfer_and_consolidation/week_23_2027-02-08/02_TUESDAY.md</x:v>
      </x:c>
      <x:c r="Q1599" s="138" t="str">
        <x:v>Markdown</x:v>
      </x:c>
      <x:c r="R1599" s="20" t="str"/>
    </x:row>
    <x:row r="1600" ht="36" customHeight="1">
      <x:c r="A1600" s="19" t="str">
        <x:v>W23-20270210-1599</x:v>
      </x:c>
      <x:c r="B1600" s="13" t="n">
        <x:v>23</x:v>
      </x:c>
      <x:c r="C1600" s="13" t="str">
        <x:v>Этап 6 — Перенос навыков, шестёрки и закрепление</x:v>
      </x:c>
      <x:c r="D1600" s="138" t="str">
        <x:v>2027-02-10</x:v>
      </x:c>
      <x:c r="E1600" s="13" t="str">
        <x:v>Среда</x:v>
      </x:c>
      <x:c r="F1600" s="13" t="str">
        <x:v>Восстановление / видео</x:v>
      </x:c>
      <x:c r="G1600" s="44" t="n">
        <x:v>0</x:v>
      </x:c>
      <x:c r="H1600" s="44" t="n">
        <x:v>0.006944444444444444</x:v>
      </x:c>
      <x:c r="I1600" s="32" t="n">
        <x:f>ROUND((H1600-G1600)*1440,0)</x:f>
        <x:v>10</x:v>
      </x:c>
      <x:c r="J1600" s="13" t="str">
        <x:v>Восстановление</x:v>
      </x:c>
      <x:c r="K1600" s="13" t="str">
        <x:v>10 минут спокойной ходьбы. Руки расслаблены; это не тренировка выносливости.</x:v>
      </x:c>
      <x:c r="L1600" s="13" t="str">
        <x:v>☐ Не начато</x:v>
      </x:c>
      <x:c r="M1600" s="13" t="str">
        <x:v>Обязательно</x:v>
      </x:c>
      <x:c r="N1600" s="13" t="str">
        <x:v>RPE 1–2</x:v>
      </x:c>
      <x:c r="O1600" s="13" t="str"/>
      <x:c r="P1600" s="13" t="str">
        <x:v>milestone_06_transfer_and_consolidation/week_23_2027-02-08/03_WEDNESDAY.md</x:v>
      </x:c>
      <x:c r="Q1600" s="138" t="str">
        <x:v>Markdown</x:v>
      </x:c>
      <x:c r="R1600" s="20" t="str"/>
    </x:row>
    <x:row r="1601" ht="36" customHeight="1">
      <x:c r="A1601" s="19" t="str">
        <x:v>W23-20270210-1600</x:v>
      </x:c>
      <x:c r="B1601" s="13" t="n">
        <x:v>23</x:v>
      </x:c>
      <x:c r="C1601" s="13" t="str">
        <x:v>Этап 6 — Перенос навыков, шестёрки и закрепление</x:v>
      </x:c>
      <x:c r="D1601" s="138" t="str">
        <x:v>2027-02-10</x:v>
      </x:c>
      <x:c r="E1601" s="13" t="str">
        <x:v>Среда</x:v>
      </x:c>
      <x:c r="F1601" s="13" t="str">
        <x:v>Восстановление / видео</x:v>
      </x:c>
      <x:c r="G1601" s="44" t="n">
        <x:v>0.006944444444444444</x:v>
      </x:c>
      <x:c r="H1601" s="44" t="n">
        <x:v>0.009027777777777777</x:v>
      </x:c>
      <x:c r="I1601" s="32" t="n">
        <x:f>ROUND((H1601-G1601)*1440,0)</x:f>
        <x:v>3</x:v>
      </x:c>
      <x:c r="J1601" s="13" t="str">
        <x:v>Самопроверка</x:v>
      </x:c>
      <x:c r="K1601" s="13" t="str">
        <x:v>Оцени реакцию после вторника: плечо, пальцы, правое колено 0–10. Запиши, что изменилось относительно вчерашнего утра.</x:v>
      </x:c>
      <x:c r="L1601" s="13" t="str">
        <x:v>☐ Не начато</x:v>
      </x:c>
      <x:c r="M1601" s="13" t="str">
        <x:v>Обязательно</x:v>
      </x:c>
      <x:c r="N1601" s="13" t="str">
        <x:v>Без нагрузки</x:v>
      </x:c>
      <x:c r="O1601" s="13" t="str">
        <x:v>Острая локальная боль пальца или ухудшение плеча = не делать четверговую пальцевую нагрузку.</x:v>
      </x:c>
      <x:c r="P1601" s="13" t="str">
        <x:v>milestone_06_transfer_and_consolidation/week_23_2027-02-08/03_WEDNESDAY.md</x:v>
      </x:c>
      <x:c r="Q1601" s="138" t="str">
        <x:v>Markdown</x:v>
      </x:c>
      <x:c r="R1601" s="20" t="str"/>
    </x:row>
    <x:row r="1602" ht="36" customHeight="1">
      <x:c r="A1602" s="19" t="str">
        <x:v>W23-20270210-1601</x:v>
      </x:c>
      <x:c r="B1602" s="13" t="n">
        <x:v>23</x:v>
      </x:c>
      <x:c r="C1602" s="13" t="str">
        <x:v>Этап 6 — Перенос навыков, шестёрки и закрепление</x:v>
      </x:c>
      <x:c r="D1602" s="138" t="str">
        <x:v>2027-02-10</x:v>
      </x:c>
      <x:c r="E1602" s="13" t="str">
        <x:v>Среда</x:v>
      </x:c>
      <x:c r="F1602" s="13" t="str">
        <x:v>Восстановление / видео</x:v>
      </x:c>
      <x:c r="G1602" s="44" t="n">
        <x:v>0.009027777777777777</x:v>
      </x:c>
      <x:c r="H1602" s="44" t="n">
        <x:v>0.01597222222222222</x:v>
      </x:c>
      <x:c r="I1602" s="32" t="n">
        <x:f>ROUND((H1602-G1602)*1440,0)</x:f>
        <x:v>10</x:v>
      </x:c>
      <x:c r="J1602" s="13" t="str">
        <x:v>Видеоразбор</x:v>
      </x:c>
      <x:c r="K1602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602" s="13" t="str">
        <x:v>☐ Не начато</x:v>
      </x:c>
      <x:c r="M1602" s="13" t="str">
        <x:v>Обязательно</x:v>
      </x:c>
      <x:c r="N1602" s="13" t="str">
        <x:v>Без нагрузки</x:v>
      </x:c>
      <x:c r="O1602" s="13" t="str"/>
      <x:c r="P1602" s="13" t="str">
        <x:v>milestone_06_transfer_and_consolidation/week_23_2027-02-08/03_WEDNESDAY.md</x:v>
      </x:c>
      <x:c r="Q1602" s="138" t="str">
        <x:v>Markdown</x:v>
      </x:c>
      <x:c r="R1602" s="20" t="str"/>
    </x:row>
    <x:row r="1603" ht="36" customHeight="1">
      <x:c r="A1603" s="19" t="str">
        <x:v>W23-20270210-1602</x:v>
      </x:c>
      <x:c r="B1603" s="13" t="n">
        <x:v>23</x:v>
      </x:c>
      <x:c r="C1603" s="13" t="str">
        <x:v>Этап 6 — Перенос навыков, шестёрки и закрепление</x:v>
      </x:c>
      <x:c r="D1603" s="138" t="str">
        <x:v>2027-02-10</x:v>
      </x:c>
      <x:c r="E1603" s="13" t="str">
        <x:v>Среда</x:v>
      </x:c>
      <x:c r="F1603" s="13" t="str">
        <x:v>Восстановление / видео</x:v>
      </x:c>
      <x:c r="G1603" s="44" t="n">
        <x:v>0.01597222222222222</x:v>
      </x:c>
      <x:c r="H1603" s="44" t="n">
        <x:v>0.01875</x:v>
      </x:c>
      <x:c r="I1603" s="32" t="n">
        <x:f>ROUND((H1603-G1603)*1440,0)</x:f>
        <x:v>4</x:v>
      </x:c>
      <x:c r="J1603" s="13" t="str">
        <x:v>Конспект</x:v>
      </x:c>
      <x:c r="K1603" s="13" t="str">
        <x:v>Запиши одну правку на четверг в формате «В следующей попытке я…». Используй cue: «Одна полная попытка после хорошего отдыха лучше трёх усталых подряд.».</x:v>
      </x:c>
      <x:c r="L1603" s="13" t="str">
        <x:v>☐ Не начато</x:v>
      </x:c>
      <x:c r="M1603" s="13" t="str">
        <x:v>Обязательно</x:v>
      </x:c>
      <x:c r="N1603" s="13" t="str">
        <x:v>Без нагрузки</x:v>
      </x:c>
      <x:c r="O1603" s="13" t="str"/>
      <x:c r="P1603" s="13" t="str">
        <x:v>milestone_06_transfer_and_consolidation/week_23_2027-02-08/03_WEDNESDAY.md</x:v>
      </x:c>
      <x:c r="Q1603" s="138" t="str">
        <x:v>Markdown</x:v>
      </x:c>
      <x:c r="R1603" s="20" t="str"/>
    </x:row>
    <x:row r="1604" ht="36" customHeight="1">
      <x:c r="A1604" s="19" t="str">
        <x:v>W23-20270210-1603</x:v>
      </x:c>
      <x:c r="B1604" s="13" t="n">
        <x:v>23</x:v>
      </x:c>
      <x:c r="C1604" s="13" t="str">
        <x:v>Этап 6 — Перенос навыков, шестёрки и закрепление</x:v>
      </x:c>
      <x:c r="D1604" s="138" t="str">
        <x:v>2027-02-10</x:v>
      </x:c>
      <x:c r="E1604" s="13" t="str">
        <x:v>Среда</x:v>
      </x:c>
      <x:c r="F1604" s="13" t="str">
        <x:v>Восстановление / видео</x:v>
      </x:c>
      <x:c r="G1604" s="44" t="n">
        <x:v>0.01875</x:v>
      </x:c>
      <x:c r="H1604" s="44" t="n">
        <x:v>0.027083333333333334</x:v>
      </x:c>
      <x:c r="I1604" s="32" t="n">
        <x:f>ROUND((H1604-G1604)*1440,0)</x:f>
        <x:v>12</x:v>
      </x:c>
      <x:c r="J1604" s="13" t="str">
        <x:v>Домашняя мобильность</x:v>
      </x:c>
      <x:c r="K1604" s="13" t="str">
        <x:v>Выполни комплекс H1 «База: таз, корпус и стопы», 12 минут. Ни турника, ни колец для дополнительного хвата.</x:v>
      </x:c>
      <x:c r="L1604" s="13" t="str">
        <x:v>☐ Не начато</x:v>
      </x:c>
      <x:c r="M1604" s="13" t="str">
        <x:v>Обязательно</x:v>
      </x:c>
      <x:c r="N1604" s="13" t="str">
        <x:v>RPE 2–3</x:v>
      </x:c>
      <x:c r="O1604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604" s="13" t="str">
        <x:v>milestone_06_transfer_and_consolidation/week_23_2027-02-08/03_WEDNESDAY.md</x:v>
      </x:c>
      <x:c r="Q1604" s="138" t="str">
        <x:v>Markdown</x:v>
      </x:c>
      <x:c r="R1604" s="20" t="str"/>
    </x:row>
    <x:row r="1605" ht="36" customHeight="1">
      <x:c r="A1605" s="19" t="str">
        <x:v>W23-20270210-1604</x:v>
      </x:c>
      <x:c r="B1605" s="13" t="n">
        <x:v>23</x:v>
      </x:c>
      <x:c r="C1605" s="13" t="str">
        <x:v>Этап 6 — Перенос навыков, шестёрки и закрепление</x:v>
      </x:c>
      <x:c r="D1605" s="138" t="str">
        <x:v>2027-02-10</x:v>
      </x:c>
      <x:c r="E1605" s="13" t="str">
        <x:v>Среда</x:v>
      </x:c>
      <x:c r="F1605" s="13" t="str">
        <x:v>Восстановление / видео</x:v>
      </x:c>
      <x:c r="G1605" s="44" t="n">
        <x:v>0.027083333333333334</x:v>
      </x:c>
      <x:c r="H1605" s="44" t="n">
        <x:v>0.04097222222222222</x:v>
      </x:c>
      <x:c r="I1605" s="32" t="n">
        <x:f>ROUND((H1605-G1605)*1440,0)</x:f>
        <x:v>20</x:v>
      </x:c>
      <x:c r="J1605" s="13" t="str">
        <x:v>Физиотерапия</x:v>
      </x:c>
      <x:c r="K1605" s="13" t="str">
        <x:v>Выполни свой назначенный физиотерапевтом комплекс, если среда входит в его расписание.</x:v>
      </x:c>
      <x:c r="L1605" s="13" t="str">
        <x:v>☐ Не начато</x:v>
      </x:c>
      <x:c r="M1605" s="13" t="str">
        <x:v>По назначению</x:v>
      </x:c>
      <x:c r="N1605" s="13" t="str">
        <x:v>По назначению</x:v>
      </x:c>
      <x:c r="O1605" s="13" t="str">
        <x:v>Назначения физиотерапевта имеют приоритет.</x:v>
      </x:c>
      <x:c r="P1605" s="13" t="str">
        <x:v>milestone_06_transfer_and_consolidation/week_23_2027-02-08/03_WEDNESDAY.md</x:v>
      </x:c>
      <x:c r="Q1605" s="138" t="str">
        <x:v>Markdown</x:v>
      </x:c>
      <x:c r="R1605" s="20" t="str"/>
    </x:row>
    <x:row r="1606" ht="36" customHeight="1">
      <x:c r="A1606" s="19" t="str">
        <x:v>W23-20270210-1605</x:v>
      </x:c>
      <x:c r="B1606" s="13" t="n">
        <x:v>23</x:v>
      </x:c>
      <x:c r="C1606" s="13" t="str">
        <x:v>Этап 6 — Перенос навыков, шестёрки и закрепление</x:v>
      </x:c>
      <x:c r="D1606" s="138" t="str">
        <x:v>2027-02-10</x:v>
      </x:c>
      <x:c r="E1606" s="13" t="str">
        <x:v>Среда</x:v>
      </x:c>
      <x:c r="F1606" s="13" t="str">
        <x:v>Восстановление / видео</x:v>
      </x:c>
      <x:c r="G1606" s="44" t="n">
        <x:v>0.04097222222222222</x:v>
      </x:c>
      <x:c r="H1606" s="44" t="n">
        <x:v>0.043055555555555555</x:v>
      </x:c>
      <x:c r="I1606" s="32" t="n">
        <x:f>ROUND((H1606-G1606)*1440,0)</x:f>
        <x:v>3</x:v>
      </x:c>
      <x:c r="J1606" s="13" t="str">
        <x:v>Запрет лишней нагрузки</x:v>
      </x:c>
      <x:c r="K1606" s="13" t="str">
        <x:v>Поставь отметку: сегодня не было висов, подтягиваний «на проверку», эспандера-сжимателя или тяжёлого ношения.</x:v>
      </x:c>
      <x:c r="L1606" s="13" t="str">
        <x:v>☐ Не начато</x:v>
      </x:c>
      <x:c r="M1606" s="13" t="str">
        <x:v>Обязательно</x:v>
      </x:c>
      <x:c r="N1606" s="13" t="str">
        <x:v>Восстановление</x:v>
      </x:c>
      <x:c r="O1606" s="13" t="str"/>
      <x:c r="P1606" s="13" t="str">
        <x:v>milestone_06_transfer_and_consolidation/week_23_2027-02-08/03_WEDNESDAY.md</x:v>
      </x:c>
      <x:c r="Q1606" s="138" t="str">
        <x:v>Markdown</x:v>
      </x:c>
      <x:c r="R1606" s="20" t="str"/>
    </x:row>
    <x:row r="1607" ht="36" customHeight="1">
      <x:c r="A1607" s="19" t="str">
        <x:v>W23-20270211-1606</x:v>
      </x:c>
      <x:c r="B1607" s="13" t="n">
        <x:v>23</x:v>
      </x:c>
      <x:c r="C1607" s="13" t="str">
        <x:v>Этап 6 — Перенос навыков, шестёрки и закрепление</x:v>
      </x:c>
      <x:c r="D1607" s="138" t="str">
        <x:v>2027-02-11</x:v>
      </x:c>
      <x:c r="E1607" s="13" t="str">
        <x:v>Четверг</x:v>
      </x:c>
      <x:c r="F1607" s="13" t="str">
        <x:v>Тренировка B — пальцы/проект</x:v>
      </x:c>
      <x:c r="G1607" s="44" t="n">
        <x:v>0</x:v>
      </x:c>
      <x:c r="H1607" s="44" t="n">
        <x:v>0.0020833333333333333</x:v>
      </x:c>
      <x:c r="I1607" s="32" t="n">
        <x:f>ROUND((H1607-G1607)*1440,0)</x:f>
        <x:v>3</x:v>
      </x:c>
      <x:c r="J1607" s="13" t="str">
        <x:v>Самопроверка</x:v>
      </x:c>
      <x:c r="K1607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607" s="13" t="str">
        <x:v>☐ Не начато</x:v>
      </x:c>
      <x:c r="M1607" s="13" t="str">
        <x:v>Обязательно</x:v>
      </x:c>
      <x:c r="N1607" s="13" t="str">
        <x:v>Без нагрузки</x:v>
      </x:c>
      <x:c r="O1607" s="13" t="str">
        <x:v>Красный флаг = не начинать пальцевую нагрузку.</x:v>
      </x:c>
      <x:c r="P1607" s="13" t="str">
        <x:v>milestone_06_transfer_and_consolidation/week_23_2027-02-08/04_THURSDAY.md</x:v>
      </x:c>
      <x:c r="Q1607" s="138" t="str">
        <x:v>Markdown</x:v>
      </x:c>
      <x:c r="R1607" s="20" t="str"/>
    </x:row>
    <x:row r="1608" ht="36" customHeight="1">
      <x:c r="A1608" s="19" t="str">
        <x:v>W23-20270211-1607</x:v>
      </x:c>
      <x:c r="B1608" s="13" t="n">
        <x:v>23</x:v>
      </x:c>
      <x:c r="C1608" s="13" t="str">
        <x:v>Этап 6 — Перенос навыков, шестёрки и закрепление</x:v>
      </x:c>
      <x:c r="D1608" s="138" t="str">
        <x:v>2027-02-11</x:v>
      </x:c>
      <x:c r="E1608" s="13" t="str">
        <x:v>Четверг</x:v>
      </x:c>
      <x:c r="F1608" s="13" t="str">
        <x:v>Тренировка B — пальцы/проект</x:v>
      </x:c>
      <x:c r="G1608" s="44" t="n">
        <x:v>0.0020833333333333333</x:v>
      </x:c>
      <x:c r="H1608" s="44" t="n">
        <x:v>0.005555555555555556</x:v>
      </x:c>
      <x:c r="I1608" s="32" t="n">
        <x:f>ROUND((H1608-G1608)*1440,0)</x:f>
        <x:v>5</x:v>
      </x:c>
      <x:c r="J1608" s="13" t="str">
        <x:v>Разминка</x:v>
      </x:c>
      <x:c r="K1608" s="13" t="str">
        <x:v>Подними температуру: быстрая ходьба, лестница или лёгкий велотренажёр 5 минут.</x:v>
      </x:c>
      <x:c r="L1608" s="13" t="str">
        <x:v>☐ Не начато</x:v>
      </x:c>
      <x:c r="M1608" s="13" t="str">
        <x:v>Обязательно</x:v>
      </x:c>
      <x:c r="N1608" s="13" t="str">
        <x:v>RPE 2–3</x:v>
      </x:c>
      <x:c r="O1608" s="13" t="str"/>
      <x:c r="P1608" s="13" t="str">
        <x:v>milestone_06_transfer_and_consolidation/week_23_2027-02-08/04_THURSDAY.md</x:v>
      </x:c>
      <x:c r="Q1608" s="138" t="str">
        <x:v>Markdown</x:v>
      </x:c>
      <x:c r="R1608" s="20" t="str"/>
    </x:row>
    <x:row r="1609" ht="36" customHeight="1">
      <x:c r="A1609" s="19" t="str">
        <x:v>W23-20270211-1608</x:v>
      </x:c>
      <x:c r="B1609" s="13" t="n">
        <x:v>23</x:v>
      </x:c>
      <x:c r="C1609" s="13" t="str">
        <x:v>Этап 6 — Перенос навыков, шестёрки и закрепление</x:v>
      </x:c>
      <x:c r="D1609" s="138" t="str">
        <x:v>2027-02-11</x:v>
      </x:c>
      <x:c r="E1609" s="13" t="str">
        <x:v>Четверг</x:v>
      </x:c>
      <x:c r="F1609" s="13" t="str">
        <x:v>Тренировка B — пальцы/проект</x:v>
      </x:c>
      <x:c r="G1609" s="44" t="n">
        <x:v>0.005555555555555556</x:v>
      </x:c>
      <x:c r="H1609" s="44" t="n">
        <x:v>0.009027777777777777</x:v>
      </x:c>
      <x:c r="I1609" s="32" t="n">
        <x:f>ROUND((H1609-G1609)*1440,0)</x:f>
        <x:v>5</x:v>
      </x:c>
      <x:c r="J1609" s="13" t="str">
        <x:v>Разминка</x:v>
      </x:c>
      <x:c r="K1609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609" s="13" t="str">
        <x:v>☐ Не начато</x:v>
      </x:c>
      <x:c r="M1609" s="13" t="str">
        <x:v>Обязательно</x:v>
      </x:c>
      <x:c r="N1609" s="13" t="str">
        <x:v>Очень легко</x:v>
      </x:c>
      <x:c r="O1609" s="13" t="str">
        <x:v>Не делай press/отжимания и движения, которые раздражают плечо.</x:v>
      </x:c>
      <x:c r="P1609" s="13" t="str">
        <x:v>milestone_06_transfer_and_consolidation/week_23_2027-02-08/04_THURSDAY.md</x:v>
      </x:c>
      <x:c r="Q1609" s="138" t="str">
        <x:v>Markdown</x:v>
      </x:c>
      <x:c r="R1609" s="20" t="str"/>
    </x:row>
    <x:row r="1610" ht="36" customHeight="1">
      <x:c r="A1610" s="19" t="str">
        <x:v>W23-20270211-1609</x:v>
      </x:c>
      <x:c r="B1610" s="13" t="n">
        <x:v>23</x:v>
      </x:c>
      <x:c r="C1610" s="13" t="str">
        <x:v>Этап 6 — Перенос навыков, шестёрки и закрепление</x:v>
      </x:c>
      <x:c r="D1610" s="138" t="str">
        <x:v>2027-02-11</x:v>
      </x:c>
      <x:c r="E1610" s="13" t="str">
        <x:v>Четверг</x:v>
      </x:c>
      <x:c r="F1610" s="13" t="str">
        <x:v>Тренировка B — пальцы/проект</x:v>
      </x:c>
      <x:c r="G1610" s="44" t="n">
        <x:v>0.009027777777777777</x:v>
      </x:c>
      <x:c r="H1610" s="44" t="n">
        <x:v>0.011805555555555555</x:v>
      </x:c>
      <x:c r="I1610" s="32" t="n">
        <x:f>ROUND((H1610-G1610)*1440,0)</x:f>
        <x:v>4</x:v>
      </x:c>
      <x:c r="J1610" s="13" t="str">
        <x:v>Разминка пальцев</x:v>
      </x:c>
      <x:c r="K1610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610" s="13" t="str">
        <x:v>☐ Не начато</x:v>
      </x:c>
      <x:c r="M1610" s="13" t="str">
        <x:v>Обязательно</x:v>
      </x:c>
      <x:c r="N1610" s="13" t="str">
        <x:v>Очень легко</x:v>
      </x:c>
      <x:c r="O1610" s="13" t="str"/>
      <x:c r="P1610" s="13" t="str">
        <x:v>milestone_06_transfer_and_consolidation/week_23_2027-02-08/04_THURSDAY.md</x:v>
      </x:c>
      <x:c r="Q1610" s="138" t="str">
        <x:v>Markdown</x:v>
      </x:c>
      <x:c r="R1610" s="20" t="str"/>
    </x:row>
    <x:row r="1611" ht="36" customHeight="1">
      <x:c r="A1611" s="19" t="str">
        <x:v>W23-20270211-1610</x:v>
      </x:c>
      <x:c r="B1611" s="13" t="n">
        <x:v>23</x:v>
      </x:c>
      <x:c r="C1611" s="13" t="str">
        <x:v>Этап 6 — Перенос навыков, шестёрки и закрепление</x:v>
      </x:c>
      <x:c r="D1611" s="138" t="str">
        <x:v>2027-02-11</x:v>
      </x:c>
      <x:c r="E1611" s="13" t="str">
        <x:v>Четверг</x:v>
      </x:c>
      <x:c r="F1611" s="13" t="str">
        <x:v>Тренировка B — пальцы/проект</x:v>
      </x:c>
      <x:c r="G1611" s="44" t="n">
        <x:v>0.011805555555555555</x:v>
      </x:c>
      <x:c r="H1611" s="44" t="n">
        <x:v>0.014583333333333334</x:v>
      </x:c>
      <x:c r="I1611" s="32" t="n">
        <x:f>ROUND((H1611-G1611)*1440,0)</x:f>
        <x:v>4</x:v>
      </x:c>
      <x:c r="J1611" s="13" t="str">
        <x:v>Разминочное лазание</x:v>
      </x:c>
      <x:c r="K1611" s="13" t="str">
        <x:v>Пройди 2 очень лёгкие трассы уровня 1–2; двигайся медленно, спускайся по зацепам.</x:v>
      </x:c>
      <x:c r="L1611" s="13" t="str">
        <x:v>☐ Не начато</x:v>
      </x:c>
      <x:c r="M1611" s="13" t="str">
        <x:v>Обязательно</x:v>
      </x:c>
      <x:c r="N1611" s="13" t="str">
        <x:v>RPE 2–3</x:v>
      </x:c>
      <x:c r="O1611" s="13" t="str">
        <x:v>Финиш с обязательным болезненным mantle/press пропусти.</x:v>
      </x:c>
      <x:c r="P1611" s="13" t="str">
        <x:v>milestone_06_transfer_and_consolidation/week_23_2027-02-08/04_THURSDAY.md</x:v>
      </x:c>
      <x:c r="Q1611" s="138" t="str">
        <x:v>Markdown</x:v>
      </x:c>
      <x:c r="R1611" s="20" t="str"/>
    </x:row>
    <x:row r="1612" ht="36" customHeight="1">
      <x:c r="A1612" s="19" t="str">
        <x:v>W23-20270211-1611</x:v>
      </x:c>
      <x:c r="B1612" s="13" t="n">
        <x:v>23</x:v>
      </x:c>
      <x:c r="C1612" s="13" t="str">
        <x:v>Этап 6 — Перенос навыков, шестёрки и закрепление</x:v>
      </x:c>
      <x:c r="D1612" s="138" t="str">
        <x:v>2027-02-11</x:v>
      </x:c>
      <x:c r="E1612" s="13" t="str">
        <x:v>Четверг</x:v>
      </x:c>
      <x:c r="F1612" s="13" t="str">
        <x:v>Тренировка B — пальцы/проект</x:v>
      </x:c>
      <x:c r="G1612" s="44" t="n">
        <x:v>0.014583333333333334</x:v>
      </x:c>
      <x:c r="H1612" s="44" t="n">
        <x:v>0.017361111111111112</x:v>
      </x:c>
      <x:c r="I1612" s="32" t="n">
        <x:f>ROUND((H1612-G1612)*1440,0)</x:f>
        <x:v>4</x:v>
      </x:c>
      <x:c r="J1612" s="13" t="str">
        <x:v>Разминочное лазание</x:v>
      </x:c>
      <x:c r="K1612" s="13" t="str">
        <x:v>Пройди 2 трассы уровня 2–3, затем сделай 2–3 движения на комфортной четвёрке. Между ними 45–60 секунд.</x:v>
      </x:c>
      <x:c r="L1612" s="13" t="str">
        <x:v>☐ Не начато</x:v>
      </x:c>
      <x:c r="M1612" s="13" t="str">
        <x:v>Обязательно</x:v>
      </x:c>
      <x:c r="N1612" s="13" t="str">
        <x:v>RPE 3–4</x:v>
      </x:c>
      <x:c r="O1612" s="13" t="str">
        <x:v>Разминка не должна утомить пальцы.</x:v>
      </x:c>
      <x:c r="P1612" s="13" t="str">
        <x:v>milestone_06_transfer_and_consolidation/week_23_2027-02-08/04_THURSDAY.md</x:v>
      </x:c>
      <x:c r="Q1612" s="138" t="str">
        <x:v>Markdown</x:v>
      </x:c>
      <x:c r="R1612" s="20" t="str"/>
    </x:row>
    <x:row r="1613" ht="36" customHeight="1">
      <x:c r="A1613" s="19" t="str">
        <x:v>W23-20270211-1612</x:v>
      </x:c>
      <x:c r="B1613" s="13" t="n">
        <x:v>23</x:v>
      </x:c>
      <x:c r="C1613" s="13" t="str">
        <x:v>Этап 6 — Перенос навыков, шестёрки и закрепление</x:v>
      </x:c>
      <x:c r="D1613" s="138" t="str">
        <x:v>2027-02-11</x:v>
      </x:c>
      <x:c r="E1613" s="13" t="str">
        <x:v>Четверг</x:v>
      </x:c>
      <x:c r="F1613" s="13" t="str">
        <x:v>Тренировка B — пальцы/проект</x:v>
      </x:c>
      <x:c r="G1613" s="44" t="n">
        <x:v>0.017361111111111112</x:v>
      </x:c>
      <x:c r="H1613" s="44" t="n">
        <x:v>0.019444444444444445</x:v>
      </x:c>
      <x:c r="I1613" s="32" t="n">
        <x:f>ROUND((H1613-G1613)*1440,0)</x:f>
        <x:v>3</x:v>
      </x:c>
      <x:c r="J1613" s="13" t="str">
        <x:v>Фингерборд — готовность</x:v>
      </x:c>
      <x:c r="K1613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613" s="13" t="str">
        <x:v>☐ Не начато</x:v>
      </x:c>
      <x:c r="M1613" s="13" t="str">
        <x:v>Обязательно</x:v>
      </x:c>
      <x:c r="N1613" s="13" t="str">
        <x:v>Подготовка</x:v>
      </x:c>
      <x:c r="O1613" s="13" t="str">
        <x:v>Плечо полностью спокойно; full crimp, карманы, одна рука и допвес запрещены.</x:v>
      </x:c>
      <x:c r="P1613" s="13" t="str">
        <x:v>milestone_06_transfer_and_consolidation/week_23_2027-02-08/04_THURSDAY.md</x:v>
      </x:c>
      <x:c r="Q1613" s="138" t="str">
        <x:v>Markdown</x:v>
      </x:c>
      <x:c r="R1613" s="20" t="str"/>
    </x:row>
    <x:row r="1614" ht="36" customHeight="1">
      <x:c r="A1614" s="19" t="str">
        <x:v>W23-20270211-1613</x:v>
      </x:c>
      <x:c r="B1614" s="13" t="n">
        <x:v>23</x:v>
      </x:c>
      <x:c r="C1614" s="13" t="str">
        <x:v>Этап 6 — Перенос навыков, шестёрки и закрепление</x:v>
      </x:c>
      <x:c r="D1614" s="138" t="str">
        <x:v>2027-02-11</x:v>
      </x:c>
      <x:c r="E1614" s="13" t="str">
        <x:v>Четверг</x:v>
      </x:c>
      <x:c r="F1614" s="13" t="str">
        <x:v>Тренировка B — пальцы/проект</x:v>
      </x:c>
      <x:c r="G1614" s="44" t="n">
        <x:v>0.019444444444444445</x:v>
      </x:c>
      <x:c r="H1614" s="44" t="n">
        <x:v>0.029861111111111113</x:v>
      </x:c>
      <x:c r="I1614" s="32" t="n">
        <x:f>ROUND((H1614-G1614)*1440,0)</x:f>
        <x:v>15</x:v>
      </x:c>
      <x:c r="J1614" s="13" t="str">
        <x:v>Фингерборд</x:v>
      </x:c>
      <x:c r="K1614" s="13" t="str">
        <x:v>Выполни протокол: 5 × 10 сек, ноги помогают, RPE 7, отдых 2:30. Запусти таймер. Каждый вис прекращай с указанным запасом; форма кисти не меняется.</x:v>
      </x:c>
      <x:c r="L1614" s="13" t="str">
        <x:v>☐ Не начато</x:v>
      </x:c>
      <x:c r="M1614" s="13" t="str">
        <x:v>Обязательно</x:v>
      </x:c>
      <x:c r="N1614" s="13" t="str">
        <x:v>5 × 10 сек, ноги помогают, RPE 7, отдых 2:30</x:v>
      </x:c>
      <x:c r="O1614" s="13" t="str">
        <x:v>Острая боль, дрожь формы, падение RPE-контроля или боль плеча = закончить блок.</x:v>
      </x:c>
      <x:c r="P1614" s="13" t="str">
        <x:v>milestone_06_transfer_and_consolidation/week_23_2027-02-08/04_THURSDAY.md</x:v>
      </x:c>
      <x:c r="Q1614" s="138" t="str">
        <x:v>Markdown</x:v>
      </x:c>
      <x:c r="R1614" s="20" t="str"/>
    </x:row>
    <x:row r="1615" ht="36" customHeight="1">
      <x:c r="A1615" s="19" t="str">
        <x:v>W23-20270211-1614</x:v>
      </x:c>
      <x:c r="B1615" s="13" t="n">
        <x:v>23</x:v>
      </x:c>
      <x:c r="C1615" s="13" t="str">
        <x:v>Этап 6 — Перенос навыков, шестёрки и закрепление</x:v>
      </x:c>
      <x:c r="D1615" s="138" t="str">
        <x:v>2027-02-11</x:v>
      </x:c>
      <x:c r="E1615" s="13" t="str">
        <x:v>Четверг</x:v>
      </x:c>
      <x:c r="F1615" s="13" t="str">
        <x:v>Тренировка B — пальцы/проект</x:v>
      </x:c>
      <x:c r="G1615" s="44" t="n">
        <x:v>0.029861111111111113</x:v>
      </x:c>
      <x:c r="H1615" s="44" t="n">
        <x:v>0.03194444444444444</x:v>
      </x:c>
      <x:c r="I1615" s="32" t="n">
        <x:f>ROUND((H1615-G1615)*1440,0)</x:f>
        <x:v>3</x:v>
      </x:c>
      <x:c r="J1615" s="13" t="str">
        <x:v>Фингерборд — запись</x:v>
      </x:c>
      <x:c r="K1615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615" s="13" t="str">
        <x:v>☐ Не начато</x:v>
      </x:c>
      <x:c r="M1615" s="13" t="str">
        <x:v>Обязательно</x:v>
      </x:c>
      <x:c r="N1615" s="13" t="str">
        <x:v>Без нагрузки</x:v>
      </x:c>
      <x:c r="O1615" s="13" t="str"/>
      <x:c r="P1615" s="13" t="str">
        <x:v>milestone_06_transfer_and_consolidation/week_23_2027-02-08/04_THURSDAY.md</x:v>
      </x:c>
      <x:c r="Q1615" s="138" t="str">
        <x:v>Markdown</x:v>
      </x:c>
      <x:c r="R1615" s="20" t="str"/>
    </x:row>
    <x:row r="1616" ht="36" customHeight="1">
      <x:c r="A1616" s="19" t="str">
        <x:v>W23-20270211-1615</x:v>
      </x:c>
      <x:c r="B1616" s="13" t="n">
        <x:v>23</x:v>
      </x:c>
      <x:c r="C1616" s="13" t="str">
        <x:v>Этап 6 — Перенос навыков, шестёрки и закрепление</x:v>
      </x:c>
      <x:c r="D1616" s="138" t="str">
        <x:v>2027-02-11</x:v>
      </x:c>
      <x:c r="E1616" s="13" t="str">
        <x:v>Четверг</x:v>
      </x:c>
      <x:c r="F1616" s="13" t="str">
        <x:v>Тренировка B — пальцы/проект</x:v>
      </x:c>
      <x:c r="G1616" s="44" t="n">
        <x:v>0.03194444444444444</x:v>
      </x:c>
      <x:c r="H1616" s="44" t="n">
        <x:v>0.035416666666666666</x:v>
      </x:c>
      <x:c r="I1616" s="32" t="n">
        <x:f>ROUND((H1616-G1616)*1440,0)</x:f>
        <x:v>5</x:v>
      </x:c>
      <x:c r="J1616" s="13" t="str">
        <x:v>Отдых</x:v>
      </x:c>
      <x:c r="K1616" s="13" t="str">
        <x:v>5 минут полного отдыха: ходьба, вода, без лазания и без тестового виса.</x:v>
      </x:c>
      <x:c r="L1616" s="13" t="str">
        <x:v>☐ Не начато</x:v>
      </x:c>
      <x:c r="M1616" s="13" t="str">
        <x:v>Обязательно</x:v>
      </x:c>
      <x:c r="N1616" s="13" t="str">
        <x:v>Восстановление</x:v>
      </x:c>
      <x:c r="O1616" s="13" t="str"/>
      <x:c r="P1616" s="13" t="str">
        <x:v>milestone_06_transfer_and_consolidation/week_23_2027-02-08/04_THURSDAY.md</x:v>
      </x:c>
      <x:c r="Q1616" s="138" t="str">
        <x:v>Markdown</x:v>
      </x:c>
      <x:c r="R1616" s="20" t="str"/>
    </x:row>
    <x:row r="1617" ht="36" customHeight="1">
      <x:c r="A1617" s="19" t="str">
        <x:v>W23-20270211-1616</x:v>
      </x:c>
      <x:c r="B1617" s="13" t="n">
        <x:v>23</x:v>
      </x:c>
      <x:c r="C1617" s="13" t="str">
        <x:v>Этап 6 — Перенос навыков, шестёрки и закрепление</x:v>
      </x:c>
      <x:c r="D1617" s="138" t="str">
        <x:v>2027-02-11</x:v>
      </x:c>
      <x:c r="E1617" s="13" t="str">
        <x:v>Четверг</x:v>
      </x:c>
      <x:c r="F1617" s="13" t="str">
        <x:v>Тренировка B — пальцы/проект</x:v>
      </x:c>
      <x:c r="G1617" s="44" t="n">
        <x:v>0.035416666666666666</x:v>
      </x:c>
      <x:c r="H1617" s="44" t="n">
        <x:v>0.03819444444444445</x:v>
      </x:c>
      <x:c r="I1617" s="32" t="n">
        <x:f>ROUND((H1617-G1617)*1440,0)</x:f>
        <x:v>4</x:v>
      </x:c>
      <x:c r="J1617" s="13" t="str">
        <x:v>Выбор проекта</x:v>
      </x:c>
      <x:c r="K1617" s="13" t="str">
        <x:v>Выбери трассу по критериям недели: Та же шестёрка, если она ещё на стене; иначе максимально похожая. 4–5 попыток, одна снята целиком.</x:v>
      </x:c>
      <x:c r="L1617" s="13" t="str">
        <x:v>☐ Не начато</x:v>
      </x:c>
      <x:c r="M1617" s="13" t="str">
        <x:v>Обязательно</x:v>
      </x:c>
      <x:c r="N1617" s="13" t="str">
        <x:v>Без нагрузки</x:v>
      </x:c>
      <x:c r="O1617" s="13" t="str">
        <x:v>Если пальцы уже слабее обычного на разминке, сократить фингерборд и проект наполовину.</x:v>
      </x:c>
      <x:c r="P1617" s="13" t="str">
        <x:v>milestone_06_transfer_and_consolidation/week_23_2027-02-08/04_THURSDAY.md</x:v>
      </x:c>
      <x:c r="Q1617" s="138" t="str">
        <x:v>Markdown</x:v>
      </x:c>
      <x:c r="R1617" s="20" t="str"/>
    </x:row>
    <x:row r="1618" ht="36" customHeight="1">
      <x:c r="A1618" s="19" t="str">
        <x:v>W23-20270211-1617</x:v>
      </x:c>
      <x:c r="B1618" s="13" t="n">
        <x:v>23</x:v>
      </x:c>
      <x:c r="C1618" s="13" t="str">
        <x:v>Этап 6 — Перенос навыков, шестёрки и закрепление</x:v>
      </x:c>
      <x:c r="D1618" s="138" t="str">
        <x:v>2027-02-11</x:v>
      </x:c>
      <x:c r="E1618" s="13" t="str">
        <x:v>Четверг</x:v>
      </x:c>
      <x:c r="F1618" s="13" t="str">
        <x:v>Тренировка B — пальцы/проект</x:v>
      </x:c>
      <x:c r="G1618" s="44" t="n">
        <x:v>0.03819444444444445</x:v>
      </x:c>
      <x:c r="H1618" s="44" t="n">
        <x:v>0.041666666666666664</x:v>
      </x:c>
      <x:c r="I1618" s="32" t="n">
        <x:f>ROUND((H1618-G1618)*1440,0)</x:f>
        <x:v>5</x:v>
      </x:c>
      <x:c r="J1618" s="13" t="str">
        <x:v>Проект — попытка 1</x:v>
      </x:c>
      <x:c r="K1618" s="13" t="str">
        <x:v>Сделай первую полную диагностическую попытку. После падения не повторяй сразу: назови точную причину.</x:v>
      </x:c>
      <x:c r="L1618" s="13" t="str">
        <x:v>☐ Не начато</x:v>
      </x:c>
      <x:c r="M1618" s="13" t="str">
        <x:v>Обязательно</x:v>
      </x:c>
      <x:c r="N1618" s="13" t="str">
        <x:v>RPE 7–8</x:v>
      </x:c>
      <x:c r="O1618" s="13" t="str">
        <x:v>Прекратить движение при боли, а не после падения.</x:v>
      </x:c>
      <x:c r="P1618" s="13" t="str">
        <x:v>milestone_06_transfer_and_consolidation/week_23_2027-02-08/04_THURSDAY.md</x:v>
      </x:c>
      <x:c r="Q1618" s="138" t="str">
        <x:v>Markdown</x:v>
      </x:c>
      <x:c r="R1618" s="20" t="str"/>
    </x:row>
    <x:row r="1619" ht="36" customHeight="1">
      <x:c r="A1619" s="19" t="str">
        <x:v>W23-20270211-1618</x:v>
      </x:c>
      <x:c r="B1619" s="13" t="n">
        <x:v>23</x:v>
      </x:c>
      <x:c r="C1619" s="13" t="str">
        <x:v>Этап 6 — Перенос навыков, шестёрки и закрепление</x:v>
      </x:c>
      <x:c r="D1619" s="138" t="str">
        <x:v>2027-02-11</x:v>
      </x:c>
      <x:c r="E1619" s="13" t="str">
        <x:v>Четверг</x:v>
      </x:c>
      <x:c r="F1619" s="13" t="str">
        <x:v>Тренировка B — пальцы/проект</x:v>
      </x:c>
      <x:c r="G1619" s="44" t="n">
        <x:v>0.041666666666666664</x:v>
      </x:c>
      <x:c r="H1619" s="44" t="n">
        <x:v>0.04513888888888889</x:v>
      </x:c>
      <x:c r="I1619" s="32" t="n">
        <x:f>ROUND((H1619-G1619)*1440,0)</x:f>
        <x:v>5</x:v>
      </x:c>
      <x:c r="J1619" s="13" t="str">
        <x:v>Отдых / гипотеза</x:v>
      </x:c>
      <x:c r="K1619" s="13" t="str">
        <x:v>Отдых 4–5 минут. Запиши одну гипотезу: стопа, положение таза, хват или темп.</x:v>
      </x:c>
      <x:c r="L1619" s="13" t="str">
        <x:v>☐ Не начато</x:v>
      </x:c>
      <x:c r="M1619" s="13" t="str">
        <x:v>Обязательно</x:v>
      </x:c>
      <x:c r="N1619" s="13" t="str">
        <x:v>Восстановление</x:v>
      </x:c>
      <x:c r="O1619" s="13" t="str"/>
      <x:c r="P1619" s="13" t="str">
        <x:v>milestone_06_transfer_and_consolidation/week_23_2027-02-08/04_THURSDAY.md</x:v>
      </x:c>
      <x:c r="Q1619" s="138" t="str">
        <x:v>Markdown</x:v>
      </x:c>
      <x:c r="R1619" s="20" t="str"/>
    </x:row>
    <x:row r="1620" ht="36" customHeight="1">
      <x:c r="A1620" s="19" t="str">
        <x:v>W23-20270211-1619</x:v>
      </x:c>
      <x:c r="B1620" s="13" t="n">
        <x:v>23</x:v>
      </x:c>
      <x:c r="C1620" s="13" t="str">
        <x:v>Этап 6 — Перенос навыков, шестёрки и закрепление</x:v>
      </x:c>
      <x:c r="D1620" s="138" t="str">
        <x:v>2027-02-11</x:v>
      </x:c>
      <x:c r="E1620" s="13" t="str">
        <x:v>Четверг</x:v>
      </x:c>
      <x:c r="F1620" s="13" t="str">
        <x:v>Тренировка B — пальцы/проект</x:v>
      </x:c>
      <x:c r="G1620" s="44" t="n">
        <x:v>0.04513888888888889</x:v>
      </x:c>
      <x:c r="H1620" s="44" t="n">
        <x:v>0.049305555555555554</x:v>
      </x:c>
      <x:c r="I1620" s="32" t="n">
        <x:f>ROUND((H1620-G1620)*1440,0)</x:f>
        <x:v>6</x:v>
      </x:c>
      <x:c r="J1620" s="13" t="str">
        <x:v>Проект — попытки 2–3</x:v>
      </x:c>
      <x:c r="K1620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620" s="13" t="str">
        <x:v>☐ Не начато</x:v>
      </x:c>
      <x:c r="M1620" s="13" t="str">
        <x:v>Обязательно</x:v>
      </x:c>
      <x:c r="N1620" s="13" t="str">
        <x:v>RPE 7–8, без отказа</x:v>
      </x:c>
      <x:c r="O1620" s="13" t="str">
        <x:v>Не смотреть beta заранее: сначала собственная гипотеза.</x:v>
      </x:c>
      <x:c r="P1620" s="13" t="str">
        <x:v>milestone_06_transfer_and_consolidation/week_23_2027-02-08/04_THURSDAY.md</x:v>
      </x:c>
      <x:c r="Q1620" s="138" t="str">
        <x:v>Markdown</x:v>
      </x:c>
      <x:c r="R1620" s="20" t="str"/>
    </x:row>
    <x:row r="1621" ht="36" customHeight="1">
      <x:c r="A1621" s="19" t="str">
        <x:v>W23-20270211-1620</x:v>
      </x:c>
      <x:c r="B1621" s="13" t="n">
        <x:v>23</x:v>
      </x:c>
      <x:c r="C1621" s="13" t="str">
        <x:v>Этап 6 — Перенос навыков, шестёрки и закрепление</x:v>
      </x:c>
      <x:c r="D1621" s="138" t="str">
        <x:v>2027-02-11</x:v>
      </x:c>
      <x:c r="E1621" s="13" t="str">
        <x:v>Четверг</x:v>
      </x:c>
      <x:c r="F1621" s="13" t="str">
        <x:v>Тренировка B — пальцы/проект</x:v>
      </x:c>
      <x:c r="G1621" s="44" t="n">
        <x:v>0.049305555555555554</x:v>
      </x:c>
      <x:c r="H1621" s="44" t="n">
        <x:v>0.05277777777777778</x:v>
      </x:c>
      <x:c r="I1621" s="32" t="n">
        <x:f>ROUND((H1621-G1621)*1440,0)</x:f>
        <x:v>5</x:v>
      </x:c>
      <x:c r="J1621" s="13" t="str">
        <x:v>Проект — заключительная попытка</x:v>
      </x:c>
      <x:c r="K1621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621" s="13" t="str">
        <x:v>☐ Не начато</x:v>
      </x:c>
      <x:c r="M1621" s="13" t="str">
        <x:v>Обязательно</x:v>
      </x:c>
      <x:c r="N1621" s="13" t="str">
        <x:v>RPE 8, с запасом</x:v>
      </x:c>
      <x:c r="O1621" s="13" t="str">
        <x:v>Если пальцы уже слабее обычного на разминке, сократить фингерборд и проект наполовину.</x:v>
      </x:c>
      <x:c r="P1621" s="13" t="str">
        <x:v>milestone_06_transfer_and_consolidation/week_23_2027-02-08/04_THURSDAY.md</x:v>
      </x:c>
      <x:c r="Q1621" s="138" t="str">
        <x:v>Markdown</x:v>
      </x:c>
      <x:c r="R1621" s="20" t="str"/>
    </x:row>
    <x:row r="1622" ht="36" customHeight="1">
      <x:c r="A1622" s="19" t="str">
        <x:v>W23-20270211-1621</x:v>
      </x:c>
      <x:c r="B1622" s="13" t="n">
        <x:v>23</x:v>
      </x:c>
      <x:c r="C1622" s="13" t="str">
        <x:v>Этап 6 — Перенос навыков, шестёрки и закрепление</x:v>
      </x:c>
      <x:c r="D1622" s="138" t="str">
        <x:v>2027-02-11</x:v>
      </x:c>
      <x:c r="E1622" s="13" t="str">
        <x:v>Четверг</x:v>
      </x:c>
      <x:c r="F1622" s="13" t="str">
        <x:v>Тренировка B — пальцы/проект</x:v>
      </x:c>
      <x:c r="G1622" s="44" t="n">
        <x:v>0.05277777777777778</x:v>
      </x:c>
      <x:c r="H1622" s="44" t="n">
        <x:v>0.05763888888888889</x:v>
      </x:c>
      <x:c r="I1622" s="32" t="n">
        <x:f>ROUND((H1622-G1622)*1440,0)</x:f>
        <x:v>7</x:v>
      </x:c>
      <x:c r="J1622" s="13" t="str">
        <x:v>Вторичная трасса</x:v>
      </x:c>
      <x:c r="K1622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622" s="13" t="str">
        <x:v>☐ Не начато</x:v>
      </x:c>
      <x:c r="M1622" s="13" t="str">
        <x:v>Обязательно</x:v>
      </x:c>
      <x:c r="N1622" s="13" t="str">
        <x:v>RPE 5–7</x:v>
      </x:c>
      <x:c r="O1622" s="13" t="str">
        <x:v>Пропустить, если хват уже просел.</x:v>
      </x:c>
      <x:c r="P1622" s="13" t="str">
        <x:v>milestone_06_transfer_and_consolidation/week_23_2027-02-08/04_THURSDAY.md</x:v>
      </x:c>
      <x:c r="Q1622" s="138" t="str">
        <x:v>Markdown</x:v>
      </x:c>
      <x:c r="R1622" s="20" t="str"/>
    </x:row>
    <x:row r="1623" ht="36" customHeight="1">
      <x:c r="A1623" s="19" t="str">
        <x:v>W23-20270211-1622</x:v>
      </x:c>
      <x:c r="B1623" s="13" t="n">
        <x:v>23</x:v>
      </x:c>
      <x:c r="C1623" s="13" t="str">
        <x:v>Этап 6 — Перенос навыков, шестёрки и закрепление</x:v>
      </x:c>
      <x:c r="D1623" s="138" t="str">
        <x:v>2027-02-11</x:v>
      </x:c>
      <x:c r="E1623" s="13" t="str">
        <x:v>Четверг</x:v>
      </x:c>
      <x:c r="F1623" s="13" t="str">
        <x:v>Тренировка B — пальцы/проект</x:v>
      </x:c>
      <x:c r="G1623" s="44" t="n">
        <x:v>0.05763888888888889</x:v>
      </x:c>
      <x:c r="H1623" s="44" t="n">
        <x:v>0.06041666666666667</x:v>
      </x:c>
      <x:c r="I1623" s="32" t="n">
        <x:f>ROUND((H1623-G1623)*1440,0)</x:f>
        <x:v>4</x:v>
      </x:c>
      <x:c r="J1623" s="13" t="str">
        <x:v>Завершение</x:v>
      </x:c>
      <x:c r="K1623" s="13" t="str">
        <x:v>Очень лёгкий спуск/ходьба, вода, никаких финишных висов.</x:v>
      </x:c>
      <x:c r="L1623" s="13" t="str">
        <x:v>☐ Не начато</x:v>
      </x:c>
      <x:c r="M1623" s="13" t="str">
        <x:v>Обязательно</x:v>
      </x:c>
      <x:c r="N1623" s="13" t="str">
        <x:v>RPE 1–2</x:v>
      </x:c>
      <x:c r="O1623" s="13" t="str"/>
      <x:c r="P1623" s="13" t="str">
        <x:v>milestone_06_transfer_and_consolidation/week_23_2027-02-08/04_THURSDAY.md</x:v>
      </x:c>
      <x:c r="Q1623" s="138" t="str">
        <x:v>Markdown</x:v>
      </x:c>
      <x:c r="R1623" s="20" t="str"/>
    </x:row>
    <x:row r="1624" ht="36" customHeight="1">
      <x:c r="A1624" s="19" t="str">
        <x:v>W23-20270211-1623</x:v>
      </x:c>
      <x:c r="B1624" s="13" t="n">
        <x:v>23</x:v>
      </x:c>
      <x:c r="C1624" s="13" t="str">
        <x:v>Этап 6 — Перенос навыков, шестёрки и закрепление</x:v>
      </x:c>
      <x:c r="D1624" s="138" t="str">
        <x:v>2027-02-11</x:v>
      </x:c>
      <x:c r="E1624" s="13" t="str">
        <x:v>Четверг</x:v>
      </x:c>
      <x:c r="F1624" s="13" t="str">
        <x:v>Тренировка B — пальцы/проект</x:v>
      </x:c>
      <x:c r="G1624" s="44" t="n">
        <x:v>0.06041666666666667</x:v>
      </x:c>
      <x:c r="H1624" s="44" t="n">
        <x:v>0.0625</x:v>
      </x:c>
      <x:c r="I1624" s="32" t="n">
        <x:f>ROUND((H1624-G1624)*1440,0)</x:f>
        <x:v>3</x:v>
      </x:c>
      <x:c r="J1624" s="13" t="str">
        <x:v>Журнал</x:v>
      </x:c>
      <x:c r="K1624" s="13" t="str">
        <x:v>Запиши попытки, лучшую связку, одну правку и benchmark: Лучшая связка должна стать длиннее или технически чище, даже если топа нет.</x:v>
      </x:c>
      <x:c r="L1624" s="13" t="str">
        <x:v>☐ Не начато</x:v>
      </x:c>
      <x:c r="M1624" s="13" t="str">
        <x:v>Обязательно</x:v>
      </x:c>
      <x:c r="N1624" s="13" t="str">
        <x:v>Без нагрузки</x:v>
      </x:c>
      <x:c r="O1624" s="13" t="str"/>
      <x:c r="P1624" s="13" t="str">
        <x:v>milestone_06_transfer_and_consolidation/week_23_2027-02-08/04_THURSDAY.md</x:v>
      </x:c>
      <x:c r="Q1624" s="138" t="str">
        <x:v>Markdown</x:v>
      </x:c>
      <x:c r="R1624" s="20" t="str"/>
    </x:row>
    <x:row r="1625" ht="36" customHeight="1">
      <x:c r="A1625" s="19" t="str">
        <x:v>W23-20270212-1624</x:v>
      </x:c>
      <x:c r="B1625" s="13" t="n">
        <x:v>23</x:v>
      </x:c>
      <x:c r="C1625" s="13" t="str">
        <x:v>Этап 6 — Перенос навыков, шестёрки и закрепление</x:v>
      </x:c>
      <x:c r="D1625" s="138" t="str">
        <x:v>2027-02-12</x:v>
      </x:c>
      <x:c r="E1625" s="13" t="str">
        <x:v>Пятница</x:v>
      </x:c>
      <x:c r="F1625" s="13" t="str">
        <x:v>Дом / теория</x:v>
      </x:c>
      <x:c r="G1625" s="44" t="n">
        <x:v>0</x:v>
      </x:c>
      <x:c r="H1625" s="44" t="n">
        <x:v>0.0020833333333333333</x:v>
      </x:c>
      <x:c r="I1625" s="32" t="n">
        <x:f>ROUND((H1625-G1625)*1440,0)</x:f>
        <x:v>3</x:v>
      </x:c>
      <x:c r="J1625" s="13" t="str">
        <x:v>Самопроверка</x:v>
      </x:c>
      <x:c r="K1625" s="13" t="str">
        <x:v>Оцени утреннюю реакцию после четверга: пальцы/плечо/колено 0–10. Запиши, восстановилась ли обычная сила кисти.</x:v>
      </x:c>
      <x:c r="L1625" s="13" t="str">
        <x:v>☐ Не начато</x:v>
      </x:c>
      <x:c r="M1625" s="13" t="str">
        <x:v>Обязательно</x:v>
      </x:c>
      <x:c r="N1625" s="13" t="str">
        <x:v>Без нагрузки</x:v>
      </x:c>
      <x:c r="O1625" s="13" t="str">
        <x:v>Острая локальная боль пальца или усилившаяся боль плеча = воскресенье только восстановительное.</x:v>
      </x:c>
      <x:c r="P1625" s="13" t="str">
        <x:v>milestone_06_transfer_and_consolidation/week_23_2027-02-08/05_FRIDAY.md</x:v>
      </x:c>
      <x:c r="Q1625" s="138" t="str">
        <x:v>Markdown</x:v>
      </x:c>
      <x:c r="R1625" s="20" t="str"/>
    </x:row>
    <x:row r="1626" ht="36" customHeight="1">
      <x:c r="A1626" s="19" t="str">
        <x:v>W23-20270212-1625</x:v>
      </x:c>
      <x:c r="B1626" s="13" t="n">
        <x:v>23</x:v>
      </x:c>
      <x:c r="C1626" s="13" t="str">
        <x:v>Этап 6 — Перенос навыков, шестёрки и закрепление</x:v>
      </x:c>
      <x:c r="D1626" s="138" t="str">
        <x:v>2027-02-12</x:v>
      </x:c>
      <x:c r="E1626" s="13" t="str">
        <x:v>Пятница</x:v>
      </x:c>
      <x:c r="F1626" s="13" t="str">
        <x:v>Дом / теория</x:v>
      </x:c>
      <x:c r="G1626" s="44" t="n">
        <x:v>0.0020833333333333333</x:v>
      </x:c>
      <x:c r="H1626" s="44" t="n">
        <x:v>0.007638888888888889</x:v>
      </x:c>
      <x:c r="I1626" s="32" t="n">
        <x:f>ROUND((H1626-G1626)*1440,0)</x:f>
        <x:v>8</x:v>
      </x:c>
      <x:c r="J1626" s="13" t="str">
        <x:v>Теория</x:v>
      </x:c>
      <x:c r="K1626" s="13" t="str">
        <x:v>Пересмотри ключевой фрагмент ресурса недели: [R02: Berta Block — BETA7](https://www.bertablock.de/beta7). Задача: Научиться сканировать QR у старта, сохранять трассу, отмечать попытки и смотреть beta-видео только после собственных попыток.</x:v>
      </x:c>
      <x:c r="L1626" s="13" t="str">
        <x:v>☐ Не начато</x:v>
      </x:c>
      <x:c r="M1626" s="13" t="str">
        <x:v>Обязательно</x:v>
      </x:c>
      <x:c r="N1626" s="13" t="str">
        <x:v>Без нагрузки</x:v>
      </x:c>
      <x:c r="O1626" s="13" t="str"/>
      <x:c r="P1626" s="13" t="str">
        <x:v>milestone_06_transfer_and_consolidation/week_23_2027-02-08/05_FRIDAY.md</x:v>
      </x:c>
      <x:c r="Q1626" s="138" t="str">
        <x:v>Markdown</x:v>
      </x:c>
      <x:c r="R1626" s="20" t="str"/>
    </x:row>
    <x:row r="1627" ht="36" customHeight="1">
      <x:c r="A1627" s="19" t="str">
        <x:v>W23-20270212-1626</x:v>
      </x:c>
      <x:c r="B1627" s="13" t="n">
        <x:v>23</x:v>
      </x:c>
      <x:c r="C1627" s="13" t="str">
        <x:v>Этап 6 — Перенос навыков, шестёрки и закрепление</x:v>
      </x:c>
      <x:c r="D1627" s="138" t="str">
        <x:v>2027-02-12</x:v>
      </x:c>
      <x:c r="E1627" s="13" t="str">
        <x:v>Пятница</x:v>
      </x:c>
      <x:c r="F1627" s="13" t="str">
        <x:v>Дом / теория</x:v>
      </x:c>
      <x:c r="G1627" s="44" t="n">
        <x:v>0.007638888888888889</x:v>
      </x:c>
      <x:c r="H1627" s="44" t="n">
        <x:v>0.011805555555555555</x:v>
      </x:c>
      <x:c r="I1627" s="32" t="n">
        <x:f>ROUND((H1627-G1627)*1440,0)</x:f>
        <x:v>6</x:v>
      </x:c>
      <x:c r="J1627" s="13" t="str">
        <x:v>Ментальная репетиция</x:v>
      </x:c>
      <x:c r="K1627" s="13" t="str">
        <x:v>Закрой глаза и 3 раза мысленно пройди одну рабочую трассу: руки → ноги → положение таза → дыхание. Визуализируй cue «Одна полная попытка после хорошего отдыха лучше трёх усталых подряд.».</x:v>
      </x:c>
      <x:c r="L1627" s="13" t="str">
        <x:v>☐ Не начато</x:v>
      </x:c>
      <x:c r="M1627" s="13" t="str">
        <x:v>Обязательно</x:v>
      </x:c>
      <x:c r="N1627" s="13" t="str">
        <x:v>Без нагрузки</x:v>
      </x:c>
      <x:c r="O1627" s="13" t="str"/>
      <x:c r="P1627" s="13" t="str">
        <x:v>milestone_06_transfer_and_consolidation/week_23_2027-02-08/05_FRIDAY.md</x:v>
      </x:c>
      <x:c r="Q1627" s="138" t="str">
        <x:v>Markdown</x:v>
      </x:c>
      <x:c r="R1627" s="20" t="str"/>
    </x:row>
    <x:row r="1628" ht="36" customHeight="1">
      <x:c r="A1628" s="19" t="str">
        <x:v>W23-20270212-1627</x:v>
      </x:c>
      <x:c r="B1628" s="13" t="n">
        <x:v>23</x:v>
      </x:c>
      <x:c r="C1628" s="13" t="str">
        <x:v>Этап 6 — Перенос навыков, шестёрки и закрепление</x:v>
      </x:c>
      <x:c r="D1628" s="138" t="str">
        <x:v>2027-02-12</x:v>
      </x:c>
      <x:c r="E1628" s="13" t="str">
        <x:v>Пятница</x:v>
      </x:c>
      <x:c r="F1628" s="13" t="str">
        <x:v>Дом / теория</x:v>
      </x:c>
      <x:c r="G1628" s="44" t="n">
        <x:v>0.011805555555555555</x:v>
      </x:c>
      <x:c r="H1628" s="44" t="n">
        <x:v>0.02013888888888889</x:v>
      </x:c>
      <x:c r="I1628" s="32" t="n">
        <x:f>ROUND((H1628-G1628)*1440,0)</x:f>
        <x:v>12</x:v>
      </x:c>
      <x:c r="J1628" s="13" t="str">
        <x:v>Домашняя мобильность</x:v>
      </x:c>
      <x:c r="K1628" s="13" t="str">
        <x:v>Выполни H3 «Мобильность таза и контроль корпуса» — 12 минут.</x:v>
      </x:c>
      <x:c r="L1628" s="13" t="str">
        <x:v>☐ Не начато</x:v>
      </x:c>
      <x:c r="M1628" s="13" t="str">
        <x:v>Обязательно</x:v>
      </x:c>
      <x:c r="N1628" s="13" t="str">
        <x:v>RPE 2–3</x:v>
      </x:c>
      <x:c r="O1628" s="13" t="str">
        <x:v>Никаких скручиваний через боль. Плечом не отталкивайся от стены; касание только для равновесия.</x:v>
      </x:c>
      <x:c r="P1628" s="13" t="str">
        <x:v>milestone_06_transfer_and_consolidation/week_23_2027-02-08/05_FRIDAY.md</x:v>
      </x:c>
      <x:c r="Q1628" s="138" t="str">
        <x:v>Markdown</x:v>
      </x:c>
      <x:c r="R1628" s="20" t="str"/>
    </x:row>
    <x:row r="1629" ht="36" customHeight="1">
      <x:c r="A1629" s="19" t="str">
        <x:v>W23-20270212-1628</x:v>
      </x:c>
      <x:c r="B1629" s="13" t="n">
        <x:v>23</x:v>
      </x:c>
      <x:c r="C1629" s="13" t="str">
        <x:v>Этап 6 — Перенос навыков, шестёрки и закрепление</x:v>
      </x:c>
      <x:c r="D1629" s="138" t="str">
        <x:v>2027-02-12</x:v>
      </x:c>
      <x:c r="E1629" s="13" t="str">
        <x:v>Пятница</x:v>
      </x:c>
      <x:c r="F1629" s="13" t="str">
        <x:v>Дом / теория</x:v>
      </x:c>
      <x:c r="G1629" s="44" t="n">
        <x:v>0.02013888888888889</x:v>
      </x:c>
      <x:c r="H1629" s="44" t="n">
        <x:v>0.034027777777777775</x:v>
      </x:c>
      <x:c r="I1629" s="32" t="n">
        <x:f>ROUND((H1629-G1629)*1440,0)</x:f>
        <x:v>20</x:v>
      </x:c>
      <x:c r="J1629" s="13" t="str">
        <x:v>Физиотерапия</x:v>
      </x:c>
      <x:c r="K1629" s="13" t="str">
        <x:v>Выполни свой назначенный комплекс, если пятница входит в расписание физиотерапевта.</x:v>
      </x:c>
      <x:c r="L1629" s="13" t="str">
        <x:v>☐ Не начато</x:v>
      </x:c>
      <x:c r="M1629" s="13" t="str">
        <x:v>По назначению</x:v>
      </x:c>
      <x:c r="N1629" s="13" t="str">
        <x:v>По назначению</x:v>
      </x:c>
      <x:c r="O1629" s="13" t="str">
        <x:v>Не добавляй упражнения из интернета поверх назначений.</x:v>
      </x:c>
      <x:c r="P1629" s="13" t="str">
        <x:v>milestone_06_transfer_and_consolidation/week_23_2027-02-08/05_FRIDAY.md</x:v>
      </x:c>
      <x:c r="Q1629" s="138" t="str">
        <x:v>Markdown</x:v>
      </x:c>
      <x:c r="R1629" s="20" t="str"/>
    </x:row>
    <x:row r="1630" ht="36" customHeight="1">
      <x:c r="A1630" s="19" t="str">
        <x:v>W23-20270212-1629</x:v>
      </x:c>
      <x:c r="B1630" s="13" t="n">
        <x:v>23</x:v>
      </x:c>
      <x:c r="C1630" s="13" t="str">
        <x:v>Этап 6 — Перенос навыков, шестёрки и закрепление</x:v>
      </x:c>
      <x:c r="D1630" s="138" t="str">
        <x:v>2027-02-12</x:v>
      </x:c>
      <x:c r="E1630" s="13" t="str">
        <x:v>Пятница</x:v>
      </x:c>
      <x:c r="F1630" s="13" t="str">
        <x:v>Дом / теория</x:v>
      </x:c>
      <x:c r="G1630" s="44" t="n">
        <x:v>0.034027777777777775</x:v>
      </x:c>
      <x:c r="H1630" s="44" t="n">
        <x:v>0.03680555555555556</x:v>
      </x:c>
      <x:c r="I1630" s="32" t="n">
        <x:f>ROUND((H1630-G1630)*1440,0)</x:f>
        <x:v>4</x:v>
      </x:c>
      <x:c r="J1630" s="13" t="str">
        <x:v>Журнал</x:v>
      </x:c>
      <x:c r="K1630" s="13" t="str">
        <x:v>Запиши одну вещь, которая сработала на этой неделе, и одну, которую повторишь в воскресенье на лёгкой трассе.</x:v>
      </x:c>
      <x:c r="L1630" s="13" t="str">
        <x:v>☐ Не начато</x:v>
      </x:c>
      <x:c r="M1630" s="13" t="str">
        <x:v>Обязательно</x:v>
      </x:c>
      <x:c r="N1630" s="13" t="str">
        <x:v>Без нагрузки</x:v>
      </x:c>
      <x:c r="O1630" s="13" t="str"/>
      <x:c r="P1630" s="13" t="str">
        <x:v>milestone_06_transfer_and_consolidation/week_23_2027-02-08/05_FRIDAY.md</x:v>
      </x:c>
      <x:c r="Q1630" s="138" t="str">
        <x:v>Markdown</x:v>
      </x:c>
      <x:c r="R1630" s="20" t="str"/>
    </x:row>
    <x:row r="1631" ht="36" customHeight="1">
      <x:c r="A1631" s="19" t="str">
        <x:v>W23-20270212-1630</x:v>
      </x:c>
      <x:c r="B1631" s="13" t="n">
        <x:v>23</x:v>
      </x:c>
      <x:c r="C1631" s="13" t="str">
        <x:v>Этап 6 — Перенос навыков, шестёрки и закрепление</x:v>
      </x:c>
      <x:c r="D1631" s="138" t="str">
        <x:v>2027-02-12</x:v>
      </x:c>
      <x:c r="E1631" s="13" t="str">
        <x:v>Пятница</x:v>
      </x:c>
      <x:c r="F1631" s="13" t="str">
        <x:v>Дом / теория</x:v>
      </x:c>
      <x:c r="G1631" s="44" t="n">
        <x:v>0.03680555555555556</x:v>
      </x:c>
      <x:c r="H1631" s="44" t="n">
        <x:v>0.03888888888888889</x:v>
      </x:c>
      <x:c r="I1631" s="32" t="n">
        <x:f>ROUND((H1631-G1631)*1440,0)</x:f>
        <x:v>3</x:v>
      </x:c>
      <x:c r="J1631" s="13" t="str">
        <x:v>Запрет лишней нагрузки</x:v>
      </x:c>
      <x:c r="K1631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631" s="13" t="str">
        <x:v>☐ Не начато</x:v>
      </x:c>
      <x:c r="M1631" s="13" t="str">
        <x:v>Обязательно</x:v>
      </x:c>
      <x:c r="N1631" s="13" t="str">
        <x:v>Восстановление</x:v>
      </x:c>
      <x:c r="O1631" s="13" t="str">
        <x:v>Общая пальцевая нагрузка уже получена в четверг.</x:v>
      </x:c>
      <x:c r="P1631" s="13" t="str">
        <x:v>milestone_06_transfer_and_consolidation/week_23_2027-02-08/05_FRIDAY.md</x:v>
      </x:c>
      <x:c r="Q1631" s="138" t="str">
        <x:v>Markdown</x:v>
      </x:c>
      <x:c r="R1631" s="20" t="str"/>
    </x:row>
    <x:row r="1632" ht="36" customHeight="1">
      <x:c r="A1632" s="19" t="str">
        <x:v>W23-20270213-1631</x:v>
      </x:c>
      <x:c r="B1632" s="13" t="n">
        <x:v>23</x:v>
      </x:c>
      <x:c r="C1632" s="13" t="str">
        <x:v>Этап 6 — Перенос навыков, шестёрки и закрепление</x:v>
      </x:c>
      <x:c r="D1632" s="138" t="str">
        <x:v>2027-02-13</x:v>
      </x:c>
      <x:c r="E1632" s="13" t="str">
        <x:v>Суббота</x:v>
      </x:c>
      <x:c r="F1632" s="13" t="str">
        <x:v>Отдых / подготовка</x:v>
      </x:c>
      <x:c r="G1632" s="44" t="n">
        <x:v>0</x:v>
      </x:c>
      <x:c r="H1632" s="44" t="n">
        <x:v>0.003472222222222222</x:v>
      </x:c>
      <x:c r="I1632" s="32" t="n">
        <x:f>ROUND((H1632-G1632)*1440,0)</x:f>
        <x:v>5</x:v>
      </x:c>
      <x:c r="J1632" s="13" t="str">
        <x:v>Самопроверка</x:v>
      </x:c>
      <x:c r="K1632" s="13" t="str">
        <x:v>Проверь кожу пальцев, ногти, плечо и колено. Никаких тестовых висов.</x:v>
      </x:c>
      <x:c r="L1632" s="13" t="str">
        <x:v>☐ Не начато</x:v>
      </x:c>
      <x:c r="M1632" s="13" t="str">
        <x:v>Обязательно</x:v>
      </x:c>
      <x:c r="N1632" s="13" t="str">
        <x:v>Восстановление</x:v>
      </x:c>
      <x:c r="O1632" s="13" t="str"/>
      <x:c r="P1632" s="13" t="str">
        <x:v>milestone_06_transfer_and_consolidation/week_23_2027-02-08/06_SATURDAY.md</x:v>
      </x:c>
      <x:c r="Q1632" s="138" t="str">
        <x:v>Markdown</x:v>
      </x:c>
      <x:c r="R1632" s="20" t="str"/>
    </x:row>
    <x:row r="1633" ht="36" customHeight="1">
      <x:c r="A1633" s="19" t="str">
        <x:v>W23-20270213-1632</x:v>
      </x:c>
      <x:c r="B1633" s="13" t="n">
        <x:v>23</x:v>
      </x:c>
      <x:c r="C1633" s="13" t="str">
        <x:v>Этап 6 — Перенос навыков, шестёрки и закрепление</x:v>
      </x:c>
      <x:c r="D1633" s="138" t="str">
        <x:v>2027-02-13</x:v>
      </x:c>
      <x:c r="E1633" s="13" t="str">
        <x:v>Суббота</x:v>
      </x:c>
      <x:c r="F1633" s="13" t="str">
        <x:v>Отдых / подготовка</x:v>
      </x:c>
      <x:c r="G1633" s="44" t="n">
        <x:v>0.003472222222222222</x:v>
      </x:c>
      <x:c r="H1633" s="44" t="n">
        <x:v>0.010416666666666666</x:v>
      </x:c>
      <x:c r="I1633" s="32" t="n">
        <x:f>ROUND((H1633-G1633)*1440,0)</x:f>
        <x:v>10</x:v>
      </x:c>
      <x:c r="J1633" s="13" t="str">
        <x:v>Активное восстановление</x:v>
      </x:c>
      <x:c r="K1633" s="13" t="str">
        <x:v>10 минут лёгкой прогулки или бытовой активности. Цель — восстановление, не тренировка.</x:v>
      </x:c>
      <x:c r="L1633" s="13" t="str">
        <x:v>☐ Не начато</x:v>
      </x:c>
      <x:c r="M1633" s="13" t="str">
        <x:v>Обязательно</x:v>
      </x:c>
      <x:c r="N1633" s="13" t="str">
        <x:v>RPE 1–2</x:v>
      </x:c>
      <x:c r="O1633" s="13" t="str"/>
      <x:c r="P1633" s="13" t="str">
        <x:v>milestone_06_transfer_and_consolidation/week_23_2027-02-08/06_SATURDAY.md</x:v>
      </x:c>
      <x:c r="Q1633" s="138" t="str">
        <x:v>Markdown</x:v>
      </x:c>
      <x:c r="R1633" s="20" t="str"/>
    </x:row>
    <x:row r="1634" ht="36" customHeight="1">
      <x:c r="A1634" s="19" t="str">
        <x:v>W23-20270213-1633</x:v>
      </x:c>
      <x:c r="B1634" s="13" t="n">
        <x:v>23</x:v>
      </x:c>
      <x:c r="C1634" s="13" t="str">
        <x:v>Этап 6 — Перенос навыков, шестёрки и закрепление</x:v>
      </x:c>
      <x:c r="D1634" s="138" t="str">
        <x:v>2027-02-13</x:v>
      </x:c>
      <x:c r="E1634" s="13" t="str">
        <x:v>Суббота</x:v>
      </x:c>
      <x:c r="F1634" s="13" t="str">
        <x:v>Отдых / подготовка</x:v>
      </x:c>
      <x:c r="G1634" s="44" t="n">
        <x:v>0.010416666666666666</x:v>
      </x:c>
      <x:c r="H1634" s="44" t="n">
        <x:v>0.013888888888888888</x:v>
      </x:c>
      <x:c r="I1634" s="32" t="n">
        <x:f>ROUND((H1634-G1634)*1440,0)</x:f>
        <x:v>5</x:v>
      </x:c>
      <x:c r="J1634" s="13" t="str">
        <x:v>Уход за кожей</x:v>
      </x:c>
      <x:c r="K1634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634" s="13" t="str">
        <x:v>☐ Не начато</x:v>
      </x:c>
      <x:c r="M1634" s="13" t="str">
        <x:v>Опционально</x:v>
      </x:c>
      <x:c r="N1634" s="13" t="str">
        <x:v>Без нагрузки</x:v>
      </x:c>
      <x:c r="O1634" s="13" t="str">
        <x:v>Повреждённую/болезненную кожу не шлифовать.</x:v>
      </x:c>
      <x:c r="P1634" s="13" t="str">
        <x:v>milestone_06_transfer_and_consolidation/week_23_2027-02-08/06_SATURDAY.md</x:v>
      </x:c>
      <x:c r="Q1634" s="138" t="str">
        <x:v>Markdown</x:v>
      </x:c>
      <x:c r="R1634" s="20" t="str"/>
    </x:row>
    <x:row r="1635" ht="36" customHeight="1">
      <x:c r="A1635" s="19" t="str">
        <x:v>W23-20270213-1634</x:v>
      </x:c>
      <x:c r="B1635" s="13" t="n">
        <x:v>23</x:v>
      </x:c>
      <x:c r="C1635" s="13" t="str">
        <x:v>Этап 6 — Перенос навыков, шестёрки и закрепление</x:v>
      </x:c>
      <x:c r="D1635" s="138" t="str">
        <x:v>2027-02-13</x:v>
      </x:c>
      <x:c r="E1635" s="13" t="str">
        <x:v>Суббота</x:v>
      </x:c>
      <x:c r="F1635" s="13" t="str">
        <x:v>Отдых / подготовка</x:v>
      </x:c>
      <x:c r="G1635" s="44" t="n">
        <x:v>0.013888888888888888</x:v>
      </x:c>
      <x:c r="H1635" s="44" t="n">
        <x:v>0.016666666666666666</x:v>
      </x:c>
      <x:c r="I1635" s="32" t="n">
        <x:f>ROUND((H1635-G1635)*1440,0)</x:f>
        <x:v>4</x:v>
      </x:c>
      <x:c r="J1635" s="13" t="str">
        <x:v>Подготовка</x:v>
      </x:c>
      <x:c r="K1635" s="13" t="str">
        <x:v>Заряди телефон, освободи память для одного видео, положи щётку и магнезию.</x:v>
      </x:c>
      <x:c r="L1635" s="13" t="str">
        <x:v>☐ Не начато</x:v>
      </x:c>
      <x:c r="M1635" s="13" t="str">
        <x:v>Обязательно</x:v>
      </x:c>
      <x:c r="N1635" s="13" t="str">
        <x:v>Без нагрузки</x:v>
      </x:c>
      <x:c r="O1635" s="13" t="str"/>
      <x:c r="P1635" s="13" t="str">
        <x:v>milestone_06_transfer_and_consolidation/week_23_2027-02-08/06_SATURDAY.md</x:v>
      </x:c>
      <x:c r="Q1635" s="138" t="str">
        <x:v>Markdown</x:v>
      </x:c>
      <x:c r="R1635" s="20" t="str"/>
    </x:row>
    <x:row r="1636" ht="36" customHeight="1">
      <x:c r="A1636" s="19" t="str">
        <x:v>W23-20270213-1635</x:v>
      </x:c>
      <x:c r="B1636" s="13" t="n">
        <x:v>23</x:v>
      </x:c>
      <x:c r="C1636" s="13" t="str">
        <x:v>Этап 6 — Перенос навыков, шестёрки и закрепление</x:v>
      </x:c>
      <x:c r="D1636" s="138" t="str">
        <x:v>2027-02-13</x:v>
      </x:c>
      <x:c r="E1636" s="13" t="str">
        <x:v>Суббота</x:v>
      </x:c>
      <x:c r="F1636" s="13" t="str">
        <x:v>Отдых / подготовка</x:v>
      </x:c>
      <x:c r="G1636" s="44" t="n">
        <x:v>0.016666666666666666</x:v>
      </x:c>
      <x:c r="H1636" s="44" t="n">
        <x:v>0.01875</x:v>
      </x:c>
      <x:c r="I1636" s="32" t="n">
        <x:f>ROUND((H1636-G1636)*1440,0)</x:f>
        <x:v>3</x:v>
      </x:c>
      <x:c r="J1636" s="13" t="str">
        <x:v>План воскресенья</x:v>
      </x:c>
      <x:c r="K1636" s="13" t="str">
        <x:v>Выбери заранее одну лёгкую трассу под тему «Лучшая связка шестёрки». Воскресенье остаётся развлечением, не третьим тяжёлым днём.</x:v>
      </x:c>
      <x:c r="L1636" s="13" t="str">
        <x:v>☐ Не начато</x:v>
      </x:c>
      <x:c r="M1636" s="13" t="str">
        <x:v>Обязательно</x:v>
      </x:c>
      <x:c r="N1636" s="13" t="str">
        <x:v>Без нагрузки</x:v>
      </x:c>
      <x:c r="O1636" s="13" t="str"/>
      <x:c r="P1636" s="13" t="str">
        <x:v>milestone_06_transfer_and_consolidation/week_23_2027-02-08/06_SATURDAY.md</x:v>
      </x:c>
      <x:c r="Q1636" s="138" t="str">
        <x:v>Markdown</x:v>
      </x:c>
      <x:c r="R1636" s="20" t="str"/>
    </x:row>
    <x:row r="1637" ht="36" customHeight="1">
      <x:c r="A1637" s="19" t="str">
        <x:v>W23-20270213-1636</x:v>
      </x:c>
      <x:c r="B1637" s="13" t="n">
        <x:v>23</x:v>
      </x:c>
      <x:c r="C1637" s="13" t="str">
        <x:v>Этап 6 — Перенос навыков, шестёрки и закрепление</x:v>
      </x:c>
      <x:c r="D1637" s="138" t="str">
        <x:v>2027-02-13</x:v>
      </x:c>
      <x:c r="E1637" s="13" t="str">
        <x:v>Суббота</x:v>
      </x:c>
      <x:c r="F1637" s="13" t="str">
        <x:v>Отдых / подготовка</x:v>
      </x:c>
      <x:c r="G1637" s="44" t="n">
        <x:v>0.01875</x:v>
      </x:c>
      <x:c r="H1637" s="44" t="n">
        <x:v>0.020833333333333332</x:v>
      </x:c>
      <x:c r="I1637" s="32" t="n">
        <x:f>ROUND((H1637-G1637)*1440,0)</x:f>
        <x:v>3</x:v>
      </x:c>
      <x:c r="J1637" s="13" t="str">
        <x:v>Сон / восстановление</x:v>
      </x:c>
      <x:c r="K1637" s="13" t="str">
        <x:v>Запланируй обычный сон и нормальный приём пищи; не пытайся «разбудить хват» вечером.</x:v>
      </x:c>
      <x:c r="L1637" s="13" t="str">
        <x:v>☐ Не начато</x:v>
      </x:c>
      <x:c r="M1637" s="13" t="str">
        <x:v>Обязательно</x:v>
      </x:c>
      <x:c r="N1637" s="13" t="str">
        <x:v>Восстановление</x:v>
      </x:c>
      <x:c r="O1637" s="13" t="str"/>
      <x:c r="P1637" s="13" t="str">
        <x:v>milestone_06_transfer_and_consolidation/week_23_2027-02-08/06_SATURDAY.md</x:v>
      </x:c>
      <x:c r="Q1637" s="138" t="str">
        <x:v>Markdown</x:v>
      </x:c>
      <x:c r="R1637" s="20" t="str"/>
    </x:row>
    <x:row r="1638" ht="36" customHeight="1">
      <x:c r="A1638" s="19" t="str">
        <x:v>W23-20270214-1637</x:v>
      </x:c>
      <x:c r="B1638" s="13" t="n">
        <x:v>23</x:v>
      </x:c>
      <x:c r="C1638" s="13" t="str">
        <x:v>Этап 6 — Перенос навыков, шестёрки и закрепление</x:v>
      </x:c>
      <x:c r="D1638" s="138" t="str">
        <x:v>2027-02-14</x:v>
      </x:c>
      <x:c r="E1638" s="13" t="str">
        <x:v>Воскресенье</x:v>
      </x:c>
      <x:c r="F1638" s="13" t="str">
        <x:v>Тренировка C — fun / опционально</x:v>
      </x:c>
      <x:c r="G1638" s="44" t="n">
        <x:v>0</x:v>
      </x:c>
      <x:c r="H1638" s="44" t="n">
        <x:v>0.0020833333333333333</x:v>
      </x:c>
      <x:c r="I1638" s="32" t="n">
        <x:f>ROUND((H1638-G1638)*1440,0)</x:f>
        <x:v>3</x:v>
      </x:c>
      <x:c r="J1638" s="13" t="str">
        <x:v>Выбор сценария</x:v>
      </x:c>
      <x:c r="K1638" s="13" t="str">
        <x:v>Выбери один сценарий: (A) fun-сессия 75 минут в зале или (B) восстановительный день дома 25 минут. Не выполнять оба.</x:v>
      </x:c>
      <x:c r="L1638" s="13" t="str">
        <x:v>☐ Не начато</x:v>
      </x:c>
      <x:c r="M1638" s="13" t="str">
        <x:v>Выбрать один сценарий</x:v>
      </x:c>
      <x:c r="N1638" s="13" t="str">
        <x:v>По состоянию</x:v>
      </x:c>
      <x:c r="O1638" s="13" t="str"/>
      <x:c r="P1638" s="13" t="str">
        <x:v>milestone_06_transfer_and_consolidation/week_23_2027-02-08/07_SUNDAY.md</x:v>
      </x:c>
      <x:c r="Q1638" s="138" t="str">
        <x:v>Markdown</x:v>
      </x:c>
      <x:c r="R1638" s="20" t="str"/>
    </x:row>
    <x:row r="1639" ht="36" customHeight="1">
      <x:c r="A1639" s="19" t="str">
        <x:v>W23-20270214-1638</x:v>
      </x:c>
      <x:c r="B1639" s="13" t="n">
        <x:v>23</x:v>
      </x:c>
      <x:c r="C1639" s="13" t="str">
        <x:v>Этап 6 — Перенос навыков, шестёрки и закрепление</x:v>
      </x:c>
      <x:c r="D1639" s="138" t="str">
        <x:v>2027-02-14</x:v>
      </x:c>
      <x:c r="E1639" s="13" t="str">
        <x:v>Воскресенье</x:v>
      </x:c>
      <x:c r="F1639" s="13" t="str">
        <x:v>Тренировка C — fun / опционально</x:v>
      </x:c>
      <x:c r="G1639" s="44" t="n">
        <x:v>0.0020833333333333333</x:v>
      </x:c>
      <x:c r="H1639" s="44" t="n">
        <x:v>0.005555555555555556</x:v>
      </x:c>
      <x:c r="I1639" s="32" t="n">
        <x:f>ROUND((H1639-G1639)*1440,0)</x:f>
        <x:v>5</x:v>
      </x:c>
      <x:c r="J1639" s="13" t="str">
        <x:v>Разминка A</x:v>
      </x:c>
      <x:c r="K1639" s="13" t="str">
        <x:v>Если идёшь в зал: 5 минут поднятия температуры.</x:v>
      </x:c>
      <x:c r="L1639" s="13" t="str">
        <x:v>☐ Не начато</x:v>
      </x:c>
      <x:c r="M1639" s="13" t="str">
        <x:v>Опционально</x:v>
      </x:c>
      <x:c r="N1639" s="13" t="str">
        <x:v>RPE 2–3</x:v>
      </x:c>
      <x:c r="O1639" s="13" t="str"/>
      <x:c r="P1639" s="13" t="str">
        <x:v>milestone_06_transfer_and_consolidation/week_23_2027-02-08/07_SUNDAY.md</x:v>
      </x:c>
      <x:c r="Q1639" s="138" t="str">
        <x:v>Markdown</x:v>
      </x:c>
      <x:c r="R1639" s="20" t="str"/>
    </x:row>
    <x:row r="1640" ht="36" customHeight="1">
      <x:c r="A1640" s="19" t="str">
        <x:v>W23-20270214-1639</x:v>
      </x:c>
      <x:c r="B1640" s="13" t="n">
        <x:v>23</x:v>
      </x:c>
      <x:c r="C1640" s="13" t="str">
        <x:v>Этап 6 — Перенос навыков, шестёрки и закрепление</x:v>
      </x:c>
      <x:c r="D1640" s="138" t="str">
        <x:v>2027-02-14</x:v>
      </x:c>
      <x:c r="E1640" s="13" t="str">
        <x:v>Воскресенье</x:v>
      </x:c>
      <x:c r="F1640" s="13" t="str">
        <x:v>Тренировка C — fun / опционально</x:v>
      </x:c>
      <x:c r="G1640" s="44" t="n">
        <x:v>0.005555555555555556</x:v>
      </x:c>
      <x:c r="H1640" s="44" t="n">
        <x:v>0.009027777777777777</x:v>
      </x:c>
      <x:c r="I1640" s="32" t="n">
        <x:f>ROUND((H1640-G1640)*1440,0)</x:f>
        <x:v>5</x:v>
      </x:c>
      <x:c r="J1640" s="13" t="str">
        <x:v>Разминка A</x:v>
      </x:c>
      <x:c r="K1640" s="13" t="str">
        <x:v>Динамическая суставная разминка в безболезненном диапазоне; без отжиманий/press.</x:v>
      </x:c>
      <x:c r="L1640" s="13" t="str">
        <x:v>☐ Не начато</x:v>
      </x:c>
      <x:c r="M1640" s="13" t="str">
        <x:v>Опционально</x:v>
      </x:c>
      <x:c r="N1640" s="13" t="str">
        <x:v>Очень легко</x:v>
      </x:c>
      <x:c r="O1640" s="13" t="str">
        <x:v>Если пальцы уже слабее обычного на разминке, сократить фингерборд и проект наполовину.</x:v>
      </x:c>
      <x:c r="P1640" s="13" t="str">
        <x:v>milestone_06_transfer_and_consolidation/week_23_2027-02-08/07_SUNDAY.md</x:v>
      </x:c>
      <x:c r="Q1640" s="138" t="str">
        <x:v>Markdown</x:v>
      </x:c>
      <x:c r="R1640" s="20" t="str"/>
    </x:row>
    <x:row r="1641" ht="36" customHeight="1">
      <x:c r="A1641" s="19" t="str">
        <x:v>W23-20270214-1640</x:v>
      </x:c>
      <x:c r="B1641" s="13" t="n">
        <x:v>23</x:v>
      </x:c>
      <x:c r="C1641" s="13" t="str">
        <x:v>Этап 6 — Перенос навыков, шестёрки и закрепление</x:v>
      </x:c>
      <x:c r="D1641" s="138" t="str">
        <x:v>2027-02-14</x:v>
      </x:c>
      <x:c r="E1641" s="13" t="str">
        <x:v>Воскресенье</x:v>
      </x:c>
      <x:c r="F1641" s="13" t="str">
        <x:v>Тренировка C — fun / опционально</x:v>
      </x:c>
      <x:c r="G1641" s="44" t="n">
        <x:v>0.009027777777777777</x:v>
      </x:c>
      <x:c r="H1641" s="44" t="n">
        <x:v>0.013888888888888888</x:v>
      </x:c>
      <x:c r="I1641" s="32" t="n">
        <x:f>ROUND((H1641-G1641)*1440,0)</x:f>
        <x:v>7</x:v>
      </x:c>
      <x:c r="J1641" s="13" t="str">
        <x:v>Лёгкое лазание A</x:v>
      </x:c>
      <x:c r="K1641" s="13" t="str">
        <x:v>3 очень лёгкие трассы 1–3 с постепенным увеличением сложности.</x:v>
      </x:c>
      <x:c r="L1641" s="13" t="str">
        <x:v>☐ Не начато</x:v>
      </x:c>
      <x:c r="M1641" s="13" t="str">
        <x:v>Опционально</x:v>
      </x:c>
      <x:c r="N1641" s="13" t="str">
        <x:v>RPE 2–4</x:v>
      </x:c>
      <x:c r="O1641" s="13" t="str"/>
      <x:c r="P1641" s="13" t="str">
        <x:v>milestone_06_transfer_and_consolidation/week_23_2027-02-08/07_SUNDAY.md</x:v>
      </x:c>
      <x:c r="Q1641" s="138" t="str">
        <x:v>Markdown</x:v>
      </x:c>
      <x:c r="R1641" s="20" t="str"/>
    </x:row>
    <x:row r="1642" ht="36" customHeight="1">
      <x:c r="A1642" s="19" t="str">
        <x:v>W23-20270214-1641</x:v>
      </x:c>
      <x:c r="B1642" s="13" t="n">
        <x:v>23</x:v>
      </x:c>
      <x:c r="C1642" s="13" t="str">
        <x:v>Этап 6 — Перенос навыков, шестёрки и закрепление</x:v>
      </x:c>
      <x:c r="D1642" s="138" t="str">
        <x:v>2027-02-14</x:v>
      </x:c>
      <x:c r="E1642" s="13" t="str">
        <x:v>Воскресенье</x:v>
      </x:c>
      <x:c r="F1642" s="13" t="str">
        <x:v>Тренировка C — fun / опционально</x:v>
      </x:c>
      <x:c r="G1642" s="44" t="n">
        <x:v>0.013888888888888888</x:v>
      </x:c>
      <x:c r="H1642" s="44" t="n">
        <x:v>0.020833333333333332</x:v>
      </x:c>
      <x:c r="I1642" s="32" t="n">
        <x:f>ROUND((H1642-G1642)*1440,0)</x:f>
        <x:v>10</x:v>
      </x:c>
      <x:c r="J1642" s="13" t="str">
        <x:v>Технический праймер A</x:v>
      </x:c>
      <x:c r="K1642" s="13" t="str">
        <x:v>На одной лёгкой трассе дважды повтори «Лучшая связка шестёрки». Критерий: Связка стала длиннее или технически чище.</x:v>
      </x:c>
      <x:c r="L1642" s="13" t="str">
        <x:v>☐ Не начато</x:v>
      </x:c>
      <x:c r="M1642" s="13" t="str">
        <x:v>Опционально</x:v>
      </x:c>
      <x:c r="N1642" s="13" t="str">
        <x:v>RPE 3–4</x:v>
      </x:c>
      <x:c r="O1642" s="13" t="str">
        <x:v>При слабых пальцах уже на разминке сократить фингерборд и проект наполовину.</x:v>
      </x:c>
      <x:c r="P1642" s="13" t="str">
        <x:v>milestone_06_transfer_and_consolidation/week_23_2027-02-08/07_SUNDAY.md</x:v>
      </x:c>
      <x:c r="Q1642" s="138" t="str">
        <x:v>Markdown</x:v>
      </x:c>
      <x:c r="R1642" s="20" t="str"/>
    </x:row>
    <x:row r="1643" ht="36" customHeight="1">
      <x:c r="A1643" s="19" t="str">
        <x:v>W23-20270214-1642</x:v>
      </x:c>
      <x:c r="B1643" s="13" t="n">
        <x:v>23</x:v>
      </x:c>
      <x:c r="C1643" s="13" t="str">
        <x:v>Этап 6 — Перенос навыков, шестёрки и закрепление</x:v>
      </x:c>
      <x:c r="D1643" s="138" t="str">
        <x:v>2027-02-14</x:v>
      </x:c>
      <x:c r="E1643" s="13" t="str">
        <x:v>Воскресенье</x:v>
      </x:c>
      <x:c r="F1643" s="13" t="str">
        <x:v>Тренировка C — fun / опционально</x:v>
      </x:c>
      <x:c r="G1643" s="44" t="n">
        <x:v>0.020833333333333332</x:v>
      </x:c>
      <x:c r="H1643" s="44" t="n">
        <x:v>0.03819444444444445</x:v>
      </x:c>
      <x:c r="I1643" s="32" t="n">
        <x:f>ROUND((H1643-G1643)*1440,0)</x:f>
        <x:v>25</x:v>
      </x:c>
      <x:c r="J1643" s="13" t="str">
        <x:v>Свободное лазание A</x:v>
      </x:c>
      <x:c r="K1643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643" s="13" t="str">
        <x:v>☐ Не начато</x:v>
      </x:c>
      <x:c r="M1643" s="13" t="str">
        <x:v>Опционально</x:v>
      </x:c>
      <x:c r="N1643" s="13" t="str">
        <x:v>RPE 4–7</x:v>
      </x:c>
      <x:c r="O1643" s="13" t="str">
        <x:v>Не превращать блок в круг на выносливость.</x:v>
      </x:c>
      <x:c r="P1643" s="13" t="str">
        <x:v>milestone_06_transfer_and_consolidation/week_23_2027-02-08/07_SUNDAY.md</x:v>
      </x:c>
      <x:c r="Q1643" s="138" t="str">
        <x:v>Markdown</x:v>
      </x:c>
      <x:c r="R1643" s="20" t="str"/>
    </x:row>
    <x:row r="1644" ht="36" customHeight="1">
      <x:c r="A1644" s="19" t="str">
        <x:v>W23-20270214-1643</x:v>
      </x:c>
      <x:c r="B1644" s="13" t="n">
        <x:v>23</x:v>
      </x:c>
      <x:c r="C1644" s="13" t="str">
        <x:v>Этап 6 — Перенос навыков, шестёрки и закрепление</x:v>
      </x:c>
      <x:c r="D1644" s="138" t="str">
        <x:v>2027-02-14</x:v>
      </x:c>
      <x:c r="E1644" s="13" t="str">
        <x:v>Воскресенье</x:v>
      </x:c>
      <x:c r="F1644" s="13" t="str">
        <x:v>Тренировка C — fun / опционально</x:v>
      </x:c>
      <x:c r="G1644" s="44" t="n">
        <x:v>0.03819444444444445</x:v>
      </x:c>
      <x:c r="H1644" s="44" t="n">
        <x:v>0.04583333333333333</x:v>
      </x:c>
      <x:c r="I1644" s="32" t="n">
        <x:f>ROUND((H1644-G1644)*1440,0)</x:f>
        <x:v>11</x:v>
      </x:c>
      <x:c r="J1644" s="13" t="str">
        <x:v>Свежая сложная попытка A</x:v>
      </x:c>
      <x:c r="K1644" s="13" t="str">
        <x:v>Только если всё зелёное: попробуй одну рабочую пятёрку или дружелюбную шестёрку по критериям недели — Та же шестёрка, если она ещё на стене; иначе максимально похожая. 4–5 попыток, одна снята целиком. Максимум 2 попытки, отдых 4 минуты.</x:v>
      </x:c>
      <x:c r="L1644" s="13" t="str">
        <x:v>☐ Не начато</x:v>
      </x:c>
      <x:c r="M1644" s="13" t="str">
        <x:v>Опционально</x:v>
      </x:c>
      <x:c r="N1644" s="13" t="str">
        <x:v>RPE 7–8, без отказа</x:v>
      </x:c>
      <x:c r="O1644" s="13" t="str">
        <x:v>Если пальцы уже слабее обычного на разминке, сократить фингерборд и проект наполовину.</x:v>
      </x:c>
      <x:c r="P1644" s="13" t="str">
        <x:v>milestone_06_transfer_and_consolidation/week_23_2027-02-08/07_SUNDAY.md</x:v>
      </x:c>
      <x:c r="Q1644" s="138" t="str">
        <x:v>Markdown</x:v>
      </x:c>
      <x:c r="R1644" s="20" t="str"/>
    </x:row>
    <x:row r="1645" ht="36" customHeight="1">
      <x:c r="A1645" s="19" t="str">
        <x:v>W23-20270214-1644</x:v>
      </x:c>
      <x:c r="B1645" s="13" t="n">
        <x:v>23</x:v>
      </x:c>
      <x:c r="C1645" s="13" t="str">
        <x:v>Этап 6 — Перенос навыков, шестёрки и закрепление</x:v>
      </x:c>
      <x:c r="D1645" s="138" t="str">
        <x:v>2027-02-14</x:v>
      </x:c>
      <x:c r="E1645" s="13" t="str">
        <x:v>Воскресенье</x:v>
      </x:c>
      <x:c r="F1645" s="13" t="str">
        <x:v>Тренировка C — fun / опционально</x:v>
      </x:c>
      <x:c r="G1645" s="44" t="n">
        <x:v>0.04583333333333333</x:v>
      </x:c>
      <x:c r="H1645" s="44" t="n">
        <x:v>0.05</x:v>
      </x:c>
      <x:c r="I1645" s="32" t="n">
        <x:f>ROUND((H1645-G1645)*1440,0)</x:f>
        <x:v>6</x:v>
      </x:c>
      <x:c r="J1645" s="13" t="str">
        <x:v>Лёгкий финал A</x:v>
      </x:c>
      <x:c r="K1645" s="13" t="str">
        <x:v>Одна любимая лёгкая трасса или спокойный спуск. Фингерборда и capacity-круга нет.</x:v>
      </x:c>
      <x:c r="L1645" s="13" t="str">
        <x:v>☐ Не начато</x:v>
      </x:c>
      <x:c r="M1645" s="13" t="str">
        <x:v>Опционально</x:v>
      </x:c>
      <x:c r="N1645" s="13" t="str">
        <x:v>RPE 2–3</x:v>
      </x:c>
      <x:c r="O1645" s="13" t="str"/>
      <x:c r="P1645" s="13" t="str">
        <x:v>milestone_06_transfer_and_consolidation/week_23_2027-02-08/07_SUNDAY.md</x:v>
      </x:c>
      <x:c r="Q1645" s="138" t="str">
        <x:v>Markdown</x:v>
      </x:c>
      <x:c r="R1645" s="20" t="str"/>
    </x:row>
    <x:row r="1646" ht="36" customHeight="1">
      <x:c r="A1646" s="19" t="str">
        <x:v>W23-20270214-1645</x:v>
      </x:c>
      <x:c r="B1646" s="13" t="n">
        <x:v>23</x:v>
      </x:c>
      <x:c r="C1646" s="13" t="str">
        <x:v>Этап 6 — Перенос навыков, шестёрки и закрепление</x:v>
      </x:c>
      <x:c r="D1646" s="138" t="str">
        <x:v>2027-02-14</x:v>
      </x:c>
      <x:c r="E1646" s="13" t="str">
        <x:v>Воскресенье</x:v>
      </x:c>
      <x:c r="F1646" s="13" t="str">
        <x:v>Тренировка C — fun / опционально</x:v>
      </x:c>
      <x:c r="G1646" s="44" t="n">
        <x:v>0.05</x:v>
      </x:c>
      <x:c r="H1646" s="44" t="n">
        <x:v>0.052083333333333336</x:v>
      </x:c>
      <x:c r="I1646" s="32" t="n">
        <x:f>ROUND((H1646-G1646)*1440,0)</x:f>
        <x:v>3</x:v>
      </x:c>
      <x:c r="J1646" s="13" t="str">
        <x:v>Журнал A</x:v>
      </x:c>
      <x:c r="K1646" s="13" t="str">
        <x:v>Запиши только 3 вещи: что было весело, один удачный технический момент, состояние пальцев после сессии.</x:v>
      </x:c>
      <x:c r="L1646" s="13" t="str">
        <x:v>☐ Не начато</x:v>
      </x:c>
      <x:c r="M1646" s="13" t="str">
        <x:v>Опционально</x:v>
      </x:c>
      <x:c r="N1646" s="13" t="str">
        <x:v>Без нагрузки</x:v>
      </x:c>
      <x:c r="O1646" s="13" t="str"/>
      <x:c r="P1646" s="13" t="str">
        <x:v>milestone_06_transfer_and_consolidation/week_23_2027-02-08/07_SUNDAY.md</x:v>
      </x:c>
      <x:c r="Q1646" s="138" t="str">
        <x:v>Markdown</x:v>
      </x:c>
      <x:c r="R1646" s="20" t="str"/>
    </x:row>
    <x:row r="1647" ht="36" customHeight="1">
      <x:c r="A1647" s="19" t="str">
        <x:v>W23-20270214-1646</x:v>
      </x:c>
      <x:c r="B1647" s="13" t="n">
        <x:v>23</x:v>
      </x:c>
      <x:c r="C1647" s="13" t="str">
        <x:v>Этап 6 — Перенос навыков, шестёрки и закрепление</x:v>
      </x:c>
      <x:c r="D1647" s="138" t="str">
        <x:v>2027-02-14</x:v>
      </x:c>
      <x:c r="E1647" s="13" t="str">
        <x:v>Воскресенье</x:v>
      </x:c>
      <x:c r="F1647" s="13" t="str">
        <x:v>Восстановление B — дома</x:v>
      </x:c>
      <x:c r="G1647" s="44" t="n">
        <x:v>0</x:v>
      </x:c>
      <x:c r="H1647" s="44" t="n">
        <x:v>0.010416666666666666</x:v>
      </x:c>
      <x:c r="I1647" s="32" t="n">
        <x:f>ROUND((H1647-G1647)*1440,0)</x:f>
        <x:v>15</x:v>
      </x:c>
      <x:c r="J1647" s="13" t="str">
        <x:v>Прогулка B</x:v>
      </x:c>
      <x:c r="K1647" s="13" t="str">
        <x:v>Если не идёшь в зал: 15 минут спокойной прогулки.</x:v>
      </x:c>
      <x:c r="L1647" s="13" t="str">
        <x:v>☐ Не начато</x:v>
      </x:c>
      <x:c r="M1647" s="13" t="str">
        <x:v>Опционально</x:v>
      </x:c>
      <x:c r="N1647" s="13" t="str">
        <x:v>RPE 1–2</x:v>
      </x:c>
      <x:c r="O1647" s="13" t="str"/>
      <x:c r="P1647" s="13" t="str">
        <x:v>milestone_06_transfer_and_consolidation/week_23_2027-02-08/07_SUNDAY.md</x:v>
      </x:c>
      <x:c r="Q1647" s="138" t="str">
        <x:v>Markdown</x:v>
      </x:c>
      <x:c r="R1647" s="20" t="str"/>
    </x:row>
    <x:row r="1648" ht="36" customHeight="1">
      <x:c r="A1648" s="19" t="str">
        <x:v>W23-20270214-1647</x:v>
      </x:c>
      <x:c r="B1648" s="13" t="n">
        <x:v>23</x:v>
      </x:c>
      <x:c r="C1648" s="13" t="str">
        <x:v>Этап 6 — Перенос навыков, шестёрки и закрепление</x:v>
      </x:c>
      <x:c r="D1648" s="138" t="str">
        <x:v>2027-02-14</x:v>
      </x:c>
      <x:c r="E1648" s="13" t="str">
        <x:v>Воскресенье</x:v>
      </x:c>
      <x:c r="F1648" s="13" t="str">
        <x:v>Восстановление B — дома</x:v>
      </x:c>
      <x:c r="G1648" s="44" t="n">
        <x:v>0.010416666666666666</x:v>
      </x:c>
      <x:c r="H1648" s="44" t="n">
        <x:v>0.015277777777777777</x:v>
      </x:c>
      <x:c r="I1648" s="32" t="n">
        <x:f>ROUND((H1648-G1648)*1440,0)</x:f>
        <x:v>7</x:v>
      </x:c>
      <x:c r="J1648" s="13" t="str">
        <x:v>Визуализация B</x:v>
      </x:c>
      <x:c r="K1648" s="13" t="str">
        <x:v>7 минут: мысленно повтори тему недели «Лучшая связка шестёрки» и одну трассу четверга.</x:v>
      </x:c>
      <x:c r="L1648" s="13" t="str">
        <x:v>☐ Не начато</x:v>
      </x:c>
      <x:c r="M1648" s="13" t="str">
        <x:v>Опционально</x:v>
      </x:c>
      <x:c r="N1648" s="13" t="str">
        <x:v>Без нагрузки</x:v>
      </x:c>
      <x:c r="O1648" s="13" t="str"/>
      <x:c r="P1648" s="13" t="str">
        <x:v>milestone_06_transfer_and_consolidation/week_23_2027-02-08/07_SUNDAY.md</x:v>
      </x:c>
      <x:c r="Q1648" s="138" t="str">
        <x:v>Markdown</x:v>
      </x:c>
      <x:c r="R1648" s="20" t="str"/>
    </x:row>
    <x:row r="1649" ht="36" customHeight="1">
      <x:c r="A1649" s="19" t="str">
        <x:v>W23-20270214-1648</x:v>
      </x:c>
      <x:c r="B1649" s="13" t="n">
        <x:v>23</x:v>
      </x:c>
      <x:c r="C1649" s="13" t="str">
        <x:v>Этап 6 — Перенос навыков, шестёрки и закрепление</x:v>
      </x:c>
      <x:c r="D1649" s="138" t="str">
        <x:v>2027-02-14</x:v>
      </x:c>
      <x:c r="E1649" s="13" t="str">
        <x:v>Воскресенье</x:v>
      </x:c>
      <x:c r="F1649" s="13" t="str">
        <x:v>Восстановление B — дома</x:v>
      </x:c>
      <x:c r="G1649" s="44" t="n">
        <x:v>0.015277777777777777</x:v>
      </x:c>
      <x:c r="H1649" s="44" t="n">
        <x:v>0.017361111111111112</x:v>
      </x:c>
      <x:c r="I1649" s="32" t="n">
        <x:f>ROUND((H1649-G1649)*1440,0)</x:f>
        <x:v>3</x:v>
      </x:c>
      <x:c r="J1649" s="13" t="str">
        <x:v>Итог недели B</x:v>
      </x:c>
      <x:c r="K1649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649" s="13" t="str">
        <x:v>☐ Не начато</x:v>
      </x:c>
      <x:c r="M1649" s="13" t="str">
        <x:v>Опционально</x:v>
      </x:c>
      <x:c r="N1649" s="13" t="str">
        <x:v>Без нагрузки</x:v>
      </x:c>
      <x:c r="O1649" s="13" t="str"/>
      <x:c r="P1649" s="13" t="str">
        <x:v>milestone_06_transfer_and_consolidation/week_23_2027-02-08/07_SUNDAY.md</x:v>
      </x:c>
      <x:c r="Q1649" s="138" t="str">
        <x:v>Markdown</x:v>
      </x:c>
      <x:c r="R1649" s="20" t="str"/>
    </x:row>
    <x:row r="1650" ht="36" customHeight="1">
      <x:c r="A1650" s="19" t="str">
        <x:v>W24-20270215-1649</x:v>
      </x:c>
      <x:c r="B1650" s="13" t="n">
        <x:v>24</x:v>
      </x:c>
      <x:c r="C1650" s="13" t="str">
        <x:v>Этап 6 — Перенос навыков, шестёрки и закрепление</x:v>
      </x:c>
      <x:c r="D1650" s="138" t="str">
        <x:v>2027-02-15</x:v>
      </x:c>
      <x:c r="E1650" s="13" t="str">
        <x:v>Понедельник</x:v>
      </x:c>
      <x:c r="F1650" s="13" t="str">
        <x:v>Дом / теория</x:v>
      </x:c>
      <x:c r="G1650" s="44" t="n">
        <x:v>0</x:v>
      </x:c>
      <x:c r="H1650" s="44" t="n">
        <x:v>0.0020833333333333333</x:v>
      </x:c>
      <x:c r="I1650" s="32" t="n">
        <x:f>ROUND((H1650-G1650)*1440,0)</x:f>
        <x:v>3</x:v>
      </x:c>
      <x:c r="J1650" s="13" t="str">
        <x:v>Самопроверка</x:v>
      </x:c>
      <x:c r="K1650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650" s="13" t="str">
        <x:v>☐ Не начато</x:v>
      </x:c>
      <x:c r="M1650" s="13" t="str">
        <x:v>Обязательно</x:v>
      </x:c>
      <x:c r="N1650" s="13" t="str">
        <x:v>Очень легко</x:v>
      </x:c>
      <x:c r="O1650" s="13" t="str">
        <x:v>Не диагностируй травму самостоятельно; используй правила из документа безопасности.</x:v>
      </x:c>
      <x:c r="P1650" s="13" t="str">
        <x:v>milestone_06_transfer_and_consolidation/week_24_2027-02-15/01_MONDAY.md</x:v>
      </x:c>
      <x:c r="Q1650" s="138" t="str">
        <x:v>Markdown</x:v>
      </x:c>
      <x:c r="R1650" s="20" t="str"/>
    </x:row>
    <x:row r="1651" ht="36" customHeight="1">
      <x:c r="A1651" s="19" t="str">
        <x:v>W24-20270215-1650</x:v>
      </x:c>
      <x:c r="B1651" s="13" t="n">
        <x:v>24</x:v>
      </x:c>
      <x:c r="C1651" s="13" t="str">
        <x:v>Этап 6 — Перенос навыков, шестёрки и закрепление</x:v>
      </x:c>
      <x:c r="D1651" s="138" t="str">
        <x:v>2027-02-15</x:v>
      </x:c>
      <x:c r="E1651" s="13" t="str">
        <x:v>Понедельник</x:v>
      </x:c>
      <x:c r="F1651" s="13" t="str">
        <x:v>Дом / теория</x:v>
      </x:c>
      <x:c r="G1651" s="44" t="n">
        <x:v>0.0020833333333333333</x:v>
      </x:c>
      <x:c r="H1651" s="44" t="n">
        <x:v>0.005555555555555556</x:v>
      </x:c>
      <x:c r="I1651" s="32" t="n">
        <x:f>ROUND((H1651-G1651)*1440,0)</x:f>
        <x:v>5</x:v>
      </x:c>
      <x:c r="J1651" s="13" t="str">
        <x:v>Планирование</x:v>
      </x:c>
      <x:c r="K1651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«Оцени трассу по вероятности прохода, а не пытайся напрямую переводить цифру другого зала.»</x:v>
      </x:c>
      <x:c r="L1651" s="13" t="str">
        <x:v>☐ Не начато</x:v>
      </x:c>
      <x:c r="M1651" s="13" t="str">
        <x:v>Обязательно</x:v>
      </x:c>
      <x:c r="N1651" s="13" t="str">
        <x:v>Без нагрузки</x:v>
      </x:c>
      <x:c r="O1651" s="13" t="str"/>
      <x:c r="P1651" s="13" t="str">
        <x:v>milestone_06_transfer_and_consolidation/week_24_2027-02-15/01_MONDAY.md</x:v>
      </x:c>
      <x:c r="Q1651" s="138" t="str">
        <x:v>Markdown</x:v>
      </x:c>
      <x:c r="R1651" s="20" t="str"/>
    </x:row>
    <x:row r="1652" ht="36" customHeight="1">
      <x:c r="A1652" s="19" t="str">
        <x:v>W24-20270215-1651</x:v>
      </x:c>
      <x:c r="B1652" s="13" t="n">
        <x:v>24</x:v>
      </x:c>
      <x:c r="C1652" s="13" t="str">
        <x:v>Этап 6 — Перенос навыков, шестёрки и закрепление</x:v>
      </x:c>
      <x:c r="D1652" s="138" t="str">
        <x:v>2027-02-15</x:v>
      </x:c>
      <x:c r="E1652" s="13" t="str">
        <x:v>Понедельник</x:v>
      </x:c>
      <x:c r="F1652" s="13" t="str">
        <x:v>Дом / теория</x:v>
      </x:c>
      <x:c r="G1652" s="44" t="n">
        <x:v>0.005555555555555556</x:v>
      </x:c>
      <x:c r="H1652" s="44" t="n">
        <x:v>0.01597222222222222</x:v>
      </x:c>
      <x:c r="I1652" s="32" t="n">
        <x:f>ROUND((H1652-G1652)*1440,0)</x:f>
        <x:v>15</x:v>
      </x:c>
      <x:c r="J1652" s="13" t="str">
        <x:v>Теория</x:v>
      </x:c>
      <x:c r="K1652" s="13" t="str">
        <x:v>Посмотри/прочитай [R04: The Gravity Lab — How To Read Bouldering Routes: An In-Depth Breakdown](https://www.youtube.com/watch?v=faOZI-tdMhg). Задача: Чтение последовательности рук/ног, поиск ключевого движения и предварительная визуализация.</x:v>
      </x:c>
      <x:c r="L1652" s="13" t="str">
        <x:v>☐ Не начато</x:v>
      </x:c>
      <x:c r="M1652" s="13" t="str">
        <x:v>Обязательно</x:v>
      </x:c>
      <x:c r="N1652" s="13" t="str">
        <x:v>Без нагрузки</x:v>
      </x:c>
      <x:c r="O1652" s="13" t="str"/>
      <x:c r="P1652" s="13" t="str">
        <x:v>milestone_06_transfer_and_consolidation/week_24_2027-02-15/01_MONDAY.md</x:v>
      </x:c>
      <x:c r="Q1652" s="138" t="str">
        <x:v>Markdown</x:v>
      </x:c>
      <x:c r="R1652" s="20" t="str"/>
    </x:row>
    <x:row r="1653" ht="36" customHeight="1">
      <x:c r="A1653" s="19" t="str">
        <x:v>W24-20270215-1652</x:v>
      </x:c>
      <x:c r="B1653" s="13" t="n">
        <x:v>24</x:v>
      </x:c>
      <x:c r="C1653" s="13" t="str">
        <x:v>Этап 6 — Перенос навыков, шестёрки и закрепление</x:v>
      </x:c>
      <x:c r="D1653" s="138" t="str">
        <x:v>2027-02-15</x:v>
      </x:c>
      <x:c r="E1653" s="13" t="str">
        <x:v>Понедельник</x:v>
      </x:c>
      <x:c r="F1653" s="13" t="str">
        <x:v>Дом / теория</x:v>
      </x:c>
      <x:c r="G1653" s="44" t="n">
        <x:v>0.01597222222222222</x:v>
      </x:c>
      <x:c r="H1653" s="44" t="n">
        <x:v>0.019444444444444445</x:v>
      </x:c>
      <x:c r="I1653" s="32" t="n">
        <x:f>ROUND((H1653-G1653)*1440,0)</x:f>
        <x:v>5</x:v>
      </x:c>
      <x:c r="J1653" s="13" t="str">
        <x:v>Конспект</x:v>
      </x:c>
      <x:c r="K1653" s="13" t="str">
        <x:v>Запиши ровно 3 пункта: (1) что делать ногами/тазом; (2) что не делать руками; (3) какой признак успеха проверишь на стене для темы «Перенос навыков».</x:v>
      </x:c>
      <x:c r="L1653" s="13" t="str">
        <x:v>☐ Не начато</x:v>
      </x:c>
      <x:c r="M1653" s="13" t="str">
        <x:v>Обязательно</x:v>
      </x:c>
      <x:c r="N1653" s="13" t="str">
        <x:v>Без нагрузки</x:v>
      </x:c>
      <x:c r="O1653" s="13" t="str"/>
      <x:c r="P1653" s="13" t="str">
        <x:v>milestone_06_transfer_and_consolidation/week_24_2027-02-15/01_MONDAY.md</x:v>
      </x:c>
      <x:c r="Q1653" s="138" t="str">
        <x:v>Markdown</x:v>
      </x:c>
      <x:c r="R1653" s="20" t="str"/>
    </x:row>
    <x:row r="1654" ht="36" customHeight="1">
      <x:c r="A1654" s="19" t="str">
        <x:v>W24-20270215-1653</x:v>
      </x:c>
      <x:c r="B1654" s="13" t="n">
        <x:v>24</x:v>
      </x:c>
      <x:c r="C1654" s="13" t="str">
        <x:v>Этап 6 — Перенос навыков, шестёрки и закрепление</x:v>
      </x:c>
      <x:c r="D1654" s="138" t="str">
        <x:v>2027-02-15</x:v>
      </x:c>
      <x:c r="E1654" s="13" t="str">
        <x:v>Понедельник</x:v>
      </x:c>
      <x:c r="F1654" s="13" t="str">
        <x:v>Дом / теория</x:v>
      </x:c>
      <x:c r="G1654" s="44" t="n">
        <x:v>0.019444444444444445</x:v>
      </x:c>
      <x:c r="H1654" s="44" t="n">
        <x:v>0.027777777777777776</x:v>
      </x:c>
      <x:c r="I1654" s="32" t="n">
        <x:f>ROUND((H1654-G1654)*1440,0)</x:f>
        <x:v>12</x:v>
      </x:c>
      <x:c r="J1654" s="13" t="str">
        <x:v>Домашняя мобильность</x:v>
      </x:c>
      <x:c r="K1654" s="13" t="str">
        <x:v>Выполни комплекс H2 «Баланс и опора ног» по библиотеке упражнений: 12 минут, без дополнительной нагрузки на пальцы.</x:v>
      </x:c>
      <x:c r="L1654" s="13" t="str">
        <x:v>☐ Не начато</x:v>
      </x:c>
      <x:c r="M1654" s="13" t="str">
        <x:v>Обязательно</x:v>
      </x:c>
      <x:c r="N1654" s="13" t="str">
        <x:v>RPE 2–3</x:v>
      </x:c>
      <x:c r="O1654" s="13" t="str">
        <x:v>Не уходи в глубокий присед. Стена используется как страховка; упражнение не должно провоцировать правое колено.</x:v>
      </x:c>
      <x:c r="P1654" s="13" t="str">
        <x:v>milestone_06_transfer_and_consolidation/week_24_2027-02-15/01_MONDAY.md</x:v>
      </x:c>
      <x:c r="Q1654" s="138" t="str">
        <x:v>Markdown</x:v>
      </x:c>
      <x:c r="R1654" s="20" t="str"/>
    </x:row>
    <x:row r="1655" ht="36" customHeight="1">
      <x:c r="A1655" s="19" t="str">
        <x:v>W24-20270215-1654</x:v>
      </x:c>
      <x:c r="B1655" s="13" t="n">
        <x:v>24</x:v>
      </x:c>
      <x:c r="C1655" s="13" t="str">
        <x:v>Этап 6 — Перенос навыков, шестёрки и закрепление</x:v>
      </x:c>
      <x:c r="D1655" s="138" t="str">
        <x:v>2027-02-15</x:v>
      </x:c>
      <x:c r="E1655" s="13" t="str">
        <x:v>Понедельник</x:v>
      </x:c>
      <x:c r="F1655" s="13" t="str">
        <x:v>Дом / теория</x:v>
      </x:c>
      <x:c r="G1655" s="44" t="n">
        <x:v>0.027777777777777776</x:v>
      </x:c>
      <x:c r="H1655" s="44" t="n">
        <x:v>0.041666666666666664</x:v>
      </x:c>
      <x:c r="I1655" s="32" t="n">
        <x:f>ROUND((H1655-G1655)*1440,0)</x:f>
        <x:v>20</x:v>
      </x:c>
      <x:c r="J1655" s="13" t="str">
        <x:v>Физиотерапия</x:v>
      </x:c>
      <x:c r="K1655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655" s="13" t="str">
        <x:v>☐ Не начато</x:v>
      </x:c>
      <x:c r="M1655" s="13" t="str">
        <x:v>По назначению</x:v>
      </x:c>
      <x:c r="N1655" s="13" t="str">
        <x:v>По назначению физиотерапевта</x:v>
      </x:c>
      <x:c r="O1655" s="13" t="str">
        <x:v>Любые указания физиотерапевта имеют приоритет над этим планом.</x:v>
      </x:c>
      <x:c r="P1655" s="13" t="str">
        <x:v>milestone_06_transfer_and_consolidation/week_24_2027-02-15/01_MONDAY.md</x:v>
      </x:c>
      <x:c r="Q1655" s="138" t="str">
        <x:v>Markdown</x:v>
      </x:c>
      <x:c r="R1655" s="20" t="str"/>
    </x:row>
    <x:row r="1656" ht="36" customHeight="1">
      <x:c r="A1656" s="19" t="str">
        <x:v>W24-20270215-1655</x:v>
      </x:c>
      <x:c r="B1656" s="13" t="n">
        <x:v>24</x:v>
      </x:c>
      <x:c r="C1656" s="13" t="str">
        <x:v>Этап 6 — Перенос навыков, шестёрки и закрепление</x:v>
      </x:c>
      <x:c r="D1656" s="138" t="str">
        <x:v>2027-02-15</x:v>
      </x:c>
      <x:c r="E1656" s="13" t="str">
        <x:v>Понедельник</x:v>
      </x:c>
      <x:c r="F1656" s="13" t="str">
        <x:v>Дом / теория</x:v>
      </x:c>
      <x:c r="G1656" s="44" t="n">
        <x:v>0.041666666666666664</x:v>
      </x:c>
      <x:c r="H1656" s="44" t="n">
        <x:v>0.04375</x:v>
      </x:c>
      <x:c r="I1656" s="32" t="n">
        <x:f>ROUND((H1656-G1656)*1440,0)</x:f>
        <x:v>3</x:v>
      </x:c>
      <x:c r="J1656" s="13" t="str">
        <x:v>Подготовка</x:v>
      </x:c>
      <x:c r="K1656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656" s="13" t="str">
        <x:v>☐ Не начато</x:v>
      </x:c>
      <x:c r="M1656" s="13" t="str">
        <x:v>Обязательно</x:v>
      </x:c>
      <x:c r="N1656" s="13" t="str">
        <x:v>Без нагрузки</x:v>
      </x:c>
      <x:c r="O1656" s="13" t="str">
        <x:v>Кольца и турник — только в рамках программы физиотерапевта.</x:v>
      </x:c>
      <x:c r="P1656" s="13" t="str">
        <x:v>milestone_06_transfer_and_consolidation/week_24_2027-02-15/01_MONDAY.md</x:v>
      </x:c>
      <x:c r="Q1656" s="138" t="str">
        <x:v>Markdown</x:v>
      </x:c>
      <x:c r="R1656" s="20" t="str"/>
    </x:row>
    <x:row r="1657" ht="36" customHeight="1">
      <x:c r="A1657" s="19" t="str">
        <x:v>W24-20270216-1656</x:v>
      </x:c>
      <x:c r="B1657" s="13" t="n">
        <x:v>24</x:v>
      </x:c>
      <x:c r="C1657" s="13" t="str">
        <x:v>Этап 6 — Перенос навыков, шестёрки и закрепление</x:v>
      </x:c>
      <x:c r="D1657" s="138" t="str">
        <x:v>2027-02-16</x:v>
      </x:c>
      <x:c r="E1657" s="13" t="str">
        <x:v>Вторник</x:v>
      </x:c>
      <x:c r="F1657" s="13" t="str">
        <x:v>Тренировка A — техника/объём</x:v>
      </x:c>
      <x:c r="G1657" s="44" t="n">
        <x:v>0</x:v>
      </x:c>
      <x:c r="H1657" s="44" t="n">
        <x:v>0.0020833333333333333</x:v>
      </x:c>
      <x:c r="I1657" s="32" t="n">
        <x:f>ROUND((H1657-G1657)*1440,0)</x:f>
        <x:v>3</x:v>
      </x:c>
      <x:c r="J1657" s="13" t="str">
        <x:v>Самопроверка</x:v>
      </x:c>
      <x:c r="K1657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657" s="13" t="str">
        <x:v>☐ Не начато</x:v>
      </x:c>
      <x:c r="M1657" s="13" t="str">
        <x:v>Обязательно</x:v>
      </x:c>
      <x:c r="N1657" s="13" t="str">
        <x:v>Без нагрузки</x:v>
      </x:c>
      <x:c r="O1657" s="13" t="str">
        <x:v>Красный флаг = не начинать пальцевую нагрузку.</x:v>
      </x:c>
      <x:c r="P1657" s="13" t="str">
        <x:v>milestone_06_transfer_and_consolidation/week_24_2027-02-15/02_TUESDAY.md</x:v>
      </x:c>
      <x:c r="Q1657" s="138" t="str">
        <x:v>Markdown</x:v>
      </x:c>
      <x:c r="R1657" s="20" t="str"/>
    </x:row>
    <x:row r="1658" ht="36" customHeight="1">
      <x:c r="A1658" s="19" t="str">
        <x:v>W24-20270216-1657</x:v>
      </x:c>
      <x:c r="B1658" s="13" t="n">
        <x:v>24</x:v>
      </x:c>
      <x:c r="C1658" s="13" t="str">
        <x:v>Этап 6 — Перенос навыков, шестёрки и закрепление</x:v>
      </x:c>
      <x:c r="D1658" s="138" t="str">
        <x:v>2027-02-16</x:v>
      </x:c>
      <x:c r="E1658" s="13" t="str">
        <x:v>Вторник</x:v>
      </x:c>
      <x:c r="F1658" s="13" t="str">
        <x:v>Тренировка A — техника/объём</x:v>
      </x:c>
      <x:c r="G1658" s="44" t="n">
        <x:v>0.0020833333333333333</x:v>
      </x:c>
      <x:c r="H1658" s="44" t="n">
        <x:v>0.005555555555555556</x:v>
      </x:c>
      <x:c r="I1658" s="32" t="n">
        <x:f>ROUND((H1658-G1658)*1440,0)</x:f>
        <x:v>5</x:v>
      </x:c>
      <x:c r="J1658" s="13" t="str">
        <x:v>Разминка</x:v>
      </x:c>
      <x:c r="K1658" s="13" t="str">
        <x:v>Подними температуру: быстрая ходьба, лестница или лёгкий велотренажёр 5 минут.</x:v>
      </x:c>
      <x:c r="L1658" s="13" t="str">
        <x:v>☐ Не начато</x:v>
      </x:c>
      <x:c r="M1658" s="13" t="str">
        <x:v>Обязательно</x:v>
      </x:c>
      <x:c r="N1658" s="13" t="str">
        <x:v>RPE 2–3</x:v>
      </x:c>
      <x:c r="O1658" s="13" t="str"/>
      <x:c r="P1658" s="13" t="str">
        <x:v>milestone_06_transfer_and_consolidation/week_24_2027-02-15/02_TUESDAY.md</x:v>
      </x:c>
      <x:c r="Q1658" s="138" t="str">
        <x:v>Markdown</x:v>
      </x:c>
      <x:c r="R1658" s="20" t="str"/>
    </x:row>
    <x:row r="1659" ht="36" customHeight="1">
      <x:c r="A1659" s="19" t="str">
        <x:v>W24-20270216-1658</x:v>
      </x:c>
      <x:c r="B1659" s="13" t="n">
        <x:v>24</x:v>
      </x:c>
      <x:c r="C1659" s="13" t="str">
        <x:v>Этап 6 — Перенос навыков, шестёрки и закрепление</x:v>
      </x:c>
      <x:c r="D1659" s="138" t="str">
        <x:v>2027-02-16</x:v>
      </x:c>
      <x:c r="E1659" s="13" t="str">
        <x:v>Вторник</x:v>
      </x:c>
      <x:c r="F1659" s="13" t="str">
        <x:v>Тренировка A — техника/объём</x:v>
      </x:c>
      <x:c r="G1659" s="44" t="n">
        <x:v>0.005555555555555556</x:v>
      </x:c>
      <x:c r="H1659" s="44" t="n">
        <x:v>0.009027777777777777</x:v>
      </x:c>
      <x:c r="I1659" s="32" t="n">
        <x:f>ROUND((H1659-G1659)*1440,0)</x:f>
        <x:v>5</x:v>
      </x:c>
      <x:c r="J1659" s="13" t="str">
        <x:v>Разминка</x:v>
      </x:c>
      <x:c r="K1659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659" s="13" t="str">
        <x:v>☐ Не начато</x:v>
      </x:c>
      <x:c r="M1659" s="13" t="str">
        <x:v>Обязательно</x:v>
      </x:c>
      <x:c r="N1659" s="13" t="str">
        <x:v>Очень легко</x:v>
      </x:c>
      <x:c r="O1659" s="13" t="str">
        <x:v>Не делай press/отжимания и движения, которые раздражают плечо.</x:v>
      </x:c>
      <x:c r="P1659" s="13" t="str">
        <x:v>milestone_06_transfer_and_consolidation/week_24_2027-02-15/02_TUESDAY.md</x:v>
      </x:c>
      <x:c r="Q1659" s="138" t="str">
        <x:v>Markdown</x:v>
      </x:c>
      <x:c r="R1659" s="20" t="str"/>
    </x:row>
    <x:row r="1660" ht="36" customHeight="1">
      <x:c r="A1660" s="19" t="str">
        <x:v>W24-20270216-1659</x:v>
      </x:c>
      <x:c r="B1660" s="13" t="n">
        <x:v>24</x:v>
      </x:c>
      <x:c r="C1660" s="13" t="str">
        <x:v>Этап 6 — Перенос навыков, шестёрки и закрепление</x:v>
      </x:c>
      <x:c r="D1660" s="138" t="str">
        <x:v>2027-02-16</x:v>
      </x:c>
      <x:c r="E1660" s="13" t="str">
        <x:v>Вторник</x:v>
      </x:c>
      <x:c r="F1660" s="13" t="str">
        <x:v>Тренировка A — техника/объём</x:v>
      </x:c>
      <x:c r="G1660" s="44" t="n">
        <x:v>0.009027777777777777</x:v>
      </x:c>
      <x:c r="H1660" s="44" t="n">
        <x:v>0.011805555555555555</x:v>
      </x:c>
      <x:c r="I1660" s="32" t="n">
        <x:f>ROUND((H1660-G1660)*1440,0)</x:f>
        <x:v>4</x:v>
      </x:c>
      <x:c r="J1660" s="13" t="str">
        <x:v>Разминка пальцев</x:v>
      </x:c>
      <x:c r="K1660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660" s="13" t="str">
        <x:v>☐ Не начато</x:v>
      </x:c>
      <x:c r="M1660" s="13" t="str">
        <x:v>Обязательно</x:v>
      </x:c>
      <x:c r="N1660" s="13" t="str">
        <x:v>Очень легко</x:v>
      </x:c>
      <x:c r="O1660" s="13" t="str"/>
      <x:c r="P1660" s="13" t="str">
        <x:v>milestone_06_transfer_and_consolidation/week_24_2027-02-15/02_TUESDAY.md</x:v>
      </x:c>
      <x:c r="Q1660" s="138" t="str">
        <x:v>Markdown</x:v>
      </x:c>
      <x:c r="R1660" s="20" t="str"/>
    </x:row>
    <x:row r="1661" ht="36" customHeight="1">
      <x:c r="A1661" s="19" t="str">
        <x:v>W24-20270216-1660</x:v>
      </x:c>
      <x:c r="B1661" s="13" t="n">
        <x:v>24</x:v>
      </x:c>
      <x:c r="C1661" s="13" t="str">
        <x:v>Этап 6 — Перенос навыков, шестёрки и закрепление</x:v>
      </x:c>
      <x:c r="D1661" s="138" t="str">
        <x:v>2027-02-16</x:v>
      </x:c>
      <x:c r="E1661" s="13" t="str">
        <x:v>Вторник</x:v>
      </x:c>
      <x:c r="F1661" s="13" t="str">
        <x:v>Тренировка A — техника/объём</x:v>
      </x:c>
      <x:c r="G1661" s="44" t="n">
        <x:v>0.011805555555555555</x:v>
      </x:c>
      <x:c r="H1661" s="44" t="n">
        <x:v>0.014583333333333334</x:v>
      </x:c>
      <x:c r="I1661" s="32" t="n">
        <x:f>ROUND((H1661-G1661)*1440,0)</x:f>
        <x:v>4</x:v>
      </x:c>
      <x:c r="J1661" s="13" t="str">
        <x:v>Разминочное лазание</x:v>
      </x:c>
      <x:c r="K1661" s="13" t="str">
        <x:v>Пройди 2 очень лёгкие трассы уровня 1–2; двигайся медленно, спускайся по зацепам.</x:v>
      </x:c>
      <x:c r="L1661" s="13" t="str">
        <x:v>☐ Не начато</x:v>
      </x:c>
      <x:c r="M1661" s="13" t="str">
        <x:v>Обязательно</x:v>
      </x:c>
      <x:c r="N1661" s="13" t="str">
        <x:v>RPE 2–3</x:v>
      </x:c>
      <x:c r="O1661" s="13" t="str">
        <x:v>Финиш с обязательным болезненным mantle/press пропусти.</x:v>
      </x:c>
      <x:c r="P1661" s="13" t="str">
        <x:v>milestone_06_transfer_and_consolidation/week_24_2027-02-15/02_TUESDAY.md</x:v>
      </x:c>
      <x:c r="Q1661" s="138" t="str">
        <x:v>Markdown</x:v>
      </x:c>
      <x:c r="R1661" s="20" t="str"/>
    </x:row>
    <x:row r="1662" ht="36" customHeight="1">
      <x:c r="A1662" s="19" t="str">
        <x:v>W24-20270216-1661</x:v>
      </x:c>
      <x:c r="B1662" s="13" t="n">
        <x:v>24</x:v>
      </x:c>
      <x:c r="C1662" s="13" t="str">
        <x:v>Этап 6 — Перенос навыков, шестёрки и закрепление</x:v>
      </x:c>
      <x:c r="D1662" s="138" t="str">
        <x:v>2027-02-16</x:v>
      </x:c>
      <x:c r="E1662" s="13" t="str">
        <x:v>Вторник</x:v>
      </x:c>
      <x:c r="F1662" s="13" t="str">
        <x:v>Тренировка A — техника/объём</x:v>
      </x:c>
      <x:c r="G1662" s="44" t="n">
        <x:v>0.014583333333333334</x:v>
      </x:c>
      <x:c r="H1662" s="44" t="n">
        <x:v>0.017361111111111112</x:v>
      </x:c>
      <x:c r="I1662" s="32" t="n">
        <x:f>ROUND((H1662-G1662)*1440,0)</x:f>
        <x:v>4</x:v>
      </x:c>
      <x:c r="J1662" s="13" t="str">
        <x:v>Разминочное лазание</x:v>
      </x:c>
      <x:c r="K1662" s="13" t="str">
        <x:v>Пройди 2 трассы уровня 2–3, затем сделай 2–3 движения на комфортной четвёрке. Между ними 45–60 секунд.</x:v>
      </x:c>
      <x:c r="L1662" s="13" t="str">
        <x:v>☐ Не начато</x:v>
      </x:c>
      <x:c r="M1662" s="13" t="str">
        <x:v>Обязательно</x:v>
      </x:c>
      <x:c r="N1662" s="13" t="str">
        <x:v>RPE 3–4</x:v>
      </x:c>
      <x:c r="O1662" s="13" t="str">
        <x:v>Разминка не должна утомить пальцы.</x:v>
      </x:c>
      <x:c r="P1662" s="13" t="str">
        <x:v>milestone_06_transfer_and_consolidation/week_24_2027-02-15/02_TUESDAY.md</x:v>
      </x:c>
      <x:c r="Q1662" s="138" t="str">
        <x:v>Markdown</x:v>
      </x:c>
      <x:c r="R1662" s="20" t="str"/>
    </x:row>
    <x:row r="1663" ht="36" customHeight="1">
      <x:c r="A1663" s="19" t="str">
        <x:v>W24-20270216-1662</x:v>
      </x:c>
      <x:c r="B1663" s="13" t="n">
        <x:v>24</x:v>
      </x:c>
      <x:c r="C1663" s="13" t="str">
        <x:v>Этап 6 — Перенос навыков, шестёрки и закрепление</x:v>
      </x:c>
      <x:c r="D1663" s="138" t="str">
        <x:v>2027-02-16</x:v>
      </x:c>
      <x:c r="E1663" s="13" t="str">
        <x:v>Вторник</x:v>
      </x:c>
      <x:c r="F1663" s="13" t="str">
        <x:v>Тренировка A — перенос</x:v>
      </x:c>
      <x:c r="G1663" s="44" t="n">
        <x:v>0.017361111111111112</x:v>
      </x:c>
      <x:c r="H1663" s="44" t="n">
        <x:v>0.021527777777777778</x:v>
      </x:c>
      <x:c r="I1663" s="32" t="n">
        <x:f>ROUND((H1663-G1663)*1440,0)</x:f>
        <x:v>6</x:v>
      </x:c>
      <x:c r="J1663" s="13" t="str">
        <x:v>Ориентация</x:v>
      </x:c>
      <x:c r="K1663" s="13" t="str">
        <x:v>Осмотри новый зал/сектор: маты, зоны падения, правила топа и удобные линии спуска. Сделай одно контролируемое пробное падение только при необходимости.</x:v>
      </x:c>
      <x:c r="L1663" s="13" t="str">
        <x:v>☐ Не начато</x:v>
      </x:c>
      <x:c r="M1663" s="13" t="str">
        <x:v>Обязательно</x:v>
      </x:c>
      <x:c r="N1663" s="13" t="str">
        <x:v>Очень легко</x:v>
      </x:c>
      <x:c r="O1663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663" s="13" t="str">
        <x:v>milestone_06_transfer_and_consolidation/week_24_2027-02-15/02_TUESDAY.md</x:v>
      </x:c>
      <x:c r="Q1663" s="138" t="str">
        <x:v>Markdown</x:v>
      </x:c>
      <x:c r="R1663" s="20" t="str"/>
    </x:row>
    <x:row r="1664" ht="36" customHeight="1">
      <x:c r="A1664" s="19" t="str">
        <x:v>W24-20270216-1663</x:v>
      </x:c>
      <x:c r="B1664" s="13" t="n">
        <x:v>24</x:v>
      </x:c>
      <x:c r="C1664" s="13" t="str">
        <x:v>Этап 6 — Перенос навыков, шестёрки и закрепление</x:v>
      </x:c>
      <x:c r="D1664" s="138" t="str">
        <x:v>2027-02-16</x:v>
      </x:c>
      <x:c r="E1664" s="13" t="str">
        <x:v>Вторник</x:v>
      </x:c>
      <x:c r="F1664" s="13" t="str">
        <x:v>Тренировка A — перенос</x:v>
      </x:c>
      <x:c r="G1664" s="44" t="n">
        <x:v>0.021527777777777778</x:v>
      </x:c>
      <x:c r="H1664" s="44" t="n">
        <x:v>0.03194444444444444</x:v>
      </x:c>
      <x:c r="I1664" s="32" t="n">
        <x:f>ROUND((H1664-G1664)*1440,0)</x:f>
        <x:v>15</x:v>
      </x:c>
      <x:c r="J1664" s="13" t="str">
        <x:v>Лёгкие флэши</x:v>
      </x:c>
      <x:c r="K1664" s="13" t="str">
        <x:v>Выбери 3 трассы с оценочным шансом успеха &gt;90%; прочитай каждую и сделай по одной попытке.</x:v>
      </x:c>
      <x:c r="L1664" s="13" t="str">
        <x:v>☐ Не начато</x:v>
      </x:c>
      <x:c r="M1664" s="13" t="str">
        <x:v>Обязательно</x:v>
      </x:c>
      <x:c r="N1664" s="13" t="str">
        <x:v>RPE 4–5</x:v>
      </x:c>
      <x:c r="O1664" s="13" t="str"/>
      <x:c r="P1664" s="13" t="str">
        <x:v>milestone_06_transfer_and_consolidation/week_24_2027-02-15/02_TUESDAY.md</x:v>
      </x:c>
      <x:c r="Q1664" s="138" t="str">
        <x:v>Markdown</x:v>
      </x:c>
      <x:c r="R1664" s="20" t="str"/>
    </x:row>
    <x:row r="1665" ht="36" customHeight="1">
      <x:c r="A1665" s="19" t="str">
        <x:v>W24-20270216-1664</x:v>
      </x:c>
      <x:c r="B1665" s="13" t="n">
        <x:v>24</x:v>
      </x:c>
      <x:c r="C1665" s="13" t="str">
        <x:v>Этап 6 — Перенос навыков, шестёрки и закрепление</x:v>
      </x:c>
      <x:c r="D1665" s="138" t="str">
        <x:v>2027-02-16</x:v>
      </x:c>
      <x:c r="E1665" s="13" t="str">
        <x:v>Вторник</x:v>
      </x:c>
      <x:c r="F1665" s="13" t="str">
        <x:v>Тренировка A — перенос</x:v>
      </x:c>
      <x:c r="G1665" s="44" t="n">
        <x:v>0.03194444444444444</x:v>
      </x:c>
      <x:c r="H1665" s="44" t="n">
        <x:v>0.04722222222222222</x:v>
      </x:c>
      <x:c r="I1665" s="32" t="n">
        <x:f>ROUND((H1665-G1665)*1440,0)</x:f>
        <x:v>22</x:v>
      </x:c>
      <x:c r="J1665" s="13" t="str">
        <x:v>Рабочий диапазон</x:v>
      </x:c>
      <x:c r="K1665" s="13" t="str">
        <x:v>Выбери 3 трассы с шансом 40–70%; максимум 2 попытки на каждую, отдых 2–3 минуты.</x:v>
      </x:c>
      <x:c r="L1665" s="13" t="str">
        <x:v>☐ Не начато</x:v>
      </x:c>
      <x:c r="M1665" s="13" t="str">
        <x:v>Обязательно</x:v>
      </x:c>
      <x:c r="N1665" s="13" t="str">
        <x:v>RPE 6–8</x:v>
      </x:c>
      <x:c r="O1665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665" s="13" t="str">
        <x:v>milestone_06_transfer_and_consolidation/week_24_2027-02-15/02_TUESDAY.md</x:v>
      </x:c>
      <x:c r="Q1665" s="138" t="str">
        <x:v>Markdown</x:v>
      </x:c>
      <x:c r="R1665" s="20" t="str"/>
    </x:row>
    <x:row r="1666" ht="36" customHeight="1">
      <x:c r="A1666" s="19" t="str">
        <x:v>W24-20270216-1665</x:v>
      </x:c>
      <x:c r="B1666" s="13" t="n">
        <x:v>24</x:v>
      </x:c>
      <x:c r="C1666" s="13" t="str">
        <x:v>Этап 6 — Перенос навыков, шестёрки и закрепление</x:v>
      </x:c>
      <x:c r="D1666" s="138" t="str">
        <x:v>2027-02-16</x:v>
      </x:c>
      <x:c r="E1666" s="13" t="str">
        <x:v>Вторник</x:v>
      </x:c>
      <x:c r="F1666" s="13" t="str">
        <x:v>Тренировка A — перенос</x:v>
      </x:c>
      <x:c r="G1666" s="44" t="n">
        <x:v>0.04722222222222222</x:v>
      </x:c>
      <x:c r="H1666" s="44" t="n">
        <x:v>0.05555555555555555</x:v>
      </x:c>
      <x:c r="I1666" s="32" t="n">
        <x:f>ROUND((H1666-G1666)*1440,0)</x:f>
        <x:v>12</x:v>
      </x:c>
      <x:c r="J1666" s="13" t="str">
        <x:v>Проект</x:v>
      </x:c>
      <x:c r="K1666" s="13" t="str">
        <x:v>Выбери 1 трассу с шансом 0–30%; максимум 3 качественные попытки, отдых 4 минуты. Применяй один знакомый cue.</x:v>
      </x:c>
      <x:c r="L1666" s="13" t="str">
        <x:v>☐ Не начато</x:v>
      </x:c>
      <x:c r="M1666" s="13" t="str">
        <x:v>Обязательно</x:v>
      </x:c>
      <x:c r="N1666" s="13" t="str">
        <x:v>RPE 8, без отказа</x:v>
      </x:c>
      <x:c r="O1666" s="13" t="str">
        <x:v>Незнакомый болезненный финиш не проверять силой.</x:v>
      </x:c>
      <x:c r="P1666" s="13" t="str">
        <x:v>milestone_06_transfer_and_consolidation/week_24_2027-02-15/02_TUESDAY.md</x:v>
      </x:c>
      <x:c r="Q1666" s="138" t="str">
        <x:v>Markdown</x:v>
      </x:c>
      <x:c r="R1666" s="20" t="str"/>
    </x:row>
    <x:row r="1667" ht="36" customHeight="1">
      <x:c r="A1667" s="19" t="str">
        <x:v>W24-20270216-1666</x:v>
      </x:c>
      <x:c r="B1667" s="13" t="n">
        <x:v>24</x:v>
      </x:c>
      <x:c r="C1667" s="13" t="str">
        <x:v>Этап 6 — Перенос навыков, шестёрки и закрепление</x:v>
      </x:c>
      <x:c r="D1667" s="138" t="str">
        <x:v>2027-02-16</x:v>
      </x:c>
      <x:c r="E1667" s="13" t="str">
        <x:v>Вторник</x:v>
      </x:c>
      <x:c r="F1667" s="13" t="str">
        <x:v>Тренировка A — перенос</x:v>
      </x:c>
      <x:c r="G1667" s="44" t="n">
        <x:v>0.05555555555555555</x:v>
      </x:c>
      <x:c r="H1667" s="44" t="n">
        <x:v>0.0625</x:v>
      </x:c>
      <x:c r="I1667" s="32" t="n">
        <x:f>ROUND((H1667-G1667)*1440,0)</x:f>
        <x:v>10</x:v>
      </x:c>
      <x:c r="J1667" s="13" t="str">
        <x:v>Журнал / завершение</x:v>
      </x:c>
      <x:c r="K1667" s="13" t="str">
        <x:v>Запиши соответствие уровней и benchmark: Отметить, какие навыки перенеслись, а какие были привязаны к знакомому сеттингу.</x:v>
      </x:c>
      <x:c r="L1667" s="13" t="str">
        <x:v>☐ Не начато</x:v>
      </x:c>
      <x:c r="M1667" s="13" t="str">
        <x:v>Обязательно</x:v>
      </x:c>
      <x:c r="N1667" s="13" t="str">
        <x:v>Очень легко</x:v>
      </x:c>
      <x:c r="O1667" s="13" t="str"/>
      <x:c r="P1667" s="13" t="str">
        <x:v>milestone_06_transfer_and_consolidation/week_24_2027-02-15/02_TUESDAY.md</x:v>
      </x:c>
      <x:c r="Q1667" s="138" t="str">
        <x:v>Markdown</x:v>
      </x:c>
      <x:c r="R1667" s="20" t="str"/>
    </x:row>
    <x:row r="1668" ht="36" customHeight="1">
      <x:c r="A1668" s="19" t="str">
        <x:v>W24-20270217-1667</x:v>
      </x:c>
      <x:c r="B1668" s="13" t="n">
        <x:v>24</x:v>
      </x:c>
      <x:c r="C1668" s="13" t="str">
        <x:v>Этап 6 — Перенос навыков, шестёрки и закрепление</x:v>
      </x:c>
      <x:c r="D1668" s="138" t="str">
        <x:v>2027-02-17</x:v>
      </x:c>
      <x:c r="E1668" s="13" t="str">
        <x:v>Среда</x:v>
      </x:c>
      <x:c r="F1668" s="13" t="str">
        <x:v>Восстановление / видео</x:v>
      </x:c>
      <x:c r="G1668" s="44" t="n">
        <x:v>0</x:v>
      </x:c>
      <x:c r="H1668" s="44" t="n">
        <x:v>0.006944444444444444</x:v>
      </x:c>
      <x:c r="I1668" s="32" t="n">
        <x:f>ROUND((H1668-G1668)*1440,0)</x:f>
        <x:v>10</x:v>
      </x:c>
      <x:c r="J1668" s="13" t="str">
        <x:v>Восстановление</x:v>
      </x:c>
      <x:c r="K1668" s="13" t="str">
        <x:v>10 минут спокойной ходьбы. Руки расслаблены; это не тренировка выносливости.</x:v>
      </x:c>
      <x:c r="L1668" s="13" t="str">
        <x:v>☐ Не начато</x:v>
      </x:c>
      <x:c r="M1668" s="13" t="str">
        <x:v>Обязательно</x:v>
      </x:c>
      <x:c r="N1668" s="13" t="str">
        <x:v>RPE 1–2</x:v>
      </x:c>
      <x:c r="O1668" s="13" t="str"/>
      <x:c r="P1668" s="13" t="str">
        <x:v>milestone_06_transfer_and_consolidation/week_24_2027-02-15/03_WEDNESDAY.md</x:v>
      </x:c>
      <x:c r="Q1668" s="138" t="str">
        <x:v>Markdown</x:v>
      </x:c>
      <x:c r="R1668" s="20" t="str"/>
    </x:row>
    <x:row r="1669" ht="36" customHeight="1">
      <x:c r="A1669" s="19" t="str">
        <x:v>W24-20270217-1668</x:v>
      </x:c>
      <x:c r="B1669" s="13" t="n">
        <x:v>24</x:v>
      </x:c>
      <x:c r="C1669" s="13" t="str">
        <x:v>Этап 6 — Перенос навыков, шестёрки и закрепление</x:v>
      </x:c>
      <x:c r="D1669" s="138" t="str">
        <x:v>2027-02-17</x:v>
      </x:c>
      <x:c r="E1669" s="13" t="str">
        <x:v>Среда</x:v>
      </x:c>
      <x:c r="F1669" s="13" t="str">
        <x:v>Восстановление / видео</x:v>
      </x:c>
      <x:c r="G1669" s="44" t="n">
        <x:v>0.006944444444444444</x:v>
      </x:c>
      <x:c r="H1669" s="44" t="n">
        <x:v>0.009027777777777777</x:v>
      </x:c>
      <x:c r="I1669" s="32" t="n">
        <x:f>ROUND((H1669-G1669)*1440,0)</x:f>
        <x:v>3</x:v>
      </x:c>
      <x:c r="J1669" s="13" t="str">
        <x:v>Самопроверка</x:v>
      </x:c>
      <x:c r="K1669" s="13" t="str">
        <x:v>Оцени реакцию после вторника: плечо, пальцы, правое колено 0–10. Запиши, что изменилось относительно вчерашнего утра.</x:v>
      </x:c>
      <x:c r="L1669" s="13" t="str">
        <x:v>☐ Не начато</x:v>
      </x:c>
      <x:c r="M1669" s="13" t="str">
        <x:v>Обязательно</x:v>
      </x:c>
      <x:c r="N1669" s="13" t="str">
        <x:v>Без нагрузки</x:v>
      </x:c>
      <x:c r="O1669" s="13" t="str">
        <x:v>Острая локальная боль пальца или ухудшение плеча = не делать четверговую пальцевую нагрузку.</x:v>
      </x:c>
      <x:c r="P1669" s="13" t="str">
        <x:v>milestone_06_transfer_and_consolidation/week_24_2027-02-15/03_WEDNESDAY.md</x:v>
      </x:c>
      <x:c r="Q1669" s="138" t="str">
        <x:v>Markdown</x:v>
      </x:c>
      <x:c r="R1669" s="20" t="str"/>
    </x:row>
    <x:row r="1670" ht="36" customHeight="1">
      <x:c r="A1670" s="19" t="str">
        <x:v>W24-20270217-1669</x:v>
      </x:c>
      <x:c r="B1670" s="13" t="n">
        <x:v>24</x:v>
      </x:c>
      <x:c r="C1670" s="13" t="str">
        <x:v>Этап 6 — Перенос навыков, шестёрки и закрепление</x:v>
      </x:c>
      <x:c r="D1670" s="138" t="str">
        <x:v>2027-02-17</x:v>
      </x:c>
      <x:c r="E1670" s="13" t="str">
        <x:v>Среда</x:v>
      </x:c>
      <x:c r="F1670" s="13" t="str">
        <x:v>Восстановление / видео</x:v>
      </x:c>
      <x:c r="G1670" s="44" t="n">
        <x:v>0.009027777777777777</x:v>
      </x:c>
      <x:c r="H1670" s="44" t="n">
        <x:v>0.01597222222222222</x:v>
      </x:c>
      <x:c r="I1670" s="32" t="n">
        <x:f>ROUND((H1670-G1670)*1440,0)</x:f>
        <x:v>10</x:v>
      </x:c>
      <x:c r="J1670" s="13" t="str">
        <x:v>Видеоразбор</x:v>
      </x:c>
      <x:c r="K1670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670" s="13" t="str">
        <x:v>☐ Не начато</x:v>
      </x:c>
      <x:c r="M1670" s="13" t="str">
        <x:v>Обязательно</x:v>
      </x:c>
      <x:c r="N1670" s="13" t="str">
        <x:v>Без нагрузки</x:v>
      </x:c>
      <x:c r="O1670" s="13" t="str"/>
      <x:c r="P1670" s="13" t="str">
        <x:v>milestone_06_transfer_and_consolidation/week_24_2027-02-15/03_WEDNESDAY.md</x:v>
      </x:c>
      <x:c r="Q1670" s="138" t="str">
        <x:v>Markdown</x:v>
      </x:c>
      <x:c r="R1670" s="20" t="str"/>
    </x:row>
    <x:row r="1671" ht="36" customHeight="1">
      <x:c r="A1671" s="19" t="str">
        <x:v>W24-20270217-1670</x:v>
      </x:c>
      <x:c r="B1671" s="13" t="n">
        <x:v>24</x:v>
      </x:c>
      <x:c r="C1671" s="13" t="str">
        <x:v>Этап 6 — Перенос навыков, шестёрки и закрепление</x:v>
      </x:c>
      <x:c r="D1671" s="138" t="str">
        <x:v>2027-02-17</x:v>
      </x:c>
      <x:c r="E1671" s="13" t="str">
        <x:v>Среда</x:v>
      </x:c>
      <x:c r="F1671" s="13" t="str">
        <x:v>Восстановление / видео</x:v>
      </x:c>
      <x:c r="G1671" s="44" t="n">
        <x:v>0.01597222222222222</x:v>
      </x:c>
      <x:c r="H1671" s="44" t="n">
        <x:v>0.01875</x:v>
      </x:c>
      <x:c r="I1671" s="32" t="n">
        <x:f>ROUND((H1671-G1671)*1440,0)</x:f>
        <x:v>4</x:v>
      </x:c>
      <x:c r="J1671" s="13" t="str">
        <x:v>Конспект</x:v>
      </x:c>
      <x:c r="K1671" s="13" t="str">
        <x:v>Запиши одну правку на четверг в формате «В следующей попытке я…». Используй cue: «Оцени трассу по вероятности прохода, а не пытайся напрямую переводить цифру другого зала.».</x:v>
      </x:c>
      <x:c r="L1671" s="13" t="str">
        <x:v>☐ Не начато</x:v>
      </x:c>
      <x:c r="M1671" s="13" t="str">
        <x:v>Обязательно</x:v>
      </x:c>
      <x:c r="N1671" s="13" t="str">
        <x:v>Без нагрузки</x:v>
      </x:c>
      <x:c r="O1671" s="13" t="str"/>
      <x:c r="P1671" s="13" t="str">
        <x:v>milestone_06_transfer_and_consolidation/week_24_2027-02-15/03_WEDNESDAY.md</x:v>
      </x:c>
      <x:c r="Q1671" s="138" t="str">
        <x:v>Markdown</x:v>
      </x:c>
      <x:c r="R1671" s="20" t="str"/>
    </x:row>
    <x:row r="1672" ht="36" customHeight="1">
      <x:c r="A1672" s="19" t="str">
        <x:v>W24-20270217-1671</x:v>
      </x:c>
      <x:c r="B1672" s="13" t="n">
        <x:v>24</x:v>
      </x:c>
      <x:c r="C1672" s="13" t="str">
        <x:v>Этап 6 — Перенос навыков, шестёрки и закрепление</x:v>
      </x:c>
      <x:c r="D1672" s="138" t="str">
        <x:v>2027-02-17</x:v>
      </x:c>
      <x:c r="E1672" s="13" t="str">
        <x:v>Среда</x:v>
      </x:c>
      <x:c r="F1672" s="13" t="str">
        <x:v>Восстановление / видео</x:v>
      </x:c>
      <x:c r="G1672" s="44" t="n">
        <x:v>0.01875</x:v>
      </x:c>
      <x:c r="H1672" s="44" t="n">
        <x:v>0.027083333333333334</x:v>
      </x:c>
      <x:c r="I1672" s="32" t="n">
        <x:f>ROUND((H1672-G1672)*1440,0)</x:f>
        <x:v>12</x:v>
      </x:c>
      <x:c r="J1672" s="13" t="str">
        <x:v>Домашняя мобильность</x:v>
      </x:c>
      <x:c r="K1672" s="13" t="str">
        <x:v>Выполни комплекс H3 «Мобильность таза и контроль корпуса», 12 минут. Ни турника, ни колец для дополнительного хвата.</x:v>
      </x:c>
      <x:c r="L1672" s="13" t="str">
        <x:v>☐ Не начато</x:v>
      </x:c>
      <x:c r="M1672" s="13" t="str">
        <x:v>Обязательно</x:v>
      </x:c>
      <x:c r="N1672" s="13" t="str">
        <x:v>RPE 2–3</x:v>
      </x:c>
      <x:c r="O1672" s="13" t="str">
        <x:v>Никаких скручиваний через боль. Плечом не отталкивайся от стены; касание только для равновесия.</x:v>
      </x:c>
      <x:c r="P1672" s="13" t="str">
        <x:v>milestone_06_transfer_and_consolidation/week_24_2027-02-15/03_WEDNESDAY.md</x:v>
      </x:c>
      <x:c r="Q1672" s="138" t="str">
        <x:v>Markdown</x:v>
      </x:c>
      <x:c r="R1672" s="20" t="str"/>
    </x:row>
    <x:row r="1673" ht="36" customHeight="1">
      <x:c r="A1673" s="19" t="str">
        <x:v>W24-20270217-1672</x:v>
      </x:c>
      <x:c r="B1673" s="13" t="n">
        <x:v>24</x:v>
      </x:c>
      <x:c r="C1673" s="13" t="str">
        <x:v>Этап 6 — Перенос навыков, шестёрки и закрепление</x:v>
      </x:c>
      <x:c r="D1673" s="138" t="str">
        <x:v>2027-02-17</x:v>
      </x:c>
      <x:c r="E1673" s="13" t="str">
        <x:v>Среда</x:v>
      </x:c>
      <x:c r="F1673" s="13" t="str">
        <x:v>Восстановление / видео</x:v>
      </x:c>
      <x:c r="G1673" s="44" t="n">
        <x:v>0.027083333333333334</x:v>
      </x:c>
      <x:c r="H1673" s="44" t="n">
        <x:v>0.04097222222222222</x:v>
      </x:c>
      <x:c r="I1673" s="32" t="n">
        <x:f>ROUND((H1673-G1673)*1440,0)</x:f>
        <x:v>20</x:v>
      </x:c>
      <x:c r="J1673" s="13" t="str">
        <x:v>Физиотерапия</x:v>
      </x:c>
      <x:c r="K1673" s="13" t="str">
        <x:v>Выполни свой назначенный физиотерапевтом комплекс, если среда входит в его расписание.</x:v>
      </x:c>
      <x:c r="L1673" s="13" t="str">
        <x:v>☐ Не начато</x:v>
      </x:c>
      <x:c r="M1673" s="13" t="str">
        <x:v>По назначению</x:v>
      </x:c>
      <x:c r="N1673" s="13" t="str">
        <x:v>По назначению</x:v>
      </x:c>
      <x:c r="O1673" s="13" t="str">
        <x:v>Назначения физиотерапевта имеют приоритет.</x:v>
      </x:c>
      <x:c r="P1673" s="13" t="str">
        <x:v>milestone_06_transfer_and_consolidation/week_24_2027-02-15/03_WEDNESDAY.md</x:v>
      </x:c>
      <x:c r="Q1673" s="138" t="str">
        <x:v>Markdown</x:v>
      </x:c>
      <x:c r="R1673" s="20" t="str"/>
    </x:row>
    <x:row r="1674" ht="36" customHeight="1">
      <x:c r="A1674" s="19" t="str">
        <x:v>W24-20270217-1673</x:v>
      </x:c>
      <x:c r="B1674" s="13" t="n">
        <x:v>24</x:v>
      </x:c>
      <x:c r="C1674" s="13" t="str">
        <x:v>Этап 6 — Перенос навыков, шестёрки и закрепление</x:v>
      </x:c>
      <x:c r="D1674" s="138" t="str">
        <x:v>2027-02-17</x:v>
      </x:c>
      <x:c r="E1674" s="13" t="str">
        <x:v>Среда</x:v>
      </x:c>
      <x:c r="F1674" s="13" t="str">
        <x:v>Восстановление / видео</x:v>
      </x:c>
      <x:c r="G1674" s="44" t="n">
        <x:v>0.04097222222222222</x:v>
      </x:c>
      <x:c r="H1674" s="44" t="n">
        <x:v>0.043055555555555555</x:v>
      </x:c>
      <x:c r="I1674" s="32" t="n">
        <x:f>ROUND((H1674-G1674)*1440,0)</x:f>
        <x:v>3</x:v>
      </x:c>
      <x:c r="J1674" s="13" t="str">
        <x:v>Запрет лишней нагрузки</x:v>
      </x:c>
      <x:c r="K1674" s="13" t="str">
        <x:v>Поставь отметку: сегодня не было висов, подтягиваний «на проверку», эспандера-сжимателя или тяжёлого ношения.</x:v>
      </x:c>
      <x:c r="L1674" s="13" t="str">
        <x:v>☐ Не начато</x:v>
      </x:c>
      <x:c r="M1674" s="13" t="str">
        <x:v>Обязательно</x:v>
      </x:c>
      <x:c r="N1674" s="13" t="str">
        <x:v>Восстановление</x:v>
      </x:c>
      <x:c r="O1674" s="13" t="str"/>
      <x:c r="P1674" s="13" t="str">
        <x:v>milestone_06_transfer_and_consolidation/week_24_2027-02-15/03_WEDNESDAY.md</x:v>
      </x:c>
      <x:c r="Q1674" s="138" t="str">
        <x:v>Markdown</x:v>
      </x:c>
      <x:c r="R1674" s="20" t="str"/>
    </x:row>
    <x:row r="1675" ht="36" customHeight="1">
      <x:c r="A1675" s="19" t="str">
        <x:v>W24-20270218-1674</x:v>
      </x:c>
      <x:c r="B1675" s="13" t="n">
        <x:v>24</x:v>
      </x:c>
      <x:c r="C1675" s="13" t="str">
        <x:v>Этап 6 — Перенос навыков, шестёрки и закрепление</x:v>
      </x:c>
      <x:c r="D1675" s="138" t="str">
        <x:v>2027-02-18</x:v>
      </x:c>
      <x:c r="E1675" s="13" t="str">
        <x:v>Четверг</x:v>
      </x:c>
      <x:c r="F1675" s="13" t="str">
        <x:v>Тренировка B — пальцы/проект</x:v>
      </x:c>
      <x:c r="G1675" s="44" t="n">
        <x:v>0</x:v>
      </x:c>
      <x:c r="H1675" s="44" t="n">
        <x:v>0.0020833333333333333</x:v>
      </x:c>
      <x:c r="I1675" s="32" t="n">
        <x:f>ROUND((H1675-G1675)*1440,0)</x:f>
        <x:v>3</x:v>
      </x:c>
      <x:c r="J1675" s="13" t="str">
        <x:v>Самопроверка</x:v>
      </x:c>
      <x:c r="K167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675" s="13" t="str">
        <x:v>☐ Не начато</x:v>
      </x:c>
      <x:c r="M1675" s="13" t="str">
        <x:v>Обязательно</x:v>
      </x:c>
      <x:c r="N1675" s="13" t="str">
        <x:v>Без нагрузки</x:v>
      </x:c>
      <x:c r="O1675" s="13" t="str">
        <x:v>Красный флаг = не начинать пальцевую нагрузку.</x:v>
      </x:c>
      <x:c r="P1675" s="13" t="str">
        <x:v>milestone_06_transfer_and_consolidation/week_24_2027-02-15/04_THURSDAY.md</x:v>
      </x:c>
      <x:c r="Q1675" s="138" t="str">
        <x:v>Markdown</x:v>
      </x:c>
      <x:c r="R1675" s="20" t="str"/>
    </x:row>
    <x:row r="1676" ht="36" customHeight="1">
      <x:c r="A1676" s="19" t="str">
        <x:v>W24-20270218-1675</x:v>
      </x:c>
      <x:c r="B1676" s="13" t="n">
        <x:v>24</x:v>
      </x:c>
      <x:c r="C1676" s="13" t="str">
        <x:v>Этап 6 — Перенос навыков, шестёрки и закрепление</x:v>
      </x:c>
      <x:c r="D1676" s="138" t="str">
        <x:v>2027-02-18</x:v>
      </x:c>
      <x:c r="E1676" s="13" t="str">
        <x:v>Четверг</x:v>
      </x:c>
      <x:c r="F1676" s="13" t="str">
        <x:v>Тренировка B — пальцы/проект</x:v>
      </x:c>
      <x:c r="G1676" s="44" t="n">
        <x:v>0.0020833333333333333</x:v>
      </x:c>
      <x:c r="H1676" s="44" t="n">
        <x:v>0.005555555555555556</x:v>
      </x:c>
      <x:c r="I1676" s="32" t="n">
        <x:f>ROUND((H1676-G1676)*1440,0)</x:f>
        <x:v>5</x:v>
      </x:c>
      <x:c r="J1676" s="13" t="str">
        <x:v>Разминка</x:v>
      </x:c>
      <x:c r="K1676" s="13" t="str">
        <x:v>Подними температуру: быстрая ходьба, лестница или лёгкий велотренажёр 5 минут.</x:v>
      </x:c>
      <x:c r="L1676" s="13" t="str">
        <x:v>☐ Не начато</x:v>
      </x:c>
      <x:c r="M1676" s="13" t="str">
        <x:v>Обязательно</x:v>
      </x:c>
      <x:c r="N1676" s="13" t="str">
        <x:v>RPE 2–3</x:v>
      </x:c>
      <x:c r="O1676" s="13" t="str"/>
      <x:c r="P1676" s="13" t="str">
        <x:v>milestone_06_transfer_and_consolidation/week_24_2027-02-15/04_THURSDAY.md</x:v>
      </x:c>
      <x:c r="Q1676" s="138" t="str">
        <x:v>Markdown</x:v>
      </x:c>
      <x:c r="R1676" s="20" t="str"/>
    </x:row>
    <x:row r="1677" ht="36" customHeight="1">
      <x:c r="A1677" s="19" t="str">
        <x:v>W24-20270218-1676</x:v>
      </x:c>
      <x:c r="B1677" s="13" t="n">
        <x:v>24</x:v>
      </x:c>
      <x:c r="C1677" s="13" t="str">
        <x:v>Этап 6 — Перенос навыков, шестёрки и закрепление</x:v>
      </x:c>
      <x:c r="D1677" s="138" t="str">
        <x:v>2027-02-18</x:v>
      </x:c>
      <x:c r="E1677" s="13" t="str">
        <x:v>Четверг</x:v>
      </x:c>
      <x:c r="F1677" s="13" t="str">
        <x:v>Тренировка B — пальцы/проект</x:v>
      </x:c>
      <x:c r="G1677" s="44" t="n">
        <x:v>0.005555555555555556</x:v>
      </x:c>
      <x:c r="H1677" s="44" t="n">
        <x:v>0.009027777777777777</x:v>
      </x:c>
      <x:c r="I1677" s="32" t="n">
        <x:f>ROUND((H1677-G1677)*1440,0)</x:f>
        <x:v>5</x:v>
      </x:c>
      <x:c r="J1677" s="13" t="str">
        <x:v>Разминка</x:v>
      </x:c>
      <x:c r="K167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677" s="13" t="str">
        <x:v>☐ Не начато</x:v>
      </x:c>
      <x:c r="M1677" s="13" t="str">
        <x:v>Обязательно</x:v>
      </x:c>
      <x:c r="N1677" s="13" t="str">
        <x:v>Очень легко</x:v>
      </x:c>
      <x:c r="O1677" s="13" t="str">
        <x:v>Не делай press/отжимания и движения, которые раздражают плечо.</x:v>
      </x:c>
      <x:c r="P1677" s="13" t="str">
        <x:v>milestone_06_transfer_and_consolidation/week_24_2027-02-15/04_THURSDAY.md</x:v>
      </x:c>
      <x:c r="Q1677" s="138" t="str">
        <x:v>Markdown</x:v>
      </x:c>
      <x:c r="R1677" s="20" t="str"/>
    </x:row>
    <x:row r="1678" ht="36" customHeight="1">
      <x:c r="A1678" s="19" t="str">
        <x:v>W24-20270218-1677</x:v>
      </x:c>
      <x:c r="B1678" s="13" t="n">
        <x:v>24</x:v>
      </x:c>
      <x:c r="C1678" s="13" t="str">
        <x:v>Этап 6 — Перенос навыков, шестёрки и закрепление</x:v>
      </x:c>
      <x:c r="D1678" s="138" t="str">
        <x:v>2027-02-18</x:v>
      </x:c>
      <x:c r="E1678" s="13" t="str">
        <x:v>Четверг</x:v>
      </x:c>
      <x:c r="F1678" s="13" t="str">
        <x:v>Тренировка B — пальцы/проект</x:v>
      </x:c>
      <x:c r="G1678" s="44" t="n">
        <x:v>0.009027777777777777</x:v>
      </x:c>
      <x:c r="H1678" s="44" t="n">
        <x:v>0.011805555555555555</x:v>
      </x:c>
      <x:c r="I1678" s="32" t="n">
        <x:f>ROUND((H1678-G1678)*1440,0)</x:f>
        <x:v>4</x:v>
      </x:c>
      <x:c r="J1678" s="13" t="str">
        <x:v>Разминка пальцев</x:v>
      </x:c>
      <x:c r="K167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678" s="13" t="str">
        <x:v>☐ Не начато</x:v>
      </x:c>
      <x:c r="M1678" s="13" t="str">
        <x:v>Обязательно</x:v>
      </x:c>
      <x:c r="N1678" s="13" t="str">
        <x:v>Очень легко</x:v>
      </x:c>
      <x:c r="O1678" s="13" t="str"/>
      <x:c r="P1678" s="13" t="str">
        <x:v>milestone_06_transfer_and_consolidation/week_24_2027-02-15/04_THURSDAY.md</x:v>
      </x:c>
      <x:c r="Q1678" s="138" t="str">
        <x:v>Markdown</x:v>
      </x:c>
      <x:c r="R1678" s="20" t="str"/>
    </x:row>
    <x:row r="1679" ht="36" customHeight="1">
      <x:c r="A1679" s="19" t="str">
        <x:v>W24-20270218-1678</x:v>
      </x:c>
      <x:c r="B1679" s="13" t="n">
        <x:v>24</x:v>
      </x:c>
      <x:c r="C1679" s="13" t="str">
        <x:v>Этап 6 — Перенос навыков, шестёрки и закрепление</x:v>
      </x:c>
      <x:c r="D1679" s="138" t="str">
        <x:v>2027-02-18</x:v>
      </x:c>
      <x:c r="E1679" s="13" t="str">
        <x:v>Четверг</x:v>
      </x:c>
      <x:c r="F1679" s="13" t="str">
        <x:v>Тренировка B — пальцы/проект</x:v>
      </x:c>
      <x:c r="G1679" s="44" t="n">
        <x:v>0.011805555555555555</x:v>
      </x:c>
      <x:c r="H1679" s="44" t="n">
        <x:v>0.014583333333333334</x:v>
      </x:c>
      <x:c r="I1679" s="32" t="n">
        <x:f>ROUND((H1679-G1679)*1440,0)</x:f>
        <x:v>4</x:v>
      </x:c>
      <x:c r="J1679" s="13" t="str">
        <x:v>Разминочное лазание</x:v>
      </x:c>
      <x:c r="K1679" s="13" t="str">
        <x:v>Пройди 2 очень лёгкие трассы уровня 1–2; двигайся медленно, спускайся по зацепам.</x:v>
      </x:c>
      <x:c r="L1679" s="13" t="str">
        <x:v>☐ Не начато</x:v>
      </x:c>
      <x:c r="M1679" s="13" t="str">
        <x:v>Обязательно</x:v>
      </x:c>
      <x:c r="N1679" s="13" t="str">
        <x:v>RPE 2–3</x:v>
      </x:c>
      <x:c r="O1679" s="13" t="str">
        <x:v>Финиш с обязательным болезненным mantle/press пропусти.</x:v>
      </x:c>
      <x:c r="P1679" s="13" t="str">
        <x:v>milestone_06_transfer_and_consolidation/week_24_2027-02-15/04_THURSDAY.md</x:v>
      </x:c>
      <x:c r="Q1679" s="138" t="str">
        <x:v>Markdown</x:v>
      </x:c>
      <x:c r="R1679" s="20" t="str"/>
    </x:row>
    <x:row r="1680" ht="36" customHeight="1">
      <x:c r="A1680" s="19" t="str">
        <x:v>W24-20270218-1679</x:v>
      </x:c>
      <x:c r="B1680" s="13" t="n">
        <x:v>24</x:v>
      </x:c>
      <x:c r="C1680" s="13" t="str">
        <x:v>Этап 6 — Перенос навыков, шестёрки и закрепление</x:v>
      </x:c>
      <x:c r="D1680" s="138" t="str">
        <x:v>2027-02-18</x:v>
      </x:c>
      <x:c r="E1680" s="13" t="str">
        <x:v>Четверг</x:v>
      </x:c>
      <x:c r="F1680" s="13" t="str">
        <x:v>Тренировка B — пальцы/проект</x:v>
      </x:c>
      <x:c r="G1680" s="44" t="n">
        <x:v>0.014583333333333334</x:v>
      </x:c>
      <x:c r="H1680" s="44" t="n">
        <x:v>0.017361111111111112</x:v>
      </x:c>
      <x:c r="I1680" s="32" t="n">
        <x:f>ROUND((H1680-G1680)*1440,0)</x:f>
        <x:v>4</x:v>
      </x:c>
      <x:c r="J1680" s="13" t="str">
        <x:v>Разминочное лазание</x:v>
      </x:c>
      <x:c r="K1680" s="13" t="str">
        <x:v>Пройди 2 трассы уровня 2–3, затем сделай 2–3 движения на комфортной четвёрке. Между ними 45–60 секунд.</x:v>
      </x:c>
      <x:c r="L1680" s="13" t="str">
        <x:v>☐ Не начато</x:v>
      </x:c>
      <x:c r="M1680" s="13" t="str">
        <x:v>Обязательно</x:v>
      </x:c>
      <x:c r="N1680" s="13" t="str">
        <x:v>RPE 3–4</x:v>
      </x:c>
      <x:c r="O1680" s="13" t="str">
        <x:v>Разминка не должна утомить пальцы.</x:v>
      </x:c>
      <x:c r="P1680" s="13" t="str">
        <x:v>milestone_06_transfer_and_consolidation/week_24_2027-02-15/04_THURSDAY.md</x:v>
      </x:c>
      <x:c r="Q1680" s="138" t="str">
        <x:v>Markdown</x:v>
      </x:c>
      <x:c r="R1680" s="20" t="str"/>
    </x:row>
    <x:row r="1681" ht="36" customHeight="1">
      <x:c r="A1681" s="19" t="str">
        <x:v>W24-20270218-1680</x:v>
      </x:c>
      <x:c r="B1681" s="13" t="n">
        <x:v>24</x:v>
      </x:c>
      <x:c r="C1681" s="13" t="str">
        <x:v>Этап 6 — Перенос навыков, шестёрки и закрепление</x:v>
      </x:c>
      <x:c r="D1681" s="138" t="str">
        <x:v>2027-02-18</x:v>
      </x:c>
      <x:c r="E1681" s="13" t="str">
        <x:v>Четверг</x:v>
      </x:c>
      <x:c r="F1681" s="13" t="str">
        <x:v>Тренировка B — пальцы/проект</x:v>
      </x:c>
      <x:c r="G1681" s="44" t="n">
        <x:v>0.017361111111111112</x:v>
      </x:c>
      <x:c r="H1681" s="44" t="n">
        <x:v>0.019444444444444445</x:v>
      </x:c>
      <x:c r="I1681" s="32" t="n">
        <x:f>ROUND((H1681-G1681)*1440,0)</x:f>
        <x:v>3</x:v>
      </x:c>
      <x:c r="J1681" s="13" t="str">
        <x:v>Фингерборд — готовность</x:v>
      </x:c>
      <x:c r="K1681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681" s="13" t="str">
        <x:v>☐ Не начато</x:v>
      </x:c>
      <x:c r="M1681" s="13" t="str">
        <x:v>Обязательно</x:v>
      </x:c>
      <x:c r="N1681" s="13" t="str">
        <x:v>Подготовка</x:v>
      </x:c>
      <x:c r="O1681" s="13" t="str">
        <x:v>Плечо полностью спокойно; full crimp, карманы, одна рука и допвес запрещены.</x:v>
      </x:c>
      <x:c r="P1681" s="13" t="str">
        <x:v>milestone_06_transfer_and_consolidation/week_24_2027-02-15/04_THURSDAY.md</x:v>
      </x:c>
      <x:c r="Q1681" s="138" t="str">
        <x:v>Markdown</x:v>
      </x:c>
      <x:c r="R1681" s="20" t="str"/>
    </x:row>
    <x:row r="1682" ht="36" customHeight="1">
      <x:c r="A1682" s="19" t="str">
        <x:v>W24-20270218-1681</x:v>
      </x:c>
      <x:c r="B1682" s="13" t="n">
        <x:v>24</x:v>
      </x:c>
      <x:c r="C1682" s="13" t="str">
        <x:v>Этап 6 — Перенос навыков, шестёрки и закрепление</x:v>
      </x:c>
      <x:c r="D1682" s="138" t="str">
        <x:v>2027-02-18</x:v>
      </x:c>
      <x:c r="E1682" s="13" t="str">
        <x:v>Четверг</x:v>
      </x:c>
      <x:c r="F1682" s="13" t="str">
        <x:v>Тренировка B — пальцы/проект</x:v>
      </x:c>
      <x:c r="G1682" s="44" t="n">
        <x:v>0.019444444444444445</x:v>
      </x:c>
      <x:c r="H1682" s="44" t="n">
        <x:v>0.029861111111111113</x:v>
      </x:c>
      <x:c r="I1682" s="32" t="n">
        <x:f>ROUND((H1682-G1682)*1440,0)</x:f>
        <x:v>15</x:v>
      </x:c>
      <x:c r="J1682" s="13" t="str">
        <x:v>Фингерборд</x:v>
      </x:c>
      <x:c r="K1682" s="13" t="str">
        <x:v>Выполни протокол: 4 × 7 сек только на знакомой большой кромке; иначе пропуск. Запусти таймер. Каждый вис прекращай с указанным запасом; форма кисти не меняется.</x:v>
      </x:c>
      <x:c r="L1682" s="13" t="str">
        <x:v>☐ Не начато</x:v>
      </x:c>
      <x:c r="M1682" s="13" t="str">
        <x:v>Обязательно</x:v>
      </x:c>
      <x:c r="N1682" s="13" t="str">
        <x:v>4 × 7 сек только на знакомой большой кромке; иначе пропуск</x:v>
      </x:c>
      <x:c r="O1682" s="13" t="str">
        <x:v>Острая боль, дрожь формы, падение RPE-контроля или боль плеча = закончить блок.</x:v>
      </x:c>
      <x:c r="P1682" s="13" t="str">
        <x:v>milestone_06_transfer_and_consolidation/week_24_2027-02-15/04_THURSDAY.md</x:v>
      </x:c>
      <x:c r="Q1682" s="138" t="str">
        <x:v>Markdown</x:v>
      </x:c>
      <x:c r="R1682" s="20" t="str"/>
    </x:row>
    <x:row r="1683" ht="36" customHeight="1">
      <x:c r="A1683" s="19" t="str">
        <x:v>W24-20270218-1682</x:v>
      </x:c>
      <x:c r="B1683" s="13" t="n">
        <x:v>24</x:v>
      </x:c>
      <x:c r="C1683" s="13" t="str">
        <x:v>Этап 6 — Перенос навыков, шестёрки и закрепление</x:v>
      </x:c>
      <x:c r="D1683" s="138" t="str">
        <x:v>2027-02-18</x:v>
      </x:c>
      <x:c r="E1683" s="13" t="str">
        <x:v>Четверг</x:v>
      </x:c>
      <x:c r="F1683" s="13" t="str">
        <x:v>Тренировка B — пальцы/проект</x:v>
      </x:c>
      <x:c r="G1683" s="44" t="n">
        <x:v>0.029861111111111113</x:v>
      </x:c>
      <x:c r="H1683" s="44" t="n">
        <x:v>0.03194444444444444</x:v>
      </x:c>
      <x:c r="I1683" s="32" t="n">
        <x:f>ROUND((H1683-G1683)*1440,0)</x:f>
        <x:v>3</x:v>
      </x:c>
      <x:c r="J1683" s="13" t="str">
        <x:v>Фингерборд — запись</x:v>
      </x:c>
      <x:c r="K1683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683" s="13" t="str">
        <x:v>☐ Не начато</x:v>
      </x:c>
      <x:c r="M1683" s="13" t="str">
        <x:v>Обязательно</x:v>
      </x:c>
      <x:c r="N1683" s="13" t="str">
        <x:v>Без нагрузки</x:v>
      </x:c>
      <x:c r="O1683" s="13" t="str"/>
      <x:c r="P1683" s="13" t="str">
        <x:v>milestone_06_transfer_and_consolidation/week_24_2027-02-15/04_THURSDAY.md</x:v>
      </x:c>
      <x:c r="Q1683" s="138" t="str">
        <x:v>Markdown</x:v>
      </x:c>
      <x:c r="R1683" s="20" t="str"/>
    </x:row>
    <x:row r="1684" ht="36" customHeight="1">
      <x:c r="A1684" s="19" t="str">
        <x:v>W24-20270218-1683</x:v>
      </x:c>
      <x:c r="B1684" s="13" t="n">
        <x:v>24</x:v>
      </x:c>
      <x:c r="C1684" s="13" t="str">
        <x:v>Этап 6 — Перенос навыков, шестёрки и закрепление</x:v>
      </x:c>
      <x:c r="D1684" s="138" t="str">
        <x:v>2027-02-18</x:v>
      </x:c>
      <x:c r="E1684" s="13" t="str">
        <x:v>Четверг</x:v>
      </x:c>
      <x:c r="F1684" s="13" t="str">
        <x:v>Тренировка B — пальцы/проект</x:v>
      </x:c>
      <x:c r="G1684" s="44" t="n">
        <x:v>0.03194444444444444</x:v>
      </x:c>
      <x:c r="H1684" s="44" t="n">
        <x:v>0.035416666666666666</x:v>
      </x:c>
      <x:c r="I1684" s="32" t="n">
        <x:f>ROUND((H1684-G1684)*1440,0)</x:f>
        <x:v>5</x:v>
      </x:c>
      <x:c r="J1684" s="13" t="str">
        <x:v>Отдых</x:v>
      </x:c>
      <x:c r="K1684" s="13" t="str">
        <x:v>5 минут полного отдыха: ходьба, вода, без лазания и без тестового виса.</x:v>
      </x:c>
      <x:c r="L1684" s="13" t="str">
        <x:v>☐ Не начато</x:v>
      </x:c>
      <x:c r="M1684" s="13" t="str">
        <x:v>Обязательно</x:v>
      </x:c>
      <x:c r="N1684" s="13" t="str">
        <x:v>Восстановление</x:v>
      </x:c>
      <x:c r="O1684" s="13" t="str"/>
      <x:c r="P1684" s="13" t="str">
        <x:v>milestone_06_transfer_and_consolidation/week_24_2027-02-15/04_THURSDAY.md</x:v>
      </x:c>
      <x:c r="Q1684" s="138" t="str">
        <x:v>Markdown</x:v>
      </x:c>
      <x:c r="R1684" s="20" t="str"/>
    </x:row>
    <x:row r="1685" ht="36" customHeight="1">
      <x:c r="A1685" s="19" t="str">
        <x:v>W24-20270218-1684</x:v>
      </x:c>
      <x:c r="B1685" s="13" t="n">
        <x:v>24</x:v>
      </x:c>
      <x:c r="C1685" s="13" t="str">
        <x:v>Этап 6 — Перенос навыков, шестёрки и закрепление</x:v>
      </x:c>
      <x:c r="D1685" s="138" t="str">
        <x:v>2027-02-18</x:v>
      </x:c>
      <x:c r="E1685" s="13" t="str">
        <x:v>Четверг</x:v>
      </x:c>
      <x:c r="F1685" s="13" t="str">
        <x:v>Тренировка B — пальцы/проект</x:v>
      </x:c>
      <x:c r="G1685" s="44" t="n">
        <x:v>0.035416666666666666</x:v>
      </x:c>
      <x:c r="H1685" s="44" t="n">
        <x:v>0.03819444444444445</x:v>
      </x:c>
      <x:c r="I1685" s="32" t="n">
        <x:f>ROUND((H1685-G1685)*1440,0)</x:f>
        <x:v>4</x:v>
      </x:c>
      <x:c r="J1685" s="13" t="str">
        <x:v>Выбор проекта</x:v>
      </x:c>
      <x:c r="K1685" s="13" t="str">
        <x:v>Выбери трассу по критериям недели: Если обе структурированные тренировки в Berta — одну провести в новом секторе/на непривычном угле.</x:v>
      </x:c>
      <x:c r="L1685" s="13" t="str">
        <x:v>☐ Не начато</x:v>
      </x:c>
      <x:c r="M1685" s="13" t="str">
        <x:v>Обязательно</x:v>
      </x:c>
      <x:c r="N1685" s="13" t="str">
        <x:v>Без нагрузки</x:v>
      </x:c>
      <x:c r="O1685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685" s="13" t="str">
        <x:v>milestone_06_transfer_and_consolidation/week_24_2027-02-15/04_THURSDAY.md</x:v>
      </x:c>
      <x:c r="Q1685" s="138" t="str">
        <x:v>Markdown</x:v>
      </x:c>
      <x:c r="R1685" s="20" t="str"/>
    </x:row>
    <x:row r="1686" ht="36" customHeight="1">
      <x:c r="A1686" s="19" t="str">
        <x:v>W24-20270218-1685</x:v>
      </x:c>
      <x:c r="B1686" s="13" t="n">
        <x:v>24</x:v>
      </x:c>
      <x:c r="C1686" s="13" t="str">
        <x:v>Этап 6 — Перенос навыков, шестёрки и закрепление</x:v>
      </x:c>
      <x:c r="D1686" s="138" t="str">
        <x:v>2027-02-18</x:v>
      </x:c>
      <x:c r="E1686" s="13" t="str">
        <x:v>Четверг</x:v>
      </x:c>
      <x:c r="F1686" s="13" t="str">
        <x:v>Тренировка B — пальцы/проект</x:v>
      </x:c>
      <x:c r="G1686" s="44" t="n">
        <x:v>0.03819444444444445</x:v>
      </x:c>
      <x:c r="H1686" s="44" t="n">
        <x:v>0.041666666666666664</x:v>
      </x:c>
      <x:c r="I1686" s="32" t="n">
        <x:f>ROUND((H1686-G1686)*1440,0)</x:f>
        <x:v>5</x:v>
      </x:c>
      <x:c r="J1686" s="13" t="str">
        <x:v>Проект — попытка 1</x:v>
      </x:c>
      <x:c r="K1686" s="13" t="str">
        <x:v>Сделай первую полную диагностическую попытку. После падения не повторяй сразу: назови точную причину.</x:v>
      </x:c>
      <x:c r="L1686" s="13" t="str">
        <x:v>☐ Не начато</x:v>
      </x:c>
      <x:c r="M1686" s="13" t="str">
        <x:v>Обязательно</x:v>
      </x:c>
      <x:c r="N1686" s="13" t="str">
        <x:v>RPE 7–8</x:v>
      </x:c>
      <x:c r="O1686" s="13" t="str">
        <x:v>Прекратить движение при боли, а не после падения.</x:v>
      </x:c>
      <x:c r="P1686" s="13" t="str">
        <x:v>milestone_06_transfer_and_consolidation/week_24_2027-02-15/04_THURSDAY.md</x:v>
      </x:c>
      <x:c r="Q1686" s="138" t="str">
        <x:v>Markdown</x:v>
      </x:c>
      <x:c r="R1686" s="20" t="str"/>
    </x:row>
    <x:row r="1687" ht="36" customHeight="1">
      <x:c r="A1687" s="19" t="str">
        <x:v>W24-20270218-1686</x:v>
      </x:c>
      <x:c r="B1687" s="13" t="n">
        <x:v>24</x:v>
      </x:c>
      <x:c r="C1687" s="13" t="str">
        <x:v>Этап 6 — Перенос навыков, шестёрки и закрепление</x:v>
      </x:c>
      <x:c r="D1687" s="138" t="str">
        <x:v>2027-02-18</x:v>
      </x:c>
      <x:c r="E1687" s="13" t="str">
        <x:v>Четверг</x:v>
      </x:c>
      <x:c r="F1687" s="13" t="str">
        <x:v>Тренировка B — пальцы/проект</x:v>
      </x:c>
      <x:c r="G1687" s="44" t="n">
        <x:v>0.041666666666666664</x:v>
      </x:c>
      <x:c r="H1687" s="44" t="n">
        <x:v>0.04513888888888889</x:v>
      </x:c>
      <x:c r="I1687" s="32" t="n">
        <x:f>ROUND((H1687-G1687)*1440,0)</x:f>
        <x:v>5</x:v>
      </x:c>
      <x:c r="J1687" s="13" t="str">
        <x:v>Отдых / гипотеза</x:v>
      </x:c>
      <x:c r="K1687" s="13" t="str">
        <x:v>Отдых 4–5 минут. Запиши одну гипотезу: стопа, положение таза, хват или темп.</x:v>
      </x:c>
      <x:c r="L1687" s="13" t="str">
        <x:v>☐ Не начато</x:v>
      </x:c>
      <x:c r="M1687" s="13" t="str">
        <x:v>Обязательно</x:v>
      </x:c>
      <x:c r="N1687" s="13" t="str">
        <x:v>Восстановление</x:v>
      </x:c>
      <x:c r="O1687" s="13" t="str"/>
      <x:c r="P1687" s="13" t="str">
        <x:v>milestone_06_transfer_and_consolidation/week_24_2027-02-15/04_THURSDAY.md</x:v>
      </x:c>
      <x:c r="Q1687" s="138" t="str">
        <x:v>Markdown</x:v>
      </x:c>
      <x:c r="R1687" s="20" t="str"/>
    </x:row>
    <x:row r="1688" ht="36" customHeight="1">
      <x:c r="A1688" s="19" t="str">
        <x:v>W24-20270218-1687</x:v>
      </x:c>
      <x:c r="B1688" s="13" t="n">
        <x:v>24</x:v>
      </x:c>
      <x:c r="C1688" s="13" t="str">
        <x:v>Этап 6 — Перенос навыков, шестёрки и закрепление</x:v>
      </x:c>
      <x:c r="D1688" s="138" t="str">
        <x:v>2027-02-18</x:v>
      </x:c>
      <x:c r="E1688" s="13" t="str">
        <x:v>Четверг</x:v>
      </x:c>
      <x:c r="F1688" s="13" t="str">
        <x:v>Тренировка B — пальцы/проект</x:v>
      </x:c>
      <x:c r="G1688" s="44" t="n">
        <x:v>0.04513888888888889</x:v>
      </x:c>
      <x:c r="H1688" s="44" t="n">
        <x:v>0.049305555555555554</x:v>
      </x:c>
      <x:c r="I1688" s="32" t="n">
        <x:f>ROUND((H1688-G1688)*1440,0)</x:f>
        <x:v>6</x:v>
      </x:c>
      <x:c r="J1688" s="13" t="str">
        <x:v>Проект — попытки 2–3</x:v>
      </x:c>
      <x:c r="K1688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688" s="13" t="str">
        <x:v>☐ Не начато</x:v>
      </x:c>
      <x:c r="M1688" s="13" t="str">
        <x:v>Обязательно</x:v>
      </x:c>
      <x:c r="N1688" s="13" t="str">
        <x:v>RPE 7–8, без отказа</x:v>
      </x:c>
      <x:c r="O1688" s="13" t="str">
        <x:v>Не смотреть beta заранее: сначала собственная гипотеза.</x:v>
      </x:c>
      <x:c r="P1688" s="13" t="str">
        <x:v>milestone_06_transfer_and_consolidation/week_24_2027-02-15/04_THURSDAY.md</x:v>
      </x:c>
      <x:c r="Q1688" s="138" t="str">
        <x:v>Markdown</x:v>
      </x:c>
      <x:c r="R1688" s="20" t="str"/>
    </x:row>
    <x:row r="1689" ht="36" customHeight="1">
      <x:c r="A1689" s="19" t="str">
        <x:v>W24-20270218-1688</x:v>
      </x:c>
      <x:c r="B1689" s="13" t="n">
        <x:v>24</x:v>
      </x:c>
      <x:c r="C1689" s="13" t="str">
        <x:v>Этап 6 — Перенос навыков, шестёрки и закрепление</x:v>
      </x:c>
      <x:c r="D1689" s="138" t="str">
        <x:v>2027-02-18</x:v>
      </x:c>
      <x:c r="E1689" s="13" t="str">
        <x:v>Четверг</x:v>
      </x:c>
      <x:c r="F1689" s="13" t="str">
        <x:v>Тренировка B — пальцы/проект</x:v>
      </x:c>
      <x:c r="G1689" s="44" t="n">
        <x:v>0.049305555555555554</x:v>
      </x:c>
      <x:c r="H1689" s="44" t="n">
        <x:v>0.05277777777777778</x:v>
      </x:c>
      <x:c r="I1689" s="32" t="n">
        <x:f>ROUND((H1689-G1689)*1440,0)</x:f>
        <x:v>5</x:v>
      </x:c>
      <x:c r="J1689" s="13" t="str">
        <x:v>Проект — заключительная попытка</x:v>
      </x:c>
      <x:c r="K1689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689" s="13" t="str">
        <x:v>☐ Не начато</x:v>
      </x:c>
      <x:c r="M1689" s="13" t="str">
        <x:v>Обязательно</x:v>
      </x:c>
      <x:c r="N1689" s="13" t="str">
        <x:v>RPE 8, с запасом</x:v>
      </x:c>
      <x:c r="O1689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689" s="13" t="str">
        <x:v>milestone_06_transfer_and_consolidation/week_24_2027-02-15/04_THURSDAY.md</x:v>
      </x:c>
      <x:c r="Q1689" s="138" t="str">
        <x:v>Markdown</x:v>
      </x:c>
      <x:c r="R1689" s="20" t="str"/>
    </x:row>
    <x:row r="1690" ht="36" customHeight="1">
      <x:c r="A1690" s="19" t="str">
        <x:v>W24-20270218-1689</x:v>
      </x:c>
      <x:c r="B1690" s="13" t="n">
        <x:v>24</x:v>
      </x:c>
      <x:c r="C1690" s="13" t="str">
        <x:v>Этап 6 — Перенос навыков, шестёрки и закрепление</x:v>
      </x:c>
      <x:c r="D1690" s="138" t="str">
        <x:v>2027-02-18</x:v>
      </x:c>
      <x:c r="E1690" s="13" t="str">
        <x:v>Четверг</x:v>
      </x:c>
      <x:c r="F1690" s="13" t="str">
        <x:v>Тренировка B — пальцы/проект</x:v>
      </x:c>
      <x:c r="G1690" s="44" t="n">
        <x:v>0.05277777777777778</x:v>
      </x:c>
      <x:c r="H1690" s="44" t="n">
        <x:v>0.05763888888888889</x:v>
      </x:c>
      <x:c r="I1690" s="32" t="n">
        <x:f>ROUND((H1690-G1690)*1440,0)</x:f>
        <x:v>7</x:v>
      </x:c>
      <x:c r="J1690" s="13" t="str">
        <x:v>Вторичная трасса</x:v>
      </x:c>
      <x:c r="K1690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690" s="13" t="str">
        <x:v>☐ Не начато</x:v>
      </x:c>
      <x:c r="M1690" s="13" t="str">
        <x:v>Обязательно</x:v>
      </x:c>
      <x:c r="N1690" s="13" t="str">
        <x:v>RPE 5–7</x:v>
      </x:c>
      <x:c r="O1690" s="13" t="str">
        <x:v>Пропустить, если хват уже просел.</x:v>
      </x:c>
      <x:c r="P1690" s="13" t="str">
        <x:v>milestone_06_transfer_and_consolidation/week_24_2027-02-15/04_THURSDAY.md</x:v>
      </x:c>
      <x:c r="Q1690" s="138" t="str">
        <x:v>Markdown</x:v>
      </x:c>
      <x:c r="R1690" s="20" t="str"/>
    </x:row>
    <x:row r="1691" ht="36" customHeight="1">
      <x:c r="A1691" s="19" t="str">
        <x:v>W24-20270218-1690</x:v>
      </x:c>
      <x:c r="B1691" s="13" t="n">
        <x:v>24</x:v>
      </x:c>
      <x:c r="C1691" s="13" t="str">
        <x:v>Этап 6 — Перенос навыков, шестёрки и закрепление</x:v>
      </x:c>
      <x:c r="D1691" s="138" t="str">
        <x:v>2027-02-18</x:v>
      </x:c>
      <x:c r="E1691" s="13" t="str">
        <x:v>Четверг</x:v>
      </x:c>
      <x:c r="F1691" s="13" t="str">
        <x:v>Тренировка B — пальцы/проект</x:v>
      </x:c>
      <x:c r="G1691" s="44" t="n">
        <x:v>0.05763888888888889</x:v>
      </x:c>
      <x:c r="H1691" s="44" t="n">
        <x:v>0.06041666666666667</x:v>
      </x:c>
      <x:c r="I1691" s="32" t="n">
        <x:f>ROUND((H1691-G1691)*1440,0)</x:f>
        <x:v>4</x:v>
      </x:c>
      <x:c r="J1691" s="13" t="str">
        <x:v>Завершение</x:v>
      </x:c>
      <x:c r="K1691" s="13" t="str">
        <x:v>Очень лёгкий спуск/ходьба, вода, никаких финишных висов.</x:v>
      </x:c>
      <x:c r="L1691" s="13" t="str">
        <x:v>☐ Не начато</x:v>
      </x:c>
      <x:c r="M1691" s="13" t="str">
        <x:v>Обязательно</x:v>
      </x:c>
      <x:c r="N1691" s="13" t="str">
        <x:v>RPE 1–2</x:v>
      </x:c>
      <x:c r="O1691" s="13" t="str"/>
      <x:c r="P1691" s="13" t="str">
        <x:v>milestone_06_transfer_and_consolidation/week_24_2027-02-15/04_THURSDAY.md</x:v>
      </x:c>
      <x:c r="Q1691" s="138" t="str">
        <x:v>Markdown</x:v>
      </x:c>
      <x:c r="R1691" s="20" t="str"/>
    </x:row>
    <x:row r="1692" ht="36" customHeight="1">
      <x:c r="A1692" s="19" t="str">
        <x:v>W24-20270218-1691</x:v>
      </x:c>
      <x:c r="B1692" s="13" t="n">
        <x:v>24</x:v>
      </x:c>
      <x:c r="C1692" s="13" t="str">
        <x:v>Этап 6 — Перенос навыков, шестёрки и закрепление</x:v>
      </x:c>
      <x:c r="D1692" s="138" t="str">
        <x:v>2027-02-18</x:v>
      </x:c>
      <x:c r="E1692" s="13" t="str">
        <x:v>Четверг</x:v>
      </x:c>
      <x:c r="F1692" s="13" t="str">
        <x:v>Тренировка B — пальцы/проект</x:v>
      </x:c>
      <x:c r="G1692" s="44" t="n">
        <x:v>0.06041666666666667</x:v>
      </x:c>
      <x:c r="H1692" s="44" t="n">
        <x:v>0.0625</x:v>
      </x:c>
      <x:c r="I1692" s="32" t="n">
        <x:f>ROUND((H1692-G1692)*1440,0)</x:f>
        <x:v>3</x:v>
      </x:c>
      <x:c r="J1692" s="13" t="str">
        <x:v>Журнал</x:v>
      </x:c>
      <x:c r="K1692" s="13" t="str">
        <x:v>Запиши попытки, лучшую связку, одну правку и benchmark: Отметить, какие навыки перенеслись, а какие были привязаны к знакомому сеттингу.</x:v>
      </x:c>
      <x:c r="L1692" s="13" t="str">
        <x:v>☐ Не начато</x:v>
      </x:c>
      <x:c r="M1692" s="13" t="str">
        <x:v>Обязательно</x:v>
      </x:c>
      <x:c r="N1692" s="13" t="str">
        <x:v>Без нагрузки</x:v>
      </x:c>
      <x:c r="O1692" s="13" t="str"/>
      <x:c r="P1692" s="13" t="str">
        <x:v>milestone_06_transfer_and_consolidation/week_24_2027-02-15/04_THURSDAY.md</x:v>
      </x:c>
      <x:c r="Q1692" s="138" t="str">
        <x:v>Markdown</x:v>
      </x:c>
      <x:c r="R1692" s="20" t="str"/>
    </x:row>
    <x:row r="1693" ht="36" customHeight="1">
      <x:c r="A1693" s="19" t="str">
        <x:v>W24-20270219-1692</x:v>
      </x:c>
      <x:c r="B1693" s="13" t="n">
        <x:v>24</x:v>
      </x:c>
      <x:c r="C1693" s="13" t="str">
        <x:v>Этап 6 — Перенос навыков, шестёрки и закрепление</x:v>
      </x:c>
      <x:c r="D1693" s="138" t="str">
        <x:v>2027-02-19</x:v>
      </x:c>
      <x:c r="E1693" s="13" t="str">
        <x:v>Пятница</x:v>
      </x:c>
      <x:c r="F1693" s="13" t="str">
        <x:v>Дом / теория</x:v>
      </x:c>
      <x:c r="G1693" s="44" t="n">
        <x:v>0</x:v>
      </x:c>
      <x:c r="H1693" s="44" t="n">
        <x:v>0.0020833333333333333</x:v>
      </x:c>
      <x:c r="I1693" s="32" t="n">
        <x:f>ROUND((H1693-G1693)*1440,0)</x:f>
        <x:v>3</x:v>
      </x:c>
      <x:c r="J1693" s="13" t="str">
        <x:v>Самопроверка</x:v>
      </x:c>
      <x:c r="K1693" s="13" t="str">
        <x:v>Оцени утреннюю реакцию после четверга: пальцы/плечо/колено 0–10. Запиши, восстановилась ли обычная сила кисти.</x:v>
      </x:c>
      <x:c r="L1693" s="13" t="str">
        <x:v>☐ Не начато</x:v>
      </x:c>
      <x:c r="M1693" s="13" t="str">
        <x:v>Обязательно</x:v>
      </x:c>
      <x:c r="N1693" s="13" t="str">
        <x:v>Без нагрузки</x:v>
      </x:c>
      <x:c r="O1693" s="13" t="str">
        <x:v>Острая локальная боль пальца или усилившаяся боль плеча = воскресенье только восстановительное.</x:v>
      </x:c>
      <x:c r="P1693" s="13" t="str">
        <x:v>milestone_06_transfer_and_consolidation/week_24_2027-02-15/05_FRIDAY.md</x:v>
      </x:c>
      <x:c r="Q1693" s="138" t="str">
        <x:v>Markdown</x:v>
      </x:c>
      <x:c r="R1693" s="20" t="str"/>
    </x:row>
    <x:row r="1694" ht="36" customHeight="1">
      <x:c r="A1694" s="19" t="str">
        <x:v>W24-20270219-1693</x:v>
      </x:c>
      <x:c r="B1694" s="13" t="n">
        <x:v>24</x:v>
      </x:c>
      <x:c r="C1694" s="13" t="str">
        <x:v>Этап 6 — Перенос навыков, шестёрки и закрепление</x:v>
      </x:c>
      <x:c r="D1694" s="138" t="str">
        <x:v>2027-02-19</x:v>
      </x:c>
      <x:c r="E1694" s="13" t="str">
        <x:v>Пятница</x:v>
      </x:c>
      <x:c r="F1694" s="13" t="str">
        <x:v>Дом / теория</x:v>
      </x:c>
      <x:c r="G1694" s="44" t="n">
        <x:v>0.0020833333333333333</x:v>
      </x:c>
      <x:c r="H1694" s="44" t="n">
        <x:v>0.007638888888888889</x:v>
      </x:c>
      <x:c r="I1694" s="32" t="n">
        <x:f>ROUND((H1694-G1694)*1440,0)</x:f>
        <x:v>8</x:v>
      </x:c>
      <x:c r="J1694" s="13" t="str">
        <x:v>Теория</x:v>
      </x:c>
      <x:c r="K1694" s="13" t="str">
        <x:v>Посмотри/прочитай второй ресурс недели: [R05: BMC — Listening to your body when training for climbing](https://www.thebmc.co.uk/en/listening-to-your-body-when-training-for-climbing-video). Задача: Правила остановки, различие обычной усталости и тревожных ощущений.</x:v>
      </x:c>
      <x:c r="L1694" s="13" t="str">
        <x:v>☐ Не начато</x:v>
      </x:c>
      <x:c r="M1694" s="13" t="str">
        <x:v>Обязательно</x:v>
      </x:c>
      <x:c r="N1694" s="13" t="str">
        <x:v>Без нагрузки</x:v>
      </x:c>
      <x:c r="O1694" s="13" t="str"/>
      <x:c r="P1694" s="13" t="str">
        <x:v>milestone_06_transfer_and_consolidation/week_24_2027-02-15/05_FRIDAY.md</x:v>
      </x:c>
      <x:c r="Q1694" s="138" t="str">
        <x:v>Markdown</x:v>
      </x:c>
      <x:c r="R1694" s="20" t="str"/>
    </x:row>
    <x:row r="1695" ht="36" customHeight="1">
      <x:c r="A1695" s="19" t="str">
        <x:v>W24-20270219-1694</x:v>
      </x:c>
      <x:c r="B1695" s="13" t="n">
        <x:v>24</x:v>
      </x:c>
      <x:c r="C1695" s="13" t="str">
        <x:v>Этап 6 — Перенос навыков, шестёрки и закрепление</x:v>
      </x:c>
      <x:c r="D1695" s="138" t="str">
        <x:v>2027-02-19</x:v>
      </x:c>
      <x:c r="E1695" s="13" t="str">
        <x:v>Пятница</x:v>
      </x:c>
      <x:c r="F1695" s="13" t="str">
        <x:v>Дом / теория</x:v>
      </x:c>
      <x:c r="G1695" s="44" t="n">
        <x:v>0.007638888888888889</x:v>
      </x:c>
      <x:c r="H1695" s="44" t="n">
        <x:v>0.011805555555555555</x:v>
      </x:c>
      <x:c r="I1695" s="32" t="n">
        <x:f>ROUND((H1695-G1695)*1440,0)</x:f>
        <x:v>6</x:v>
      </x:c>
      <x:c r="J1695" s="13" t="str">
        <x:v>Ментальная репетиция</x:v>
      </x:c>
      <x:c r="K1695" s="13" t="str">
        <x:v>Закрой глаза и 3 раза мысленно пройди одну рабочую трассу: руки → ноги → положение таза → дыхание. Визуализируй cue «Оцени трассу по вероятности прохода, а не пытайся напрямую переводить цифру другого зала.».</x:v>
      </x:c>
      <x:c r="L1695" s="13" t="str">
        <x:v>☐ Не начато</x:v>
      </x:c>
      <x:c r="M1695" s="13" t="str">
        <x:v>Обязательно</x:v>
      </x:c>
      <x:c r="N1695" s="13" t="str">
        <x:v>Без нагрузки</x:v>
      </x:c>
      <x:c r="O1695" s="13" t="str"/>
      <x:c r="P1695" s="13" t="str">
        <x:v>milestone_06_transfer_and_consolidation/week_24_2027-02-15/05_FRIDAY.md</x:v>
      </x:c>
      <x:c r="Q1695" s="138" t="str">
        <x:v>Markdown</x:v>
      </x:c>
      <x:c r="R1695" s="20" t="str"/>
    </x:row>
    <x:row r="1696" ht="36" customHeight="1">
      <x:c r="A1696" s="19" t="str">
        <x:v>W24-20270219-1695</x:v>
      </x:c>
      <x:c r="B1696" s="13" t="n">
        <x:v>24</x:v>
      </x:c>
      <x:c r="C1696" s="13" t="str">
        <x:v>Этап 6 — Перенос навыков, шестёрки и закрепление</x:v>
      </x:c>
      <x:c r="D1696" s="138" t="str">
        <x:v>2027-02-19</x:v>
      </x:c>
      <x:c r="E1696" s="13" t="str">
        <x:v>Пятница</x:v>
      </x:c>
      <x:c r="F1696" s="13" t="str">
        <x:v>Дом / теория</x:v>
      </x:c>
      <x:c r="G1696" s="44" t="n">
        <x:v>0.011805555555555555</x:v>
      </x:c>
      <x:c r="H1696" s="44" t="n">
        <x:v>0.02013888888888889</x:v>
      </x:c>
      <x:c r="I1696" s="32" t="n">
        <x:f>ROUND((H1696-G1696)*1440,0)</x:f>
        <x:v>12</x:v>
      </x:c>
      <x:c r="J1696" s="13" t="str">
        <x:v>Домашняя мобильность</x:v>
      </x:c>
      <x:c r="K1696" s="13" t="str">
        <x:v>Выполни H3 «Мобильность таза и контроль корпуса» — 12 минут.</x:v>
      </x:c>
      <x:c r="L1696" s="13" t="str">
        <x:v>☐ Не начато</x:v>
      </x:c>
      <x:c r="M1696" s="13" t="str">
        <x:v>Обязательно</x:v>
      </x:c>
      <x:c r="N1696" s="13" t="str">
        <x:v>RPE 2–3</x:v>
      </x:c>
      <x:c r="O1696" s="13" t="str">
        <x:v>Никаких скручиваний через боль. Плечом не отталкивайся от стены; касание только для равновесия.</x:v>
      </x:c>
      <x:c r="P1696" s="13" t="str">
        <x:v>milestone_06_transfer_and_consolidation/week_24_2027-02-15/05_FRIDAY.md</x:v>
      </x:c>
      <x:c r="Q1696" s="138" t="str">
        <x:v>Markdown</x:v>
      </x:c>
      <x:c r="R1696" s="20" t="str"/>
    </x:row>
    <x:row r="1697" ht="36" customHeight="1">
      <x:c r="A1697" s="19" t="str">
        <x:v>W24-20270219-1696</x:v>
      </x:c>
      <x:c r="B1697" s="13" t="n">
        <x:v>24</x:v>
      </x:c>
      <x:c r="C1697" s="13" t="str">
        <x:v>Этап 6 — Перенос навыков, шестёрки и закрепление</x:v>
      </x:c>
      <x:c r="D1697" s="138" t="str">
        <x:v>2027-02-19</x:v>
      </x:c>
      <x:c r="E1697" s="13" t="str">
        <x:v>Пятница</x:v>
      </x:c>
      <x:c r="F1697" s="13" t="str">
        <x:v>Дом / теория</x:v>
      </x:c>
      <x:c r="G1697" s="44" t="n">
        <x:v>0.02013888888888889</x:v>
      </x:c>
      <x:c r="H1697" s="44" t="n">
        <x:v>0.034027777777777775</x:v>
      </x:c>
      <x:c r="I1697" s="32" t="n">
        <x:f>ROUND((H1697-G1697)*1440,0)</x:f>
        <x:v>20</x:v>
      </x:c>
      <x:c r="J1697" s="13" t="str">
        <x:v>Физиотерапия</x:v>
      </x:c>
      <x:c r="K1697" s="13" t="str">
        <x:v>Выполни свой назначенный комплекс, если пятница входит в расписание физиотерапевта.</x:v>
      </x:c>
      <x:c r="L1697" s="13" t="str">
        <x:v>☐ Не начато</x:v>
      </x:c>
      <x:c r="M1697" s="13" t="str">
        <x:v>По назначению</x:v>
      </x:c>
      <x:c r="N1697" s="13" t="str">
        <x:v>По назначению</x:v>
      </x:c>
      <x:c r="O1697" s="13" t="str">
        <x:v>Не добавляй упражнения из интернета поверх назначений.</x:v>
      </x:c>
      <x:c r="P1697" s="13" t="str">
        <x:v>milestone_06_transfer_and_consolidation/week_24_2027-02-15/05_FRIDAY.md</x:v>
      </x:c>
      <x:c r="Q1697" s="138" t="str">
        <x:v>Markdown</x:v>
      </x:c>
      <x:c r="R1697" s="20" t="str"/>
    </x:row>
    <x:row r="1698" ht="36" customHeight="1">
      <x:c r="A1698" s="19" t="str">
        <x:v>W24-20270219-1697</x:v>
      </x:c>
      <x:c r="B1698" s="13" t="n">
        <x:v>24</x:v>
      </x:c>
      <x:c r="C1698" s="13" t="str">
        <x:v>Этап 6 — Перенос навыков, шестёрки и закрепление</x:v>
      </x:c>
      <x:c r="D1698" s="138" t="str">
        <x:v>2027-02-19</x:v>
      </x:c>
      <x:c r="E1698" s="13" t="str">
        <x:v>Пятница</x:v>
      </x:c>
      <x:c r="F1698" s="13" t="str">
        <x:v>Дом / теория</x:v>
      </x:c>
      <x:c r="G1698" s="44" t="n">
        <x:v>0.034027777777777775</x:v>
      </x:c>
      <x:c r="H1698" s="44" t="n">
        <x:v>0.03680555555555556</x:v>
      </x:c>
      <x:c r="I1698" s="32" t="n">
        <x:f>ROUND((H1698-G1698)*1440,0)</x:f>
        <x:v>4</x:v>
      </x:c>
      <x:c r="J1698" s="13" t="str">
        <x:v>Журнал</x:v>
      </x:c>
      <x:c r="K1698" s="13" t="str">
        <x:v>Запиши одну вещь, которая сработала на этой неделе, и одну, которую повторишь в воскресенье на лёгкой трассе.</x:v>
      </x:c>
      <x:c r="L1698" s="13" t="str">
        <x:v>☐ Не начато</x:v>
      </x:c>
      <x:c r="M1698" s="13" t="str">
        <x:v>Обязательно</x:v>
      </x:c>
      <x:c r="N1698" s="13" t="str">
        <x:v>Без нагрузки</x:v>
      </x:c>
      <x:c r="O1698" s="13" t="str"/>
      <x:c r="P1698" s="13" t="str">
        <x:v>milestone_06_transfer_and_consolidation/week_24_2027-02-15/05_FRIDAY.md</x:v>
      </x:c>
      <x:c r="Q1698" s="138" t="str">
        <x:v>Markdown</x:v>
      </x:c>
      <x:c r="R1698" s="20" t="str"/>
    </x:row>
    <x:row r="1699" ht="36" customHeight="1">
      <x:c r="A1699" s="19" t="str">
        <x:v>W24-20270219-1698</x:v>
      </x:c>
      <x:c r="B1699" s="13" t="n">
        <x:v>24</x:v>
      </x:c>
      <x:c r="C1699" s="13" t="str">
        <x:v>Этап 6 — Перенос навыков, шестёрки и закрепление</x:v>
      </x:c>
      <x:c r="D1699" s="138" t="str">
        <x:v>2027-02-19</x:v>
      </x:c>
      <x:c r="E1699" s="13" t="str">
        <x:v>Пятница</x:v>
      </x:c>
      <x:c r="F1699" s="13" t="str">
        <x:v>Дом / теория</x:v>
      </x:c>
      <x:c r="G1699" s="44" t="n">
        <x:v>0.03680555555555556</x:v>
      </x:c>
      <x:c r="H1699" s="44" t="n">
        <x:v>0.03888888888888889</x:v>
      </x:c>
      <x:c r="I1699" s="32" t="n">
        <x:f>ROUND((H1699-G1699)*1440,0)</x:f>
        <x:v>3</x:v>
      </x:c>
      <x:c r="J1699" s="13" t="str">
        <x:v>Запрет лишней нагрузки</x:v>
      </x:c>
      <x:c r="K1699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699" s="13" t="str">
        <x:v>☐ Не начато</x:v>
      </x:c>
      <x:c r="M1699" s="13" t="str">
        <x:v>Обязательно</x:v>
      </x:c>
      <x:c r="N1699" s="13" t="str">
        <x:v>Восстановление</x:v>
      </x:c>
      <x:c r="O1699" s="13" t="str">
        <x:v>Общая пальцевая нагрузка уже получена в четверг.</x:v>
      </x:c>
      <x:c r="P1699" s="13" t="str">
        <x:v>milestone_06_transfer_and_consolidation/week_24_2027-02-15/05_FRIDAY.md</x:v>
      </x:c>
      <x:c r="Q1699" s="138" t="str">
        <x:v>Markdown</x:v>
      </x:c>
      <x:c r="R1699" s="20" t="str"/>
    </x:row>
    <x:row r="1700" ht="36" customHeight="1">
      <x:c r="A1700" s="19" t="str">
        <x:v>W24-20270220-1699</x:v>
      </x:c>
      <x:c r="B1700" s="13" t="n">
        <x:v>24</x:v>
      </x:c>
      <x:c r="C1700" s="13" t="str">
        <x:v>Этап 6 — Перенос навыков, шестёрки и закрепление</x:v>
      </x:c>
      <x:c r="D1700" s="138" t="str">
        <x:v>2027-02-20</x:v>
      </x:c>
      <x:c r="E1700" s="13" t="str">
        <x:v>Суббота</x:v>
      </x:c>
      <x:c r="F1700" s="13" t="str">
        <x:v>Отдых / подготовка</x:v>
      </x:c>
      <x:c r="G1700" s="44" t="n">
        <x:v>0</x:v>
      </x:c>
      <x:c r="H1700" s="44" t="n">
        <x:v>0.003472222222222222</x:v>
      </x:c>
      <x:c r="I1700" s="32" t="n">
        <x:f>ROUND((H1700-G1700)*1440,0)</x:f>
        <x:v>5</x:v>
      </x:c>
      <x:c r="J1700" s="13" t="str">
        <x:v>Самопроверка</x:v>
      </x:c>
      <x:c r="K1700" s="13" t="str">
        <x:v>Проверь кожу пальцев, ногти, плечо и колено. Никаких тестовых висов.</x:v>
      </x:c>
      <x:c r="L1700" s="13" t="str">
        <x:v>☐ Не начато</x:v>
      </x:c>
      <x:c r="M1700" s="13" t="str">
        <x:v>Обязательно</x:v>
      </x:c>
      <x:c r="N1700" s="13" t="str">
        <x:v>Восстановление</x:v>
      </x:c>
      <x:c r="O1700" s="13" t="str"/>
      <x:c r="P1700" s="13" t="str">
        <x:v>milestone_06_transfer_and_consolidation/week_24_2027-02-15/06_SATURDAY.md</x:v>
      </x:c>
      <x:c r="Q1700" s="138" t="str">
        <x:v>Markdown</x:v>
      </x:c>
      <x:c r="R1700" s="20" t="str"/>
    </x:row>
    <x:row r="1701" ht="36" customHeight="1">
      <x:c r="A1701" s="19" t="str">
        <x:v>W24-20270220-1700</x:v>
      </x:c>
      <x:c r="B1701" s="13" t="n">
        <x:v>24</x:v>
      </x:c>
      <x:c r="C1701" s="13" t="str">
        <x:v>Этап 6 — Перенос навыков, шестёрки и закрепление</x:v>
      </x:c>
      <x:c r="D1701" s="138" t="str">
        <x:v>2027-02-20</x:v>
      </x:c>
      <x:c r="E1701" s="13" t="str">
        <x:v>Суббота</x:v>
      </x:c>
      <x:c r="F1701" s="13" t="str">
        <x:v>Отдых / подготовка</x:v>
      </x:c>
      <x:c r="G1701" s="44" t="n">
        <x:v>0.003472222222222222</x:v>
      </x:c>
      <x:c r="H1701" s="44" t="n">
        <x:v>0.010416666666666666</x:v>
      </x:c>
      <x:c r="I1701" s="32" t="n">
        <x:f>ROUND((H1701-G1701)*1440,0)</x:f>
        <x:v>10</x:v>
      </x:c>
      <x:c r="J1701" s="13" t="str">
        <x:v>Активное восстановление</x:v>
      </x:c>
      <x:c r="K1701" s="13" t="str">
        <x:v>10 минут лёгкой прогулки или бытовой активности. Цель — восстановление, не тренировка.</x:v>
      </x:c>
      <x:c r="L1701" s="13" t="str">
        <x:v>☐ Не начато</x:v>
      </x:c>
      <x:c r="M1701" s="13" t="str">
        <x:v>Обязательно</x:v>
      </x:c>
      <x:c r="N1701" s="13" t="str">
        <x:v>RPE 1–2</x:v>
      </x:c>
      <x:c r="O1701" s="13" t="str"/>
      <x:c r="P1701" s="13" t="str">
        <x:v>milestone_06_transfer_and_consolidation/week_24_2027-02-15/06_SATURDAY.md</x:v>
      </x:c>
      <x:c r="Q1701" s="138" t="str">
        <x:v>Markdown</x:v>
      </x:c>
      <x:c r="R1701" s="20" t="str"/>
    </x:row>
    <x:row r="1702" ht="36" customHeight="1">
      <x:c r="A1702" s="19" t="str">
        <x:v>W24-20270220-1701</x:v>
      </x:c>
      <x:c r="B1702" s="13" t="n">
        <x:v>24</x:v>
      </x:c>
      <x:c r="C1702" s="13" t="str">
        <x:v>Этап 6 — Перенос навыков, шестёрки и закрепление</x:v>
      </x:c>
      <x:c r="D1702" s="138" t="str">
        <x:v>2027-02-20</x:v>
      </x:c>
      <x:c r="E1702" s="13" t="str">
        <x:v>Суббота</x:v>
      </x:c>
      <x:c r="F1702" s="13" t="str">
        <x:v>Отдых / подготовка</x:v>
      </x:c>
      <x:c r="G1702" s="44" t="n">
        <x:v>0.010416666666666666</x:v>
      </x:c>
      <x:c r="H1702" s="44" t="n">
        <x:v>0.013888888888888888</x:v>
      </x:c>
      <x:c r="I1702" s="32" t="n">
        <x:f>ROUND((H1702-G1702)*1440,0)</x:f>
        <x:v>5</x:v>
      </x:c>
      <x:c r="J1702" s="13" t="str">
        <x:v>Уход за кожей</x:v>
      </x:c>
      <x:c r="K1702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702" s="13" t="str">
        <x:v>☐ Не начато</x:v>
      </x:c>
      <x:c r="M1702" s="13" t="str">
        <x:v>Опционально</x:v>
      </x:c>
      <x:c r="N1702" s="13" t="str">
        <x:v>Без нагрузки</x:v>
      </x:c>
      <x:c r="O1702" s="13" t="str">
        <x:v>Повреждённую/болезненную кожу не шлифовать.</x:v>
      </x:c>
      <x:c r="P1702" s="13" t="str">
        <x:v>milestone_06_transfer_and_consolidation/week_24_2027-02-15/06_SATURDAY.md</x:v>
      </x:c>
      <x:c r="Q1702" s="138" t="str">
        <x:v>Markdown</x:v>
      </x:c>
      <x:c r="R1702" s="20" t="str"/>
    </x:row>
    <x:row r="1703" ht="36" customHeight="1">
      <x:c r="A1703" s="19" t="str">
        <x:v>W24-20270220-1702</x:v>
      </x:c>
      <x:c r="B1703" s="13" t="n">
        <x:v>24</x:v>
      </x:c>
      <x:c r="C1703" s="13" t="str">
        <x:v>Этап 6 — Перенос навыков, шестёрки и закрепление</x:v>
      </x:c>
      <x:c r="D1703" s="138" t="str">
        <x:v>2027-02-20</x:v>
      </x:c>
      <x:c r="E1703" s="13" t="str">
        <x:v>Суббота</x:v>
      </x:c>
      <x:c r="F1703" s="13" t="str">
        <x:v>Отдых / подготовка</x:v>
      </x:c>
      <x:c r="G1703" s="44" t="n">
        <x:v>0.013888888888888888</x:v>
      </x:c>
      <x:c r="H1703" s="44" t="n">
        <x:v>0.016666666666666666</x:v>
      </x:c>
      <x:c r="I1703" s="32" t="n">
        <x:f>ROUND((H1703-G1703)*1440,0)</x:f>
        <x:v>4</x:v>
      </x:c>
      <x:c r="J1703" s="13" t="str">
        <x:v>Подготовка</x:v>
      </x:c>
      <x:c r="K1703" s="13" t="str">
        <x:v>Заряди телефон, освободи память для одного видео, положи щётку и магнезию.</x:v>
      </x:c>
      <x:c r="L1703" s="13" t="str">
        <x:v>☐ Не начато</x:v>
      </x:c>
      <x:c r="M1703" s="13" t="str">
        <x:v>Обязательно</x:v>
      </x:c>
      <x:c r="N1703" s="13" t="str">
        <x:v>Без нагрузки</x:v>
      </x:c>
      <x:c r="O1703" s="13" t="str"/>
      <x:c r="P1703" s="13" t="str">
        <x:v>milestone_06_transfer_and_consolidation/week_24_2027-02-15/06_SATURDAY.md</x:v>
      </x:c>
      <x:c r="Q1703" s="138" t="str">
        <x:v>Markdown</x:v>
      </x:c>
      <x:c r="R1703" s="20" t="str"/>
    </x:row>
    <x:row r="1704" ht="36" customHeight="1">
      <x:c r="A1704" s="19" t="str">
        <x:v>W24-20270220-1703</x:v>
      </x:c>
      <x:c r="B1704" s="13" t="n">
        <x:v>24</x:v>
      </x:c>
      <x:c r="C1704" s="13" t="str">
        <x:v>Этап 6 — Перенос навыков, шестёрки и закрепление</x:v>
      </x:c>
      <x:c r="D1704" s="138" t="str">
        <x:v>2027-02-20</x:v>
      </x:c>
      <x:c r="E1704" s="13" t="str">
        <x:v>Суббота</x:v>
      </x:c>
      <x:c r="F1704" s="13" t="str">
        <x:v>Отдых / подготовка</x:v>
      </x:c>
      <x:c r="G1704" s="44" t="n">
        <x:v>0.016666666666666666</x:v>
      </x:c>
      <x:c r="H1704" s="44" t="n">
        <x:v>0.01875</x:v>
      </x:c>
      <x:c r="I1704" s="32" t="n">
        <x:f>ROUND((H1704-G1704)*1440,0)</x:f>
        <x:v>3</x:v>
      </x:c>
      <x:c r="J1704" s="13" t="str">
        <x:v>План воскресенья</x:v>
      </x:c>
      <x:c r="K1704" s="13" t="str">
        <x:v>Выбери заранее одну лёгкую трассу под тему «Перенос навыков». Воскресенье остаётся развлечением, не третьим тяжёлым днём.</x:v>
      </x:c>
      <x:c r="L1704" s="13" t="str">
        <x:v>☐ Не начато</x:v>
      </x:c>
      <x:c r="M1704" s="13" t="str">
        <x:v>Обязательно</x:v>
      </x:c>
      <x:c r="N1704" s="13" t="str">
        <x:v>Без нагрузки</x:v>
      </x:c>
      <x:c r="O1704" s="13" t="str"/>
      <x:c r="P1704" s="13" t="str">
        <x:v>milestone_06_transfer_and_consolidation/week_24_2027-02-15/06_SATURDAY.md</x:v>
      </x:c>
      <x:c r="Q1704" s="138" t="str">
        <x:v>Markdown</x:v>
      </x:c>
      <x:c r="R1704" s="20" t="str"/>
    </x:row>
    <x:row r="1705" ht="36" customHeight="1">
      <x:c r="A1705" s="19" t="str">
        <x:v>W24-20270220-1704</x:v>
      </x:c>
      <x:c r="B1705" s="13" t="n">
        <x:v>24</x:v>
      </x:c>
      <x:c r="C1705" s="13" t="str">
        <x:v>Этап 6 — Перенос навыков, шестёрки и закрепление</x:v>
      </x:c>
      <x:c r="D1705" s="138" t="str">
        <x:v>2027-02-20</x:v>
      </x:c>
      <x:c r="E1705" s="13" t="str">
        <x:v>Суббота</x:v>
      </x:c>
      <x:c r="F1705" s="13" t="str">
        <x:v>Отдых / подготовка</x:v>
      </x:c>
      <x:c r="G1705" s="44" t="n">
        <x:v>0.01875</x:v>
      </x:c>
      <x:c r="H1705" s="44" t="n">
        <x:v>0.020833333333333332</x:v>
      </x:c>
      <x:c r="I1705" s="32" t="n">
        <x:f>ROUND((H1705-G1705)*1440,0)</x:f>
        <x:v>3</x:v>
      </x:c>
      <x:c r="J1705" s="13" t="str">
        <x:v>Сон / восстановление</x:v>
      </x:c>
      <x:c r="K1705" s="13" t="str">
        <x:v>Запланируй обычный сон и нормальный приём пищи; не пытайся «разбудить хват» вечером.</x:v>
      </x:c>
      <x:c r="L1705" s="13" t="str">
        <x:v>☐ Не начато</x:v>
      </x:c>
      <x:c r="M1705" s="13" t="str">
        <x:v>Обязательно</x:v>
      </x:c>
      <x:c r="N1705" s="13" t="str">
        <x:v>Восстановление</x:v>
      </x:c>
      <x:c r="O1705" s="13" t="str"/>
      <x:c r="P1705" s="13" t="str">
        <x:v>milestone_06_transfer_and_consolidation/week_24_2027-02-15/06_SATURDAY.md</x:v>
      </x:c>
      <x:c r="Q1705" s="138" t="str">
        <x:v>Markdown</x:v>
      </x:c>
      <x:c r="R1705" s="20" t="str"/>
    </x:row>
    <x:row r="1706" ht="36" customHeight="1">
      <x:c r="A1706" s="19" t="str">
        <x:v>W24-20270221-1705</x:v>
      </x:c>
      <x:c r="B1706" s="13" t="n">
        <x:v>24</x:v>
      </x:c>
      <x:c r="C1706" s="13" t="str">
        <x:v>Этап 6 — Перенос навыков, шестёрки и закрепление</x:v>
      </x:c>
      <x:c r="D1706" s="138" t="str">
        <x:v>2027-02-21</x:v>
      </x:c>
      <x:c r="E1706" s="13" t="str">
        <x:v>Воскресенье</x:v>
      </x:c>
      <x:c r="F1706" s="13" t="str">
        <x:v>Тренировка C — fun / опционально</x:v>
      </x:c>
      <x:c r="G1706" s="44" t="n">
        <x:v>0</x:v>
      </x:c>
      <x:c r="H1706" s="44" t="n">
        <x:v>0.0020833333333333333</x:v>
      </x:c>
      <x:c r="I1706" s="32" t="n">
        <x:f>ROUND((H1706-G1706)*1440,0)</x:f>
        <x:v>3</x:v>
      </x:c>
      <x:c r="J1706" s="13" t="str">
        <x:v>Выбор сценария</x:v>
      </x:c>
      <x:c r="K1706" s="13" t="str">
        <x:v>Выбери один сценарий: (A) fun-сессия 75 минут в зале или (B) восстановительный день дома 25 минут. Не выполнять оба.</x:v>
      </x:c>
      <x:c r="L1706" s="13" t="str">
        <x:v>☐ Не начато</x:v>
      </x:c>
      <x:c r="M1706" s="13" t="str">
        <x:v>Выбрать один сценарий</x:v>
      </x:c>
      <x:c r="N1706" s="13" t="str">
        <x:v>По состоянию</x:v>
      </x:c>
      <x:c r="O1706" s="13" t="str"/>
      <x:c r="P1706" s="13" t="str">
        <x:v>milestone_06_transfer_and_consolidation/week_24_2027-02-15/07_SUNDAY.md</x:v>
      </x:c>
      <x:c r="Q1706" s="138" t="str">
        <x:v>Markdown</x:v>
      </x:c>
      <x:c r="R1706" s="20" t="str"/>
    </x:row>
    <x:row r="1707" ht="36" customHeight="1">
      <x:c r="A1707" s="19" t="str">
        <x:v>W24-20270221-1706</x:v>
      </x:c>
      <x:c r="B1707" s="13" t="n">
        <x:v>24</x:v>
      </x:c>
      <x:c r="C1707" s="13" t="str">
        <x:v>Этап 6 — Перенос навыков, шестёрки и закрепление</x:v>
      </x:c>
      <x:c r="D1707" s="138" t="str">
        <x:v>2027-02-21</x:v>
      </x:c>
      <x:c r="E1707" s="13" t="str">
        <x:v>Воскресенье</x:v>
      </x:c>
      <x:c r="F1707" s="13" t="str">
        <x:v>Тренировка C — fun / опционально</x:v>
      </x:c>
      <x:c r="G1707" s="44" t="n">
        <x:v>0.0020833333333333333</x:v>
      </x:c>
      <x:c r="H1707" s="44" t="n">
        <x:v>0.005555555555555556</x:v>
      </x:c>
      <x:c r="I1707" s="32" t="n">
        <x:f>ROUND((H1707-G1707)*1440,0)</x:f>
        <x:v>5</x:v>
      </x:c>
      <x:c r="J1707" s="13" t="str">
        <x:v>Разминка A</x:v>
      </x:c>
      <x:c r="K1707" s="13" t="str">
        <x:v>Если идёшь в зал: 5 минут поднятия температуры.</x:v>
      </x:c>
      <x:c r="L1707" s="13" t="str">
        <x:v>☐ Не начато</x:v>
      </x:c>
      <x:c r="M1707" s="13" t="str">
        <x:v>Опционально</x:v>
      </x:c>
      <x:c r="N1707" s="13" t="str">
        <x:v>RPE 2–3</x:v>
      </x:c>
      <x:c r="O1707" s="13" t="str"/>
      <x:c r="P1707" s="13" t="str">
        <x:v>milestone_06_transfer_and_consolidation/week_24_2027-02-15/07_SUNDAY.md</x:v>
      </x:c>
      <x:c r="Q1707" s="138" t="str">
        <x:v>Markdown</x:v>
      </x:c>
      <x:c r="R1707" s="20" t="str"/>
    </x:row>
    <x:row r="1708" ht="36" customHeight="1">
      <x:c r="A1708" s="19" t="str">
        <x:v>W24-20270221-1707</x:v>
      </x:c>
      <x:c r="B1708" s="13" t="n">
        <x:v>24</x:v>
      </x:c>
      <x:c r="C1708" s="13" t="str">
        <x:v>Этап 6 — Перенос навыков, шестёрки и закрепление</x:v>
      </x:c>
      <x:c r="D1708" s="138" t="str">
        <x:v>2027-02-21</x:v>
      </x:c>
      <x:c r="E1708" s="13" t="str">
        <x:v>Воскресенье</x:v>
      </x:c>
      <x:c r="F1708" s="13" t="str">
        <x:v>Тренировка C — fun / опционально</x:v>
      </x:c>
      <x:c r="G1708" s="44" t="n">
        <x:v>0.005555555555555556</x:v>
      </x:c>
      <x:c r="H1708" s="44" t="n">
        <x:v>0.009027777777777777</x:v>
      </x:c>
      <x:c r="I1708" s="32" t="n">
        <x:f>ROUND((H1708-G1708)*1440,0)</x:f>
        <x:v>5</x:v>
      </x:c>
      <x:c r="J1708" s="13" t="str">
        <x:v>Разминка A</x:v>
      </x:c>
      <x:c r="K1708" s="13" t="str">
        <x:v>Динамическая суставная разминка в безболезненном диапазоне; без отжиманий/press.</x:v>
      </x:c>
      <x:c r="L1708" s="13" t="str">
        <x:v>☐ Не начато</x:v>
      </x:c>
      <x:c r="M1708" s="13" t="str">
        <x:v>Опционально</x:v>
      </x:c>
      <x:c r="N1708" s="13" t="str">
        <x:v>Очень легко</x:v>
      </x:c>
      <x:c r="O1708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708" s="13" t="str">
        <x:v>milestone_06_transfer_and_consolidation/week_24_2027-02-15/07_SUNDAY.md</x:v>
      </x:c>
      <x:c r="Q1708" s="138" t="str">
        <x:v>Markdown</x:v>
      </x:c>
      <x:c r="R1708" s="20" t="str"/>
    </x:row>
    <x:row r="1709" ht="36" customHeight="1">
      <x:c r="A1709" s="19" t="str">
        <x:v>W24-20270221-1708</x:v>
      </x:c>
      <x:c r="B1709" s="13" t="n">
        <x:v>24</x:v>
      </x:c>
      <x:c r="C1709" s="13" t="str">
        <x:v>Этап 6 — Перенос навыков, шестёрки и закрепление</x:v>
      </x:c>
      <x:c r="D1709" s="138" t="str">
        <x:v>2027-02-21</x:v>
      </x:c>
      <x:c r="E1709" s="13" t="str">
        <x:v>Воскресенье</x:v>
      </x:c>
      <x:c r="F1709" s="13" t="str">
        <x:v>Тренировка C — fun / опционально</x:v>
      </x:c>
      <x:c r="G1709" s="44" t="n">
        <x:v>0.009027777777777777</x:v>
      </x:c>
      <x:c r="H1709" s="44" t="n">
        <x:v>0.013888888888888888</x:v>
      </x:c>
      <x:c r="I1709" s="32" t="n">
        <x:f>ROUND((H1709-G1709)*1440,0)</x:f>
        <x:v>7</x:v>
      </x:c>
      <x:c r="J1709" s="13" t="str">
        <x:v>Лёгкое лазание A</x:v>
      </x:c>
      <x:c r="K1709" s="13" t="str">
        <x:v>3 очень лёгкие трассы 1–3 с постепенным увеличением сложности.</x:v>
      </x:c>
      <x:c r="L1709" s="13" t="str">
        <x:v>☐ Не начато</x:v>
      </x:c>
      <x:c r="M1709" s="13" t="str">
        <x:v>Опционально</x:v>
      </x:c>
      <x:c r="N1709" s="13" t="str">
        <x:v>RPE 2–4</x:v>
      </x:c>
      <x:c r="O1709" s="13" t="str"/>
      <x:c r="P1709" s="13" t="str">
        <x:v>milestone_06_transfer_and_consolidation/week_24_2027-02-15/07_SUNDAY.md</x:v>
      </x:c>
      <x:c r="Q1709" s="138" t="str">
        <x:v>Markdown</x:v>
      </x:c>
      <x:c r="R1709" s="20" t="str"/>
    </x:row>
    <x:row r="1710" ht="36" customHeight="1">
      <x:c r="A1710" s="19" t="str">
        <x:v>W24-20270221-1709</x:v>
      </x:c>
      <x:c r="B1710" s="13" t="n">
        <x:v>24</x:v>
      </x:c>
      <x:c r="C1710" s="13" t="str">
        <x:v>Этап 6 — Перенос навыков, шестёрки и закрепление</x:v>
      </x:c>
      <x:c r="D1710" s="138" t="str">
        <x:v>2027-02-21</x:v>
      </x:c>
      <x:c r="E1710" s="13" t="str">
        <x:v>Воскресенье</x:v>
      </x:c>
      <x:c r="F1710" s="13" t="str">
        <x:v>Тренировка C — fun / опционально</x:v>
      </x:c>
      <x:c r="G1710" s="44" t="n">
        <x:v>0.013888888888888888</x:v>
      </x:c>
      <x:c r="H1710" s="44" t="n">
        <x:v>0.020833333333333332</x:v>
      </x:c>
      <x:c r="I1710" s="32" t="n">
        <x:f>ROUND((H1710-G1710)*1440,0)</x:f>
        <x:v>10</x:v>
      </x:c>
      <x:c r="J1710" s="13" t="str">
        <x:v>Технический праймер A</x:v>
      </x:c>
      <x:c r="K1710" s="13" t="str">
        <x:v>На одной лёгкой трассе дважды повтори «Перенос навыков». Критерий: Техника узнаваема на новых зацепах, даже если цифровые грейды не совпадают.</x:v>
      </x:c>
      <x:c r="L1710" s="13" t="str">
        <x:v>☐ Не начато</x:v>
      </x:c>
      <x:c r="M1710" s="13" t="str">
        <x:v>Опционально</x:v>
      </x:c>
      <x:c r="N1710" s="13" t="str">
        <x:v>RPE 3–4</x:v>
      </x:c>
      <x:c r="O1710" s="13" t="str">
        <x:v>Новые маты/спуски изучить сначала. Незнакомый фингерборд можно полностью пропустить.</x:v>
      </x:c>
      <x:c r="P1710" s="13" t="str">
        <x:v>milestone_06_transfer_and_consolidation/week_24_2027-02-15/07_SUNDAY.md</x:v>
      </x:c>
      <x:c r="Q1710" s="138" t="str">
        <x:v>Markdown</x:v>
      </x:c>
      <x:c r="R1710" s="20" t="str"/>
    </x:row>
    <x:row r="1711" ht="36" customHeight="1">
      <x:c r="A1711" s="19" t="str">
        <x:v>W24-20270221-1710</x:v>
      </x:c>
      <x:c r="B1711" s="13" t="n">
        <x:v>24</x:v>
      </x:c>
      <x:c r="C1711" s="13" t="str">
        <x:v>Этап 6 — Перенос навыков, шестёрки и закрепление</x:v>
      </x:c>
      <x:c r="D1711" s="138" t="str">
        <x:v>2027-02-21</x:v>
      </x:c>
      <x:c r="E1711" s="13" t="str">
        <x:v>Воскресенье</x:v>
      </x:c>
      <x:c r="F1711" s="13" t="str">
        <x:v>Тренировка C — fun / опционально</x:v>
      </x:c>
      <x:c r="G1711" s="44" t="n">
        <x:v>0.020833333333333332</x:v>
      </x:c>
      <x:c r="H1711" s="44" t="n">
        <x:v>0.03819444444444445</x:v>
      </x:c>
      <x:c r="I1711" s="32" t="n">
        <x:f>ROUND((H1711-G1711)*1440,0)</x:f>
        <x:v>25</x:v>
      </x:c>
      <x:c r="J1711" s="13" t="str">
        <x:v>Свободное лазание A</x:v>
      </x:c>
      <x:c r="K1711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711" s="13" t="str">
        <x:v>☐ Не начато</x:v>
      </x:c>
      <x:c r="M1711" s="13" t="str">
        <x:v>Опционально</x:v>
      </x:c>
      <x:c r="N1711" s="13" t="str">
        <x:v>RPE 4–7</x:v>
      </x:c>
      <x:c r="O1711" s="13" t="str">
        <x:v>Не превращать блок в круг на выносливость.</x:v>
      </x:c>
      <x:c r="P1711" s="13" t="str">
        <x:v>milestone_06_transfer_and_consolidation/week_24_2027-02-15/07_SUNDAY.md</x:v>
      </x:c>
      <x:c r="Q1711" s="138" t="str">
        <x:v>Markdown</x:v>
      </x:c>
      <x:c r="R1711" s="20" t="str"/>
    </x:row>
    <x:row r="1712" ht="36" customHeight="1">
      <x:c r="A1712" s="19" t="str">
        <x:v>W24-20270221-1711</x:v>
      </x:c>
      <x:c r="B1712" s="13" t="n">
        <x:v>24</x:v>
      </x:c>
      <x:c r="C1712" s="13" t="str">
        <x:v>Этап 6 — Перенос навыков, шестёрки и закрепление</x:v>
      </x:c>
      <x:c r="D1712" s="138" t="str">
        <x:v>2027-02-21</x:v>
      </x:c>
      <x:c r="E1712" s="13" t="str">
        <x:v>Воскресенье</x:v>
      </x:c>
      <x:c r="F1712" s="13" t="str">
        <x:v>Тренировка C — fun / опционально</x:v>
      </x:c>
      <x:c r="G1712" s="44" t="n">
        <x:v>0.03819444444444445</x:v>
      </x:c>
      <x:c r="H1712" s="44" t="n">
        <x:v>0.04583333333333333</x:v>
      </x:c>
      <x:c r="I1712" s="32" t="n">
        <x:f>ROUND((H1712-G1712)*1440,0)</x:f>
        <x:v>11</x:v>
      </x:c>
      <x:c r="J1712" s="13" t="str">
        <x:v>Свежая сложная попытка A</x:v>
      </x:c>
      <x:c r="K1712" s="13" t="str">
        <x:v>Только если всё зелёное: попробуй одну рабочую пятёрку или дружелюбную шестёрку по критериям недели — Если обе структурированные тренировки в Berta — одну провести в новом секторе/на непривычном угле. Максимум 2 попытки, отдых 4 минуты.</x:v>
      </x:c>
      <x:c r="L1712" s="13" t="str">
        <x:v>☐ Не начато</x:v>
      </x:c>
      <x:c r="M1712" s="13" t="str">
        <x:v>Опционально</x:v>
      </x:c>
      <x:c r="N1712" s="13" t="str">
        <x:v>RPE 7–8, без отказа</x:v>
      </x:c>
      <x:c r="O1712" s="13" t="str">
        <x:v>Новый зал = незнакомые маты и финиши. Первые падения и спуски делать особенно контролируемо. Фингерборд незнакомой формы можно пропустить.</x:v>
      </x:c>
      <x:c r="P1712" s="13" t="str">
        <x:v>milestone_06_transfer_and_consolidation/week_24_2027-02-15/07_SUNDAY.md</x:v>
      </x:c>
      <x:c r="Q1712" s="138" t="str">
        <x:v>Markdown</x:v>
      </x:c>
      <x:c r="R1712" s="20" t="str"/>
    </x:row>
    <x:row r="1713" ht="36" customHeight="1">
      <x:c r="A1713" s="19" t="str">
        <x:v>W24-20270221-1712</x:v>
      </x:c>
      <x:c r="B1713" s="13" t="n">
        <x:v>24</x:v>
      </x:c>
      <x:c r="C1713" s="13" t="str">
        <x:v>Этап 6 — Перенос навыков, шестёрки и закрепление</x:v>
      </x:c>
      <x:c r="D1713" s="138" t="str">
        <x:v>2027-02-21</x:v>
      </x:c>
      <x:c r="E1713" s="13" t="str">
        <x:v>Воскресенье</x:v>
      </x:c>
      <x:c r="F1713" s="13" t="str">
        <x:v>Тренировка C — fun / опционально</x:v>
      </x:c>
      <x:c r="G1713" s="44" t="n">
        <x:v>0.04583333333333333</x:v>
      </x:c>
      <x:c r="H1713" s="44" t="n">
        <x:v>0.05</x:v>
      </x:c>
      <x:c r="I1713" s="32" t="n">
        <x:f>ROUND((H1713-G1713)*1440,0)</x:f>
        <x:v>6</x:v>
      </x:c>
      <x:c r="J1713" s="13" t="str">
        <x:v>Лёгкий финал A</x:v>
      </x:c>
      <x:c r="K1713" s="13" t="str">
        <x:v>Одна любимая лёгкая трасса или спокойный спуск. Фингерборда и capacity-круга нет.</x:v>
      </x:c>
      <x:c r="L1713" s="13" t="str">
        <x:v>☐ Не начато</x:v>
      </x:c>
      <x:c r="M1713" s="13" t="str">
        <x:v>Опционально</x:v>
      </x:c>
      <x:c r="N1713" s="13" t="str">
        <x:v>RPE 2–3</x:v>
      </x:c>
      <x:c r="O1713" s="13" t="str"/>
      <x:c r="P1713" s="13" t="str">
        <x:v>milestone_06_transfer_and_consolidation/week_24_2027-02-15/07_SUNDAY.md</x:v>
      </x:c>
      <x:c r="Q1713" s="138" t="str">
        <x:v>Markdown</x:v>
      </x:c>
      <x:c r="R1713" s="20" t="str"/>
    </x:row>
    <x:row r="1714" ht="36" customHeight="1">
      <x:c r="A1714" s="19" t="str">
        <x:v>W24-20270221-1713</x:v>
      </x:c>
      <x:c r="B1714" s="13" t="n">
        <x:v>24</x:v>
      </x:c>
      <x:c r="C1714" s="13" t="str">
        <x:v>Этап 6 — Перенос навыков, шестёрки и закрепление</x:v>
      </x:c>
      <x:c r="D1714" s="138" t="str">
        <x:v>2027-02-21</x:v>
      </x:c>
      <x:c r="E1714" s="13" t="str">
        <x:v>Воскресенье</x:v>
      </x:c>
      <x:c r="F1714" s="13" t="str">
        <x:v>Тренировка C — fun / опционально</x:v>
      </x:c>
      <x:c r="G1714" s="44" t="n">
        <x:v>0.05</x:v>
      </x:c>
      <x:c r="H1714" s="44" t="n">
        <x:v>0.052083333333333336</x:v>
      </x:c>
      <x:c r="I1714" s="32" t="n">
        <x:f>ROUND((H1714-G1714)*1440,0)</x:f>
        <x:v>3</x:v>
      </x:c>
      <x:c r="J1714" s="13" t="str">
        <x:v>Журнал A</x:v>
      </x:c>
      <x:c r="K1714" s="13" t="str">
        <x:v>Запиши только 3 вещи: что было весело, один удачный технический момент, состояние пальцев после сессии.</x:v>
      </x:c>
      <x:c r="L1714" s="13" t="str">
        <x:v>☐ Не начато</x:v>
      </x:c>
      <x:c r="M1714" s="13" t="str">
        <x:v>Опционально</x:v>
      </x:c>
      <x:c r="N1714" s="13" t="str">
        <x:v>Без нагрузки</x:v>
      </x:c>
      <x:c r="O1714" s="13" t="str"/>
      <x:c r="P1714" s="13" t="str">
        <x:v>milestone_06_transfer_and_consolidation/week_24_2027-02-15/07_SUNDAY.md</x:v>
      </x:c>
      <x:c r="Q1714" s="138" t="str">
        <x:v>Markdown</x:v>
      </x:c>
      <x:c r="R1714" s="20" t="str"/>
    </x:row>
    <x:row r="1715" ht="36" customHeight="1">
      <x:c r="A1715" s="19" t="str">
        <x:v>W24-20270221-1714</x:v>
      </x:c>
      <x:c r="B1715" s="13" t="n">
        <x:v>24</x:v>
      </x:c>
      <x:c r="C1715" s="13" t="str">
        <x:v>Этап 6 — Перенос навыков, шестёрки и закрепление</x:v>
      </x:c>
      <x:c r="D1715" s="138" t="str">
        <x:v>2027-02-21</x:v>
      </x:c>
      <x:c r="E1715" s="13" t="str">
        <x:v>Воскресенье</x:v>
      </x:c>
      <x:c r="F1715" s="13" t="str">
        <x:v>Восстановление B — дома</x:v>
      </x:c>
      <x:c r="G1715" s="44" t="n">
        <x:v>0</x:v>
      </x:c>
      <x:c r="H1715" s="44" t="n">
        <x:v>0.010416666666666666</x:v>
      </x:c>
      <x:c r="I1715" s="32" t="n">
        <x:f>ROUND((H1715-G1715)*1440,0)</x:f>
        <x:v>15</x:v>
      </x:c>
      <x:c r="J1715" s="13" t="str">
        <x:v>Прогулка B</x:v>
      </x:c>
      <x:c r="K1715" s="13" t="str">
        <x:v>Если не идёшь в зал: 15 минут спокойной прогулки.</x:v>
      </x:c>
      <x:c r="L1715" s="13" t="str">
        <x:v>☐ Не начато</x:v>
      </x:c>
      <x:c r="M1715" s="13" t="str">
        <x:v>Опционально</x:v>
      </x:c>
      <x:c r="N1715" s="13" t="str">
        <x:v>RPE 1–2</x:v>
      </x:c>
      <x:c r="O1715" s="13" t="str"/>
      <x:c r="P1715" s="13" t="str">
        <x:v>milestone_06_transfer_and_consolidation/week_24_2027-02-15/07_SUNDAY.md</x:v>
      </x:c>
      <x:c r="Q1715" s="138" t="str">
        <x:v>Markdown</x:v>
      </x:c>
      <x:c r="R1715" s="20" t="str"/>
    </x:row>
    <x:row r="1716" ht="36" customHeight="1">
      <x:c r="A1716" s="19" t="str">
        <x:v>W24-20270221-1715</x:v>
      </x:c>
      <x:c r="B1716" s="13" t="n">
        <x:v>24</x:v>
      </x:c>
      <x:c r="C1716" s="13" t="str">
        <x:v>Этап 6 — Перенос навыков, шестёрки и закрепление</x:v>
      </x:c>
      <x:c r="D1716" s="138" t="str">
        <x:v>2027-02-21</x:v>
      </x:c>
      <x:c r="E1716" s="13" t="str">
        <x:v>Воскресенье</x:v>
      </x:c>
      <x:c r="F1716" s="13" t="str">
        <x:v>Восстановление B — дома</x:v>
      </x:c>
      <x:c r="G1716" s="44" t="n">
        <x:v>0.010416666666666666</x:v>
      </x:c>
      <x:c r="H1716" s="44" t="n">
        <x:v>0.015277777777777777</x:v>
      </x:c>
      <x:c r="I1716" s="32" t="n">
        <x:f>ROUND((H1716-G1716)*1440,0)</x:f>
        <x:v>7</x:v>
      </x:c>
      <x:c r="J1716" s="13" t="str">
        <x:v>Визуализация B</x:v>
      </x:c>
      <x:c r="K1716" s="13" t="str">
        <x:v>7 минут: мысленно повтори тему недели «Перенос навыков» и одну трассу четверга.</x:v>
      </x:c>
      <x:c r="L1716" s="13" t="str">
        <x:v>☐ Не начато</x:v>
      </x:c>
      <x:c r="M1716" s="13" t="str">
        <x:v>Опционально</x:v>
      </x:c>
      <x:c r="N1716" s="13" t="str">
        <x:v>Без нагрузки</x:v>
      </x:c>
      <x:c r="O1716" s="13" t="str"/>
      <x:c r="P1716" s="13" t="str">
        <x:v>milestone_06_transfer_and_consolidation/week_24_2027-02-15/07_SUNDAY.md</x:v>
      </x:c>
      <x:c r="Q1716" s="138" t="str">
        <x:v>Markdown</x:v>
      </x:c>
      <x:c r="R1716" s="20" t="str"/>
    </x:row>
    <x:row r="1717" ht="36" customHeight="1">
      <x:c r="A1717" s="19" t="str">
        <x:v>W24-20270221-1716</x:v>
      </x:c>
      <x:c r="B1717" s="13" t="n">
        <x:v>24</x:v>
      </x:c>
      <x:c r="C1717" s="13" t="str">
        <x:v>Этап 6 — Перенос навыков, шестёрки и закрепление</x:v>
      </x:c>
      <x:c r="D1717" s="138" t="str">
        <x:v>2027-02-21</x:v>
      </x:c>
      <x:c r="E1717" s="13" t="str">
        <x:v>Воскресенье</x:v>
      </x:c>
      <x:c r="F1717" s="13" t="str">
        <x:v>Восстановление B — дома</x:v>
      </x:c>
      <x:c r="G1717" s="44" t="n">
        <x:v>0.015277777777777777</x:v>
      </x:c>
      <x:c r="H1717" s="44" t="n">
        <x:v>0.017361111111111112</x:v>
      </x:c>
      <x:c r="I1717" s="32" t="n">
        <x:f>ROUND((H1717-G1717)*1440,0)</x:f>
        <x:v>3</x:v>
      </x:c>
      <x:c r="J1717" s="13" t="str">
        <x:v>Итог недели B</x:v>
      </x:c>
      <x:c r="K1717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717" s="13" t="str">
        <x:v>☐ Не начато</x:v>
      </x:c>
      <x:c r="M1717" s="13" t="str">
        <x:v>Опционально</x:v>
      </x:c>
      <x:c r="N1717" s="13" t="str">
        <x:v>Без нагрузки</x:v>
      </x:c>
      <x:c r="O1717" s="13" t="str"/>
      <x:c r="P1717" s="13" t="str">
        <x:v>milestone_06_transfer_and_consolidation/week_24_2027-02-15/07_SUNDAY.md</x:v>
      </x:c>
      <x:c r="Q1717" s="138" t="str">
        <x:v>Markdown</x:v>
      </x:c>
      <x:c r="R1717" s="20" t="str"/>
    </x:row>
    <x:row r="1718" ht="36" customHeight="1">
      <x:c r="A1718" s="19" t="str">
        <x:v>W25-20270222-1717</x:v>
      </x:c>
      <x:c r="B1718" s="13" t="n">
        <x:v>25</x:v>
      </x:c>
      <x:c r="C1718" s="13" t="str">
        <x:v>Этап 6 — Перенос навыков, шестёрки и закрепление</x:v>
      </x:c>
      <x:c r="D1718" s="138" t="str">
        <x:v>2027-02-22</x:v>
      </x:c>
      <x:c r="E1718" s="13" t="str">
        <x:v>Понедельник</x:v>
      </x:c>
      <x:c r="F1718" s="13" t="str">
        <x:v>Дом / теория</x:v>
      </x:c>
      <x:c r="G1718" s="44" t="n">
        <x:v>0</x:v>
      </x:c>
      <x:c r="H1718" s="44" t="n">
        <x:v>0.0020833333333333333</x:v>
      </x:c>
      <x:c r="I1718" s="32" t="n">
        <x:f>ROUND((H1718-G1718)*1440,0)</x:f>
        <x:v>3</x:v>
      </x:c>
      <x:c r="J1718" s="13" t="str">
        <x:v>Самопроверка</x:v>
      </x:c>
      <x:c r="K1718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718" s="13" t="str">
        <x:v>☐ Не начато</x:v>
      </x:c>
      <x:c r="M1718" s="13" t="str">
        <x:v>Обязательно</x:v>
      </x:c>
      <x:c r="N1718" s="13" t="str">
        <x:v>Очень легко</x:v>
      </x:c>
      <x:c r="O1718" s="13" t="str">
        <x:v>Не диагностируй травму самостоятельно; используй правила из документа безопасности.</x:v>
      </x:c>
      <x:c r="P1718" s="13" t="str">
        <x:v>milestone_06_transfer_and_consolidation/week_25_2027-02-22/01_MONDAY.md</x:v>
      </x:c>
      <x:c r="Q1718" s="138" t="str">
        <x:v>Markdown</x:v>
      </x:c>
      <x:c r="R1718" s="20" t="str"/>
    </x:row>
    <x:row r="1719" ht="36" customHeight="1">
      <x:c r="A1719" s="19" t="str">
        <x:v>W25-20270222-1718</x:v>
      </x:c>
      <x:c r="B1719" s="13" t="n">
        <x:v>25</x:v>
      </x:c>
      <x:c r="C1719" s="13" t="str">
        <x:v>Этап 6 — Перенос навыков, шестёрки и закрепление</x:v>
      </x:c>
      <x:c r="D1719" s="138" t="str">
        <x:v>2027-02-22</x:v>
      </x:c>
      <x:c r="E1719" s="13" t="str">
        <x:v>Понедельник</x:v>
      </x:c>
      <x:c r="F1719" s="13" t="str">
        <x:v>Дом / теория</x:v>
      </x:c>
      <x:c r="G1719" s="44" t="n">
        <x:v>0.0020833333333333333</x:v>
      </x:c>
      <x:c r="H1719" s="44" t="n">
        <x:v>0.005555555555555556</x:v>
      </x:c>
      <x:c r="I1719" s="32" t="n">
        <x:f>ROUND((H1719-G1719)*1440,0)</x:f>
        <x:v>5</x:v>
      </x:c>
      <x:c r="J1719" s="13" t="str">
        <x:v>Планирование</x:v>
      </x:c>
      <x:c r="K1719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«Меньше общего объёма, больше свежести и полный отдых перед каждой важной попыткой.»</x:v>
      </x:c>
      <x:c r="L1719" s="13" t="str">
        <x:v>☐ Не начато</x:v>
      </x:c>
      <x:c r="M1719" s="13" t="str">
        <x:v>Обязательно</x:v>
      </x:c>
      <x:c r="N1719" s="13" t="str">
        <x:v>Без нагрузки</x:v>
      </x:c>
      <x:c r="O1719" s="13" t="str"/>
      <x:c r="P1719" s="13" t="str">
        <x:v>milestone_06_transfer_and_consolidation/week_25_2027-02-22/01_MONDAY.md</x:v>
      </x:c>
      <x:c r="Q1719" s="138" t="str">
        <x:v>Markdown</x:v>
      </x:c>
      <x:c r="R1719" s="20" t="str"/>
    </x:row>
    <x:row r="1720" ht="36" customHeight="1">
      <x:c r="A1720" s="19" t="str">
        <x:v>W25-20270222-1719</x:v>
      </x:c>
      <x:c r="B1720" s="13" t="n">
        <x:v>25</x:v>
      </x:c>
      <x:c r="C1720" s="13" t="str">
        <x:v>Этап 6 — Перенос навыков, шестёрки и закрепление</x:v>
      </x:c>
      <x:c r="D1720" s="138" t="str">
        <x:v>2027-02-22</x:v>
      </x:c>
      <x:c r="E1720" s="13" t="str">
        <x:v>Понедельник</x:v>
      </x:c>
      <x:c r="F1720" s="13" t="str">
        <x:v>Дом / теория</x:v>
      </x:c>
      <x:c r="G1720" s="44" t="n">
        <x:v>0.005555555555555556</x:v>
      </x:c>
      <x:c r="H1720" s="44" t="n">
        <x:v>0.011111111111111112</x:v>
      </x:c>
      <x:c r="I1720" s="32" t="n">
        <x:f>ROUND((H1720-G1720)*1440,0)</x:f>
        <x:v>8</x:v>
      </x:c>
      <x:c r="J1720" s="13" t="str">
        <x:v>Теория</x:v>
      </x:c>
      <x:c r="K1720" s="13" t="str">
        <x:v>Посмотри/прочитай [R05: BMC — Listening to your body when training for climbing](https://www.thebmc.co.uk/en/listening-to-your-body-when-training-for-climbing-video). Задача: Правила остановки, различие обычной усталости и тревожных ощущений.</x:v>
      </x:c>
      <x:c r="L1720" s="13" t="str">
        <x:v>☐ Не начато</x:v>
      </x:c>
      <x:c r="M1720" s="13" t="str">
        <x:v>Обязательно</x:v>
      </x:c>
      <x:c r="N1720" s="13" t="str">
        <x:v>Без нагрузки</x:v>
      </x:c>
      <x:c r="O1720" s="13" t="str"/>
      <x:c r="P1720" s="13" t="str">
        <x:v>milestone_06_transfer_and_consolidation/week_25_2027-02-22/01_MONDAY.md</x:v>
      </x:c>
      <x:c r="Q1720" s="138" t="str">
        <x:v>Markdown</x:v>
      </x:c>
      <x:c r="R1720" s="20" t="str"/>
    </x:row>
    <x:row r="1721" ht="36" customHeight="1">
      <x:c r="A1721" s="19" t="str">
        <x:v>W25-20270222-1720</x:v>
      </x:c>
      <x:c r="B1721" s="13" t="n">
        <x:v>25</x:v>
      </x:c>
      <x:c r="C1721" s="13" t="str">
        <x:v>Этап 6 — Перенос навыков, шестёрки и закрепление</x:v>
      </x:c>
      <x:c r="D1721" s="138" t="str">
        <x:v>2027-02-22</x:v>
      </x:c>
      <x:c r="E1721" s="13" t="str">
        <x:v>Понедельник</x:v>
      </x:c>
      <x:c r="F1721" s="13" t="str">
        <x:v>Дом / теория</x:v>
      </x:c>
      <x:c r="G1721" s="44" t="n">
        <x:v>0.011111111111111112</x:v>
      </x:c>
      <x:c r="H1721" s="44" t="n">
        <x:v>0.014583333333333334</x:v>
      </x:c>
      <x:c r="I1721" s="32" t="n">
        <x:f>ROUND((H1721-G1721)*1440,0)</x:f>
        <x:v>5</x:v>
      </x:c>
      <x:c r="J1721" s="13" t="str">
        <x:v>Конспект</x:v>
      </x:c>
      <x:c r="K1721" s="13" t="str">
        <x:v>Запиши ровно 3 пункта: (1) что делать ногами/тазом; (2) что не делать руками; (3) какой признак успеха проверишь на стене для темы «Снижение объёма».</x:v>
      </x:c>
      <x:c r="L1721" s="13" t="str">
        <x:v>☐ Не начато</x:v>
      </x:c>
      <x:c r="M1721" s="13" t="str">
        <x:v>Обязательно</x:v>
      </x:c>
      <x:c r="N1721" s="13" t="str">
        <x:v>Без нагрузки</x:v>
      </x:c>
      <x:c r="O1721" s="13" t="str"/>
      <x:c r="P1721" s="13" t="str">
        <x:v>milestone_06_transfer_and_consolidation/week_25_2027-02-22/01_MONDAY.md</x:v>
      </x:c>
      <x:c r="Q1721" s="138" t="str">
        <x:v>Markdown</x:v>
      </x:c>
      <x:c r="R1721" s="20" t="str"/>
    </x:row>
    <x:row r="1722" ht="36" customHeight="1">
      <x:c r="A1722" s="19" t="str">
        <x:v>W25-20270222-1721</x:v>
      </x:c>
      <x:c r="B1722" s="13" t="n">
        <x:v>25</x:v>
      </x:c>
      <x:c r="C1722" s="13" t="str">
        <x:v>Этап 6 — Перенос навыков, шестёрки и закрепление</x:v>
      </x:c>
      <x:c r="D1722" s="138" t="str">
        <x:v>2027-02-22</x:v>
      </x:c>
      <x:c r="E1722" s="13" t="str">
        <x:v>Понедельник</x:v>
      </x:c>
      <x:c r="F1722" s="13" t="str">
        <x:v>Дом / теория</x:v>
      </x:c>
      <x:c r="G1722" s="44" t="n">
        <x:v>0.014583333333333334</x:v>
      </x:c>
      <x:c r="H1722" s="44" t="n">
        <x:v>0.022916666666666665</x:v>
      </x:c>
      <x:c r="I1722" s="32" t="n">
        <x:f>ROUND((H1722-G1722)*1440,0)</x:f>
        <x:v>12</x:v>
      </x:c>
      <x:c r="J1722" s="13" t="str">
        <x:v>Домашняя мобильность</x:v>
      </x:c>
      <x:c r="K1722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1722" s="13" t="str">
        <x:v>☐ Не начато</x:v>
      </x:c>
      <x:c r="M1722" s="13" t="str">
        <x:v>Обязательно</x:v>
      </x:c>
      <x:c r="N1722" s="13" t="str">
        <x:v>RPE 2–3</x:v>
      </x:c>
      <x:c r="O1722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722" s="13" t="str">
        <x:v>milestone_06_transfer_and_consolidation/week_25_2027-02-22/01_MONDAY.md</x:v>
      </x:c>
      <x:c r="Q1722" s="138" t="str">
        <x:v>Markdown</x:v>
      </x:c>
      <x:c r="R1722" s="20" t="str"/>
    </x:row>
    <x:row r="1723" ht="36" customHeight="1">
      <x:c r="A1723" s="19" t="str">
        <x:v>W25-20270222-1722</x:v>
      </x:c>
      <x:c r="B1723" s="13" t="n">
        <x:v>25</x:v>
      </x:c>
      <x:c r="C1723" s="13" t="str">
        <x:v>Этап 6 — Перенос навыков, шестёрки и закрепление</x:v>
      </x:c>
      <x:c r="D1723" s="138" t="str">
        <x:v>2027-02-22</x:v>
      </x:c>
      <x:c r="E1723" s="13" t="str">
        <x:v>Понедельник</x:v>
      </x:c>
      <x:c r="F1723" s="13" t="str">
        <x:v>Дом / теория</x:v>
      </x:c>
      <x:c r="G1723" s="44" t="n">
        <x:v>0.022916666666666665</x:v>
      </x:c>
      <x:c r="H1723" s="44" t="n">
        <x:v>0.03680555555555556</x:v>
      </x:c>
      <x:c r="I1723" s="32" t="n">
        <x:f>ROUND((H1723-G1723)*1440,0)</x:f>
        <x:v>20</x:v>
      </x:c>
      <x:c r="J1723" s="13" t="str">
        <x:v>Физиотерапия</x:v>
      </x:c>
      <x:c r="K1723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723" s="13" t="str">
        <x:v>☐ Не начато</x:v>
      </x:c>
      <x:c r="M1723" s="13" t="str">
        <x:v>По назначению</x:v>
      </x:c>
      <x:c r="N1723" s="13" t="str">
        <x:v>По назначению физиотерапевта</x:v>
      </x:c>
      <x:c r="O1723" s="13" t="str">
        <x:v>Любые указания физиотерапевта имеют приоритет над этим планом.</x:v>
      </x:c>
      <x:c r="P1723" s="13" t="str">
        <x:v>milestone_06_transfer_and_consolidation/week_25_2027-02-22/01_MONDAY.md</x:v>
      </x:c>
      <x:c r="Q1723" s="138" t="str">
        <x:v>Markdown</x:v>
      </x:c>
      <x:c r="R1723" s="20" t="str"/>
    </x:row>
    <x:row r="1724" ht="36" customHeight="1">
      <x:c r="A1724" s="19" t="str">
        <x:v>W25-20270222-1723</x:v>
      </x:c>
      <x:c r="B1724" s="13" t="n">
        <x:v>25</x:v>
      </x:c>
      <x:c r="C1724" s="13" t="str">
        <x:v>Этап 6 — Перенос навыков, шестёрки и закрепление</x:v>
      </x:c>
      <x:c r="D1724" s="138" t="str">
        <x:v>2027-02-22</x:v>
      </x:c>
      <x:c r="E1724" s="13" t="str">
        <x:v>Понедельник</x:v>
      </x:c>
      <x:c r="F1724" s="13" t="str">
        <x:v>Дом / теория</x:v>
      </x:c>
      <x:c r="G1724" s="44" t="n">
        <x:v>0.03680555555555556</x:v>
      </x:c>
      <x:c r="H1724" s="44" t="n">
        <x:v>0.03888888888888889</x:v>
      </x:c>
      <x:c r="I1724" s="32" t="n">
        <x:f>ROUND((H1724-G1724)*1440,0)</x:f>
        <x:v>3</x:v>
      </x:c>
      <x:c r="J1724" s="13" t="str">
        <x:v>Подготовка</x:v>
      </x:c>
      <x:c r="K1724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724" s="13" t="str">
        <x:v>☐ Не начато</x:v>
      </x:c>
      <x:c r="M1724" s="13" t="str">
        <x:v>Обязательно</x:v>
      </x:c>
      <x:c r="N1724" s="13" t="str">
        <x:v>Без нагрузки</x:v>
      </x:c>
      <x:c r="O1724" s="13" t="str">
        <x:v>Кольца и турник — только в рамках программы физиотерапевта.</x:v>
      </x:c>
      <x:c r="P1724" s="13" t="str">
        <x:v>milestone_06_transfer_and_consolidation/week_25_2027-02-22/01_MONDAY.md</x:v>
      </x:c>
      <x:c r="Q1724" s="138" t="str">
        <x:v>Markdown</x:v>
      </x:c>
      <x:c r="R1724" s="20" t="str"/>
    </x:row>
    <x:row r="1725" ht="36" customHeight="1">
      <x:c r="A1725" s="19" t="str">
        <x:v>W25-20270223-1724</x:v>
      </x:c>
      <x:c r="B1725" s="13" t="n">
        <x:v>25</x:v>
      </x:c>
      <x:c r="C1725" s="13" t="str">
        <x:v>Этап 6 — Перенос навыков, шестёрки и закрепление</x:v>
      </x:c>
      <x:c r="D1725" s="138" t="str">
        <x:v>2027-02-23</x:v>
      </x:c>
      <x:c r="E1725" s="13" t="str">
        <x:v>Вторник</x:v>
      </x:c>
      <x:c r="F1725" s="13" t="str">
        <x:v>Тренировка A — техника/объём</x:v>
      </x:c>
      <x:c r="G1725" s="44" t="n">
        <x:v>0</x:v>
      </x:c>
      <x:c r="H1725" s="44" t="n">
        <x:v>0.0020833333333333333</x:v>
      </x:c>
      <x:c r="I1725" s="32" t="n">
        <x:f>ROUND((H1725-G1725)*1440,0)</x:f>
        <x:v>3</x:v>
      </x:c>
      <x:c r="J1725" s="13" t="str">
        <x:v>Самопроверка</x:v>
      </x:c>
      <x:c r="K1725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725" s="13" t="str">
        <x:v>☐ Не начато</x:v>
      </x:c>
      <x:c r="M1725" s="13" t="str">
        <x:v>Обязательно</x:v>
      </x:c>
      <x:c r="N1725" s="13" t="str">
        <x:v>Без нагрузки</x:v>
      </x:c>
      <x:c r="O1725" s="13" t="str">
        <x:v>Красный флаг = не начинать пальцевую нагрузку.</x:v>
      </x:c>
      <x:c r="P1725" s="13" t="str">
        <x:v>milestone_06_transfer_and_consolidation/week_25_2027-02-22/02_TUESDAY.md</x:v>
      </x:c>
      <x:c r="Q1725" s="138" t="str">
        <x:v>Markdown</x:v>
      </x:c>
      <x:c r="R1725" s="20" t="str"/>
    </x:row>
    <x:row r="1726" ht="36" customHeight="1">
      <x:c r="A1726" s="19" t="str">
        <x:v>W25-20270223-1725</x:v>
      </x:c>
      <x:c r="B1726" s="13" t="n">
        <x:v>25</x:v>
      </x:c>
      <x:c r="C1726" s="13" t="str">
        <x:v>Этап 6 — Перенос навыков, шестёрки и закрепление</x:v>
      </x:c>
      <x:c r="D1726" s="138" t="str">
        <x:v>2027-02-23</x:v>
      </x:c>
      <x:c r="E1726" s="13" t="str">
        <x:v>Вторник</x:v>
      </x:c>
      <x:c r="F1726" s="13" t="str">
        <x:v>Тренировка A — техника/объём</x:v>
      </x:c>
      <x:c r="G1726" s="44" t="n">
        <x:v>0.0020833333333333333</x:v>
      </x:c>
      <x:c r="H1726" s="44" t="n">
        <x:v>0.005555555555555556</x:v>
      </x:c>
      <x:c r="I1726" s="32" t="n">
        <x:f>ROUND((H1726-G1726)*1440,0)</x:f>
        <x:v>5</x:v>
      </x:c>
      <x:c r="J1726" s="13" t="str">
        <x:v>Разминка</x:v>
      </x:c>
      <x:c r="K1726" s="13" t="str">
        <x:v>Подними температуру: быстрая ходьба, лестница или лёгкий велотренажёр 5 минут.</x:v>
      </x:c>
      <x:c r="L1726" s="13" t="str">
        <x:v>☐ Не начато</x:v>
      </x:c>
      <x:c r="M1726" s="13" t="str">
        <x:v>Обязательно</x:v>
      </x:c>
      <x:c r="N1726" s="13" t="str">
        <x:v>RPE 2–3</x:v>
      </x:c>
      <x:c r="O1726" s="13" t="str"/>
      <x:c r="P1726" s="13" t="str">
        <x:v>milestone_06_transfer_and_consolidation/week_25_2027-02-22/02_TUESDAY.md</x:v>
      </x:c>
      <x:c r="Q1726" s="138" t="str">
        <x:v>Markdown</x:v>
      </x:c>
      <x:c r="R1726" s="20" t="str"/>
    </x:row>
    <x:row r="1727" ht="36" customHeight="1">
      <x:c r="A1727" s="19" t="str">
        <x:v>W25-20270223-1726</x:v>
      </x:c>
      <x:c r="B1727" s="13" t="n">
        <x:v>25</x:v>
      </x:c>
      <x:c r="C1727" s="13" t="str">
        <x:v>Этап 6 — Перенос навыков, шестёрки и закрепление</x:v>
      </x:c>
      <x:c r="D1727" s="138" t="str">
        <x:v>2027-02-23</x:v>
      </x:c>
      <x:c r="E1727" s="13" t="str">
        <x:v>Вторник</x:v>
      </x:c>
      <x:c r="F1727" s="13" t="str">
        <x:v>Тренировка A — техника/объём</x:v>
      </x:c>
      <x:c r="G1727" s="44" t="n">
        <x:v>0.005555555555555556</x:v>
      </x:c>
      <x:c r="H1727" s="44" t="n">
        <x:v>0.009027777777777777</x:v>
      </x:c>
      <x:c r="I1727" s="32" t="n">
        <x:f>ROUND((H1727-G1727)*1440,0)</x:f>
        <x:v>5</x:v>
      </x:c>
      <x:c r="J1727" s="13" t="str">
        <x:v>Разминка</x:v>
      </x:c>
      <x:c r="K1727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727" s="13" t="str">
        <x:v>☐ Не начато</x:v>
      </x:c>
      <x:c r="M1727" s="13" t="str">
        <x:v>Обязательно</x:v>
      </x:c>
      <x:c r="N1727" s="13" t="str">
        <x:v>Очень легко</x:v>
      </x:c>
      <x:c r="O1727" s="13" t="str">
        <x:v>Не делай press/отжимания и движения, которые раздражают плечо.</x:v>
      </x:c>
      <x:c r="P1727" s="13" t="str">
        <x:v>milestone_06_transfer_and_consolidation/week_25_2027-02-22/02_TUESDAY.md</x:v>
      </x:c>
      <x:c r="Q1727" s="138" t="str">
        <x:v>Markdown</x:v>
      </x:c>
      <x:c r="R1727" s="20" t="str"/>
    </x:row>
    <x:row r="1728" ht="36" customHeight="1">
      <x:c r="A1728" s="19" t="str">
        <x:v>W25-20270223-1727</x:v>
      </x:c>
      <x:c r="B1728" s="13" t="n">
        <x:v>25</x:v>
      </x:c>
      <x:c r="C1728" s="13" t="str">
        <x:v>Этап 6 — Перенос навыков, шестёрки и закрепление</x:v>
      </x:c>
      <x:c r="D1728" s="138" t="str">
        <x:v>2027-02-23</x:v>
      </x:c>
      <x:c r="E1728" s="13" t="str">
        <x:v>Вторник</x:v>
      </x:c>
      <x:c r="F1728" s="13" t="str">
        <x:v>Тренировка A — техника/объём</x:v>
      </x:c>
      <x:c r="G1728" s="44" t="n">
        <x:v>0.009027777777777777</x:v>
      </x:c>
      <x:c r="H1728" s="44" t="n">
        <x:v>0.011805555555555555</x:v>
      </x:c>
      <x:c r="I1728" s="32" t="n">
        <x:f>ROUND((H1728-G1728)*1440,0)</x:f>
        <x:v>4</x:v>
      </x:c>
      <x:c r="J1728" s="13" t="str">
        <x:v>Разминка пальцев</x:v>
      </x:c>
      <x:c r="K1728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728" s="13" t="str">
        <x:v>☐ Не начато</x:v>
      </x:c>
      <x:c r="M1728" s="13" t="str">
        <x:v>Обязательно</x:v>
      </x:c>
      <x:c r="N1728" s="13" t="str">
        <x:v>Очень легко</x:v>
      </x:c>
      <x:c r="O1728" s="13" t="str"/>
      <x:c r="P1728" s="13" t="str">
        <x:v>milestone_06_transfer_and_consolidation/week_25_2027-02-22/02_TUESDAY.md</x:v>
      </x:c>
      <x:c r="Q1728" s="138" t="str">
        <x:v>Markdown</x:v>
      </x:c>
      <x:c r="R1728" s="20" t="str"/>
    </x:row>
    <x:row r="1729" ht="36" customHeight="1">
      <x:c r="A1729" s="19" t="str">
        <x:v>W25-20270223-1728</x:v>
      </x:c>
      <x:c r="B1729" s="13" t="n">
        <x:v>25</x:v>
      </x:c>
      <x:c r="C1729" s="13" t="str">
        <x:v>Этап 6 — Перенос навыков, шестёрки и закрепление</x:v>
      </x:c>
      <x:c r="D1729" s="138" t="str">
        <x:v>2027-02-23</x:v>
      </x:c>
      <x:c r="E1729" s="13" t="str">
        <x:v>Вторник</x:v>
      </x:c>
      <x:c r="F1729" s="13" t="str">
        <x:v>Тренировка A — техника/объём</x:v>
      </x:c>
      <x:c r="G1729" s="44" t="n">
        <x:v>0.011805555555555555</x:v>
      </x:c>
      <x:c r="H1729" s="44" t="n">
        <x:v>0.014583333333333334</x:v>
      </x:c>
      <x:c r="I1729" s="32" t="n">
        <x:f>ROUND((H1729-G1729)*1440,0)</x:f>
        <x:v>4</x:v>
      </x:c>
      <x:c r="J1729" s="13" t="str">
        <x:v>Разминочное лазание</x:v>
      </x:c>
      <x:c r="K1729" s="13" t="str">
        <x:v>Пройди 2 очень лёгкие трассы уровня 1–2; двигайся медленно, спускайся по зацепам.</x:v>
      </x:c>
      <x:c r="L1729" s="13" t="str">
        <x:v>☐ Не начато</x:v>
      </x:c>
      <x:c r="M1729" s="13" t="str">
        <x:v>Обязательно</x:v>
      </x:c>
      <x:c r="N1729" s="13" t="str">
        <x:v>RPE 2–3</x:v>
      </x:c>
      <x:c r="O1729" s="13" t="str">
        <x:v>Финиш с обязательным болезненным mantle/press пропусти.</x:v>
      </x:c>
      <x:c r="P1729" s="13" t="str">
        <x:v>milestone_06_transfer_and_consolidation/week_25_2027-02-22/02_TUESDAY.md</x:v>
      </x:c>
      <x:c r="Q1729" s="138" t="str">
        <x:v>Markdown</x:v>
      </x:c>
      <x:c r="R1729" s="20" t="str"/>
    </x:row>
    <x:row r="1730" ht="36" customHeight="1">
      <x:c r="A1730" s="19" t="str">
        <x:v>W25-20270223-1729</x:v>
      </x:c>
      <x:c r="B1730" s="13" t="n">
        <x:v>25</x:v>
      </x:c>
      <x:c r="C1730" s="13" t="str">
        <x:v>Этап 6 — Перенос навыков, шестёрки и закрепление</x:v>
      </x:c>
      <x:c r="D1730" s="138" t="str">
        <x:v>2027-02-23</x:v>
      </x:c>
      <x:c r="E1730" s="13" t="str">
        <x:v>Вторник</x:v>
      </x:c>
      <x:c r="F1730" s="13" t="str">
        <x:v>Тренировка A — техника/объём</x:v>
      </x:c>
      <x:c r="G1730" s="44" t="n">
        <x:v>0.014583333333333334</x:v>
      </x:c>
      <x:c r="H1730" s="44" t="n">
        <x:v>0.017361111111111112</x:v>
      </x:c>
      <x:c r="I1730" s="32" t="n">
        <x:f>ROUND((H1730-G1730)*1440,0)</x:f>
        <x:v>4</x:v>
      </x:c>
      <x:c r="J1730" s="13" t="str">
        <x:v>Разминочное лазание</x:v>
      </x:c>
      <x:c r="K1730" s="13" t="str">
        <x:v>Пройди 2 трассы уровня 2–3, затем сделай 2–3 движения на комфортной четвёрке. Между ними 45–60 секунд.</x:v>
      </x:c>
      <x:c r="L1730" s="13" t="str">
        <x:v>☐ Не начато</x:v>
      </x:c>
      <x:c r="M1730" s="13" t="str">
        <x:v>Обязательно</x:v>
      </x:c>
      <x:c r="N1730" s="13" t="str">
        <x:v>RPE 3–4</x:v>
      </x:c>
      <x:c r="O1730" s="13" t="str">
        <x:v>Разминка не должна утомить пальцы.</x:v>
      </x:c>
      <x:c r="P1730" s="13" t="str">
        <x:v>milestone_06_transfer_and_consolidation/week_25_2027-02-22/02_TUESDAY.md</x:v>
      </x:c>
      <x:c r="Q1730" s="138" t="str">
        <x:v>Markdown</x:v>
      </x:c>
      <x:c r="R1730" s="20" t="str"/>
    </x:row>
    <x:row r="1731" ht="36" customHeight="1">
      <x:c r="A1731" s="19" t="str">
        <x:v>W25-20270223-1730</x:v>
      </x:c>
      <x:c r="B1731" s="13" t="n">
        <x:v>25</x:v>
      </x:c>
      <x:c r="C1731" s="13" t="str">
        <x:v>Этап 6 — Перенос навыков, шестёрки и закрепление</x:v>
      </x:c>
      <x:c r="D1731" s="138" t="str">
        <x:v>2027-02-23</x:v>
      </x:c>
      <x:c r="E1731" s="13" t="str">
        <x:v>Вторник</x:v>
      </x:c>
      <x:c r="F1731" s="13" t="str">
        <x:v>Тренировка A — техника/объём</x:v>
      </x:c>
      <x:c r="G1731" s="44" t="n">
        <x:v>0.017361111111111112</x:v>
      </x:c>
      <x:c r="H1731" s="44" t="n">
        <x:v>0.030555555555555555</x:v>
      </x:c>
      <x:c r="I1731" s="32" t="n">
        <x:f>ROUND((H1731-G1731)*1440,0)</x:f>
        <x:v>19</x:v>
      </x:c>
      <x:c r="J1731" s="13" t="str">
        <x:v>Техника</x:v>
      </x:c>
      <x:c r="K1731" s="13" t="str">
        <x:v>Пройди 2 знакомые четвёрки, используя cue «Меньше общего объёма, больше свежести и полный отдых перед каждой важной попыткой.». По одной попытке на каждую.</x:v>
      </x:c>
      <x:c r="L1731" s="13" t="str">
        <x:v>☐ Не начато</x:v>
      </x:c>
      <x:c r="M1731" s="13" t="str">
        <x:v>Обязательно</x:v>
      </x:c>
      <x:c r="N1731" s="13" t="str">
        <x:v>RPE 4–5</x:v>
      </x:c>
      <x:c r="O1731" s="13" t="str">
        <x:v>Цель — свежесть, а не усталость.</x:v>
      </x:c>
      <x:c r="P1731" s="13" t="str">
        <x:v>milestone_06_transfer_and_consolidation/week_25_2027-02-22/02_TUESDAY.md</x:v>
      </x:c>
      <x:c r="Q1731" s="138" t="str">
        <x:v>Markdown</x:v>
      </x:c>
      <x:c r="R1731" s="20" t="str"/>
    </x:row>
    <x:row r="1732" ht="36" customHeight="1">
      <x:c r="A1732" s="19" t="str">
        <x:v>W25-20270223-1731</x:v>
      </x:c>
      <x:c r="B1732" s="13" t="n">
        <x:v>25</x:v>
      </x:c>
      <x:c r="C1732" s="13" t="str">
        <x:v>Этап 6 — Перенос навыков, шестёрки и закрепление</x:v>
      </x:c>
      <x:c r="D1732" s="138" t="str">
        <x:v>2027-02-23</x:v>
      </x:c>
      <x:c r="E1732" s="13" t="str">
        <x:v>Вторник</x:v>
      </x:c>
      <x:c r="F1732" s="13" t="str">
        <x:v>Тренировка A — техника/объём</x:v>
      </x:c>
      <x:c r="G1732" s="44" t="n">
        <x:v>0.030555555555555555</x:v>
      </x:c>
      <x:c r="H1732" s="44" t="n">
        <x:v>0.04236111111111111</x:v>
      </x:c>
      <x:c r="I1732" s="32" t="n">
        <x:f>ROUND((H1732-G1732)*1440,0)</x:f>
        <x:v>17</x:v>
      </x:c>
      <x:c r="J1732" s="13" t="str">
        <x:v>Качественный объём</x:v>
      </x:c>
      <x:c r="K1732" s="13" t="str">
        <x:v>Одна знакомая пятёрка: максимум 2 попытки, отдых 4 минуты. Закончить на чистом движении.</x:v>
      </x:c>
      <x:c r="L1732" s="13" t="str">
        <x:v>☐ Не начато</x:v>
      </x:c>
      <x:c r="M1732" s="13" t="str">
        <x:v>Обязательно</x:v>
      </x:c>
      <x:c r="N1732" s="13" t="str">
        <x:v>RPE 6–7</x:v>
      </x:c>
      <x:c r="O1732" s="13" t="str">
        <x:v>Не добавлять домашние висы или «последний тяжёлый круг». Плечо/пальцы должны чувствоваться лучше, а не хуже.</x:v>
      </x:c>
      <x:c r="P1732" s="13" t="str">
        <x:v>milestone_06_transfer_and_consolidation/week_25_2027-02-22/02_TUESDAY.md</x:v>
      </x:c>
      <x:c r="Q1732" s="138" t="str">
        <x:v>Markdown</x:v>
      </x:c>
      <x:c r="R1732" s="20" t="str"/>
    </x:row>
    <x:row r="1733" ht="36" customHeight="1">
      <x:c r="A1733" s="19" t="str">
        <x:v>W25-20270223-1732</x:v>
      </x:c>
      <x:c r="B1733" s="13" t="n">
        <x:v>25</x:v>
      </x:c>
      <x:c r="C1733" s="13" t="str">
        <x:v>Этап 6 — Перенос навыков, шестёрки и закрепление</x:v>
      </x:c>
      <x:c r="D1733" s="138" t="str">
        <x:v>2027-02-23</x:v>
      </x:c>
      <x:c r="E1733" s="13" t="str">
        <x:v>Вторник</x:v>
      </x:c>
      <x:c r="F1733" s="13" t="str">
        <x:v>Тренировка A — техника/объём</x:v>
      </x:c>
      <x:c r="G1733" s="44" t="n">
        <x:v>0.04236111111111111</x:v>
      </x:c>
      <x:c r="H1733" s="44" t="n">
        <x:v>0.04791666666666667</x:v>
      </x:c>
      <x:c r="I1733" s="32" t="n">
        <x:f>ROUND((H1733-G1733)*1440,0)</x:f>
        <x:v>8</x:v>
      </x:c>
      <x:c r="J1733" s="13" t="str">
        <x:v>Лёгкая выносливость</x:v>
      </x:c>
      <x:c r="K1733" s="13" t="str">
        <x:v>Выполни 1 раунд × 2 очень лёгкие трассы только при зелёном состоянии пальцев.</x:v>
      </x:c>
      <x:c r="L1733" s="13" t="str">
        <x:v>☐ Не начато</x:v>
      </x:c>
      <x:c r="M1733" s="13" t="str">
        <x:v>Обязательно</x:v>
      </x:c>
      <x:c r="N1733" s="13" t="str">
        <x:v>RPE 3–4</x:v>
      </x:c>
      <x:c r="O1733" s="13" t="str"/>
      <x:c r="P1733" s="13" t="str">
        <x:v>milestone_06_transfer_and_consolidation/week_25_2027-02-22/02_TUESDAY.md</x:v>
      </x:c>
      <x:c r="Q1733" s="138" t="str">
        <x:v>Markdown</x:v>
      </x:c>
      <x:c r="R1733" s="20" t="str"/>
    </x:row>
    <x:row r="1734" ht="36" customHeight="1">
      <x:c r="A1734" s="19" t="str">
        <x:v>W25-20270223-1733</x:v>
      </x:c>
      <x:c r="B1734" s="13" t="n">
        <x:v>25</x:v>
      </x:c>
      <x:c r="C1734" s="13" t="str">
        <x:v>Этап 6 — Перенос навыков, шестёрки и закрепление</x:v>
      </x:c>
      <x:c r="D1734" s="138" t="str">
        <x:v>2027-02-23</x:v>
      </x:c>
      <x:c r="E1734" s="13" t="str">
        <x:v>Вторник</x:v>
      </x:c>
      <x:c r="F1734" s="13" t="str">
        <x:v>Тренировка A — техника/объём</x:v>
      </x:c>
      <x:c r="G1734" s="44" t="n">
        <x:v>0.04791666666666667</x:v>
      </x:c>
      <x:c r="H1734" s="44" t="n">
        <x:v>0.05555555555555555</x:v>
      </x:c>
      <x:c r="I1734" s="32" t="n">
        <x:f>ROUND((H1734-G1734)*1440,0)</x:f>
        <x:v>11</x:v>
      </x:c>
      <x:c r="J1734" s="13" t="str">
        <x:v>Визуализация проекта</x:v>
      </x:c>
      <x:c r="K1734" s="13" t="str">
        <x:v>Не лезь тяжёлую шестёрку. С земли восстанови последовательность и запиши 2 ключевых cue для четверга.</x:v>
      </x:c>
      <x:c r="L1734" s="13" t="str">
        <x:v>☐ Не начато</x:v>
      </x:c>
      <x:c r="M1734" s="13" t="str">
        <x:v>Обязательно</x:v>
      </x:c>
      <x:c r="N1734" s="13" t="str">
        <x:v>Без нагрузки</x:v>
      </x:c>
      <x:c r="O1734" s="13" t="str"/>
      <x:c r="P1734" s="13" t="str">
        <x:v>milestone_06_transfer_and_consolidation/week_25_2027-02-22/02_TUESDAY.md</x:v>
      </x:c>
      <x:c r="Q1734" s="138" t="str">
        <x:v>Markdown</x:v>
      </x:c>
      <x:c r="R1734" s="20" t="str"/>
    </x:row>
    <x:row r="1735" ht="36" customHeight="1">
      <x:c r="A1735" s="19" t="str">
        <x:v>W25-20270223-1734</x:v>
      </x:c>
      <x:c r="B1735" s="13" t="n">
        <x:v>25</x:v>
      </x:c>
      <x:c r="C1735" s="13" t="str">
        <x:v>Этап 6 — Перенос навыков, шестёрки и закрепление</x:v>
      </x:c>
      <x:c r="D1735" s="138" t="str">
        <x:v>2027-02-23</x:v>
      </x:c>
      <x:c r="E1735" s="13" t="str">
        <x:v>Вторник</x:v>
      </x:c>
      <x:c r="F1735" s="13" t="str">
        <x:v>Тренировка A — техника/объём</x:v>
      </x:c>
      <x:c r="G1735" s="44" t="n">
        <x:v>0.05555555555555555</x:v>
      </x:c>
      <x:c r="H1735" s="44" t="n">
        <x:v>0.0625</x:v>
      </x:c>
      <x:c r="I1735" s="32" t="n">
        <x:f>ROUND((H1735-G1735)*1440,0)</x:f>
        <x:v>10</x:v>
      </x:c>
      <x:c r="J1735" s="13" t="str">
        <x:v>Журнал / завершение</x:v>
      </x:c>
      <x:c r="K1735" s="13" t="str">
        <x:v>Запиши: Оценить качество первой попытки и способность повторить crux свежим.</x:v>
      </x:c>
      <x:c r="L1735" s="13" t="str">
        <x:v>☐ Не начато</x:v>
      </x:c>
      <x:c r="M1735" s="13" t="str">
        <x:v>Обязательно</x:v>
      </x:c>
      <x:c r="N1735" s="13" t="str">
        <x:v>Очень легко</x:v>
      </x:c>
      <x:c r="O1735" s="13" t="str"/>
      <x:c r="P1735" s="13" t="str">
        <x:v>milestone_06_transfer_and_consolidation/week_25_2027-02-22/02_TUESDAY.md</x:v>
      </x:c>
      <x:c r="Q1735" s="138" t="str">
        <x:v>Markdown</x:v>
      </x:c>
      <x:c r="R1735" s="20" t="str"/>
    </x:row>
    <x:row r="1736" ht="36" customHeight="1">
      <x:c r="A1736" s="19" t="str">
        <x:v>W25-20270224-1735</x:v>
      </x:c>
      <x:c r="B1736" s="13" t="n">
        <x:v>25</x:v>
      </x:c>
      <x:c r="C1736" s="13" t="str">
        <x:v>Этап 6 — Перенос навыков, шестёрки и закрепление</x:v>
      </x:c>
      <x:c r="D1736" s="138" t="str">
        <x:v>2027-02-24</x:v>
      </x:c>
      <x:c r="E1736" s="13" t="str">
        <x:v>Среда</x:v>
      </x:c>
      <x:c r="F1736" s="13" t="str">
        <x:v>Восстановление / видео</x:v>
      </x:c>
      <x:c r="G1736" s="44" t="n">
        <x:v>0</x:v>
      </x:c>
      <x:c r="H1736" s="44" t="n">
        <x:v>0.006944444444444444</x:v>
      </x:c>
      <x:c r="I1736" s="32" t="n">
        <x:f>ROUND((H1736-G1736)*1440,0)</x:f>
        <x:v>10</x:v>
      </x:c>
      <x:c r="J1736" s="13" t="str">
        <x:v>Восстановление</x:v>
      </x:c>
      <x:c r="K1736" s="13" t="str">
        <x:v>10 минут спокойной ходьбы. Руки расслаблены; это не тренировка выносливости.</x:v>
      </x:c>
      <x:c r="L1736" s="13" t="str">
        <x:v>☐ Не начато</x:v>
      </x:c>
      <x:c r="M1736" s="13" t="str">
        <x:v>Обязательно</x:v>
      </x:c>
      <x:c r="N1736" s="13" t="str">
        <x:v>RPE 1–2</x:v>
      </x:c>
      <x:c r="O1736" s="13" t="str"/>
      <x:c r="P1736" s="13" t="str">
        <x:v>milestone_06_transfer_and_consolidation/week_25_2027-02-22/03_WEDNESDAY.md</x:v>
      </x:c>
      <x:c r="Q1736" s="138" t="str">
        <x:v>Markdown</x:v>
      </x:c>
      <x:c r="R1736" s="20" t="str"/>
    </x:row>
    <x:row r="1737" ht="36" customHeight="1">
      <x:c r="A1737" s="19" t="str">
        <x:v>W25-20270224-1736</x:v>
      </x:c>
      <x:c r="B1737" s="13" t="n">
        <x:v>25</x:v>
      </x:c>
      <x:c r="C1737" s="13" t="str">
        <x:v>Этап 6 — Перенос навыков, шестёрки и закрепление</x:v>
      </x:c>
      <x:c r="D1737" s="138" t="str">
        <x:v>2027-02-24</x:v>
      </x:c>
      <x:c r="E1737" s="13" t="str">
        <x:v>Среда</x:v>
      </x:c>
      <x:c r="F1737" s="13" t="str">
        <x:v>Восстановление / видео</x:v>
      </x:c>
      <x:c r="G1737" s="44" t="n">
        <x:v>0.006944444444444444</x:v>
      </x:c>
      <x:c r="H1737" s="44" t="n">
        <x:v>0.009027777777777777</x:v>
      </x:c>
      <x:c r="I1737" s="32" t="n">
        <x:f>ROUND((H1737-G1737)*1440,0)</x:f>
        <x:v>3</x:v>
      </x:c>
      <x:c r="J1737" s="13" t="str">
        <x:v>Самопроверка</x:v>
      </x:c>
      <x:c r="K1737" s="13" t="str">
        <x:v>Оцени реакцию после вторника: плечо, пальцы, правое колено 0–10. Запиши, что изменилось относительно вчерашнего утра.</x:v>
      </x:c>
      <x:c r="L1737" s="13" t="str">
        <x:v>☐ Не начато</x:v>
      </x:c>
      <x:c r="M1737" s="13" t="str">
        <x:v>Обязательно</x:v>
      </x:c>
      <x:c r="N1737" s="13" t="str">
        <x:v>Без нагрузки</x:v>
      </x:c>
      <x:c r="O1737" s="13" t="str">
        <x:v>Острая локальная боль пальца или ухудшение плеча = не делать четверговую пальцевую нагрузку.</x:v>
      </x:c>
      <x:c r="P1737" s="13" t="str">
        <x:v>milestone_06_transfer_and_consolidation/week_25_2027-02-22/03_WEDNESDAY.md</x:v>
      </x:c>
      <x:c r="Q1737" s="138" t="str">
        <x:v>Markdown</x:v>
      </x:c>
      <x:c r="R1737" s="20" t="str"/>
    </x:row>
    <x:row r="1738" ht="36" customHeight="1">
      <x:c r="A1738" s="19" t="str">
        <x:v>W25-20270224-1737</x:v>
      </x:c>
      <x:c r="B1738" s="13" t="n">
        <x:v>25</x:v>
      </x:c>
      <x:c r="C1738" s="13" t="str">
        <x:v>Этап 6 — Перенос навыков, шестёрки и закрепление</x:v>
      </x:c>
      <x:c r="D1738" s="138" t="str">
        <x:v>2027-02-24</x:v>
      </x:c>
      <x:c r="E1738" s="13" t="str">
        <x:v>Среда</x:v>
      </x:c>
      <x:c r="F1738" s="13" t="str">
        <x:v>Восстановление / видео</x:v>
      </x:c>
      <x:c r="G1738" s="44" t="n">
        <x:v>0.009027777777777777</x:v>
      </x:c>
      <x:c r="H1738" s="44" t="n">
        <x:v>0.01597222222222222</x:v>
      </x:c>
      <x:c r="I1738" s="32" t="n">
        <x:f>ROUND((H1738-G1738)*1440,0)</x:f>
        <x:v>10</x:v>
      </x:c>
      <x:c r="J1738" s="13" t="str">
        <x:v>Видеоразбор</x:v>
      </x:c>
      <x:c r="K1738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738" s="13" t="str">
        <x:v>☐ Не начато</x:v>
      </x:c>
      <x:c r="M1738" s="13" t="str">
        <x:v>Обязательно</x:v>
      </x:c>
      <x:c r="N1738" s="13" t="str">
        <x:v>Без нагрузки</x:v>
      </x:c>
      <x:c r="O1738" s="13" t="str"/>
      <x:c r="P1738" s="13" t="str">
        <x:v>milestone_06_transfer_and_consolidation/week_25_2027-02-22/03_WEDNESDAY.md</x:v>
      </x:c>
      <x:c r="Q1738" s="138" t="str">
        <x:v>Markdown</x:v>
      </x:c>
      <x:c r="R1738" s="20" t="str"/>
    </x:row>
    <x:row r="1739" ht="36" customHeight="1">
      <x:c r="A1739" s="19" t="str">
        <x:v>W25-20270224-1738</x:v>
      </x:c>
      <x:c r="B1739" s="13" t="n">
        <x:v>25</x:v>
      </x:c>
      <x:c r="C1739" s="13" t="str">
        <x:v>Этап 6 — Перенос навыков, шестёрки и закрепление</x:v>
      </x:c>
      <x:c r="D1739" s="138" t="str">
        <x:v>2027-02-24</x:v>
      </x:c>
      <x:c r="E1739" s="13" t="str">
        <x:v>Среда</x:v>
      </x:c>
      <x:c r="F1739" s="13" t="str">
        <x:v>Восстановление / видео</x:v>
      </x:c>
      <x:c r="G1739" s="44" t="n">
        <x:v>0.01597222222222222</x:v>
      </x:c>
      <x:c r="H1739" s="44" t="n">
        <x:v>0.01875</x:v>
      </x:c>
      <x:c r="I1739" s="32" t="n">
        <x:f>ROUND((H1739-G1739)*1440,0)</x:f>
        <x:v>4</x:v>
      </x:c>
      <x:c r="J1739" s="13" t="str">
        <x:v>Конспект</x:v>
      </x:c>
      <x:c r="K1739" s="13" t="str">
        <x:v>Запиши одну правку на четверг в формате «В следующей попытке я…». Используй cue: «Меньше общего объёма, больше свежести и полный отдых перед каждой важной попыткой.».</x:v>
      </x:c>
      <x:c r="L1739" s="13" t="str">
        <x:v>☐ Не начато</x:v>
      </x:c>
      <x:c r="M1739" s="13" t="str">
        <x:v>Обязательно</x:v>
      </x:c>
      <x:c r="N1739" s="13" t="str">
        <x:v>Без нагрузки</x:v>
      </x:c>
      <x:c r="O1739" s="13" t="str"/>
      <x:c r="P1739" s="13" t="str">
        <x:v>milestone_06_transfer_and_consolidation/week_25_2027-02-22/03_WEDNESDAY.md</x:v>
      </x:c>
      <x:c r="Q1739" s="138" t="str">
        <x:v>Markdown</x:v>
      </x:c>
      <x:c r="R1739" s="20" t="str"/>
    </x:row>
    <x:row r="1740" ht="36" customHeight="1">
      <x:c r="A1740" s="19" t="str">
        <x:v>W25-20270224-1739</x:v>
      </x:c>
      <x:c r="B1740" s="13" t="n">
        <x:v>25</x:v>
      </x:c>
      <x:c r="C1740" s="13" t="str">
        <x:v>Этап 6 — Перенос навыков, шестёрки и закрепление</x:v>
      </x:c>
      <x:c r="D1740" s="138" t="str">
        <x:v>2027-02-24</x:v>
      </x:c>
      <x:c r="E1740" s="13" t="str">
        <x:v>Среда</x:v>
      </x:c>
      <x:c r="F1740" s="13" t="str">
        <x:v>Восстановление / видео</x:v>
      </x:c>
      <x:c r="G1740" s="44" t="n">
        <x:v>0.01875</x:v>
      </x:c>
      <x:c r="H1740" s="44" t="n">
        <x:v>0.027083333333333334</x:v>
      </x:c>
      <x:c r="I1740" s="32" t="n">
        <x:f>ROUND((H1740-G1740)*1440,0)</x:f>
        <x:v>12</x:v>
      </x:c>
      <x:c r="J1740" s="13" t="str">
        <x:v>Домашняя мобильность</x:v>
      </x:c>
      <x:c r="K1740" s="13" t="str">
        <x:v>Выполни комплекс H2 «Баланс и опора ног», 12 минут. Ни турника, ни колец для дополнительного хвата.</x:v>
      </x:c>
      <x:c r="L1740" s="13" t="str">
        <x:v>☐ Не начато</x:v>
      </x:c>
      <x:c r="M1740" s="13" t="str">
        <x:v>Обязательно</x:v>
      </x:c>
      <x:c r="N1740" s="13" t="str">
        <x:v>RPE 2–3</x:v>
      </x:c>
      <x:c r="O1740" s="13" t="str">
        <x:v>Не уходи в глубокий присед. Стена используется как страховка; упражнение не должно провоцировать правое колено.</x:v>
      </x:c>
      <x:c r="P1740" s="13" t="str">
        <x:v>milestone_06_transfer_and_consolidation/week_25_2027-02-22/03_WEDNESDAY.md</x:v>
      </x:c>
      <x:c r="Q1740" s="138" t="str">
        <x:v>Markdown</x:v>
      </x:c>
      <x:c r="R1740" s="20" t="str"/>
    </x:row>
    <x:row r="1741" ht="36" customHeight="1">
      <x:c r="A1741" s="19" t="str">
        <x:v>W25-20270224-1740</x:v>
      </x:c>
      <x:c r="B1741" s="13" t="n">
        <x:v>25</x:v>
      </x:c>
      <x:c r="C1741" s="13" t="str">
        <x:v>Этап 6 — Перенос навыков, шестёрки и закрепление</x:v>
      </x:c>
      <x:c r="D1741" s="138" t="str">
        <x:v>2027-02-24</x:v>
      </x:c>
      <x:c r="E1741" s="13" t="str">
        <x:v>Среда</x:v>
      </x:c>
      <x:c r="F1741" s="13" t="str">
        <x:v>Восстановление / видео</x:v>
      </x:c>
      <x:c r="G1741" s="44" t="n">
        <x:v>0.027083333333333334</x:v>
      </x:c>
      <x:c r="H1741" s="44" t="n">
        <x:v>0.04097222222222222</x:v>
      </x:c>
      <x:c r="I1741" s="32" t="n">
        <x:f>ROUND((H1741-G1741)*1440,0)</x:f>
        <x:v>20</x:v>
      </x:c>
      <x:c r="J1741" s="13" t="str">
        <x:v>Физиотерапия</x:v>
      </x:c>
      <x:c r="K1741" s="13" t="str">
        <x:v>Выполни свой назначенный физиотерапевтом комплекс, если среда входит в его расписание.</x:v>
      </x:c>
      <x:c r="L1741" s="13" t="str">
        <x:v>☐ Не начато</x:v>
      </x:c>
      <x:c r="M1741" s="13" t="str">
        <x:v>По назначению</x:v>
      </x:c>
      <x:c r="N1741" s="13" t="str">
        <x:v>По назначению</x:v>
      </x:c>
      <x:c r="O1741" s="13" t="str">
        <x:v>Назначения физиотерапевта имеют приоритет.</x:v>
      </x:c>
      <x:c r="P1741" s="13" t="str">
        <x:v>milestone_06_transfer_and_consolidation/week_25_2027-02-22/03_WEDNESDAY.md</x:v>
      </x:c>
      <x:c r="Q1741" s="138" t="str">
        <x:v>Markdown</x:v>
      </x:c>
      <x:c r="R1741" s="20" t="str"/>
    </x:row>
    <x:row r="1742" ht="36" customHeight="1">
      <x:c r="A1742" s="19" t="str">
        <x:v>W25-20270224-1741</x:v>
      </x:c>
      <x:c r="B1742" s="13" t="n">
        <x:v>25</x:v>
      </x:c>
      <x:c r="C1742" s="13" t="str">
        <x:v>Этап 6 — Перенос навыков, шестёрки и закрепление</x:v>
      </x:c>
      <x:c r="D1742" s="138" t="str">
        <x:v>2027-02-24</x:v>
      </x:c>
      <x:c r="E1742" s="13" t="str">
        <x:v>Среда</x:v>
      </x:c>
      <x:c r="F1742" s="13" t="str">
        <x:v>Восстановление / видео</x:v>
      </x:c>
      <x:c r="G1742" s="44" t="n">
        <x:v>0.04097222222222222</x:v>
      </x:c>
      <x:c r="H1742" s="44" t="n">
        <x:v>0.043055555555555555</x:v>
      </x:c>
      <x:c r="I1742" s="32" t="n">
        <x:f>ROUND((H1742-G1742)*1440,0)</x:f>
        <x:v>3</x:v>
      </x:c>
      <x:c r="J1742" s="13" t="str">
        <x:v>Запрет лишней нагрузки</x:v>
      </x:c>
      <x:c r="K1742" s="13" t="str">
        <x:v>Поставь отметку: сегодня не было висов, подтягиваний «на проверку», эспандера-сжимателя или тяжёлого ношения.</x:v>
      </x:c>
      <x:c r="L1742" s="13" t="str">
        <x:v>☐ Не начато</x:v>
      </x:c>
      <x:c r="M1742" s="13" t="str">
        <x:v>Обязательно</x:v>
      </x:c>
      <x:c r="N1742" s="13" t="str">
        <x:v>Восстановление</x:v>
      </x:c>
      <x:c r="O1742" s="13" t="str"/>
      <x:c r="P1742" s="13" t="str">
        <x:v>milestone_06_transfer_and_consolidation/week_25_2027-02-22/03_WEDNESDAY.md</x:v>
      </x:c>
      <x:c r="Q1742" s="138" t="str">
        <x:v>Markdown</x:v>
      </x:c>
      <x:c r="R1742" s="20" t="str"/>
    </x:row>
    <x:row r="1743" ht="36" customHeight="1">
      <x:c r="A1743" s="19" t="str">
        <x:v>W25-20270225-1742</x:v>
      </x:c>
      <x:c r="B1743" s="13" t="n">
        <x:v>25</x:v>
      </x:c>
      <x:c r="C1743" s="13" t="str">
        <x:v>Этап 6 — Перенос навыков, шестёрки и закрепление</x:v>
      </x:c>
      <x:c r="D1743" s="138" t="str">
        <x:v>2027-02-25</x:v>
      </x:c>
      <x:c r="E1743" s="13" t="str">
        <x:v>Четверг</x:v>
      </x:c>
      <x:c r="F1743" s="13" t="str">
        <x:v>Тренировка B — пальцы/проект</x:v>
      </x:c>
      <x:c r="G1743" s="44" t="n">
        <x:v>0</x:v>
      </x:c>
      <x:c r="H1743" s="44" t="n">
        <x:v>0.0020833333333333333</x:v>
      </x:c>
      <x:c r="I1743" s="32" t="n">
        <x:f>ROUND((H1743-G1743)*1440,0)</x:f>
        <x:v>3</x:v>
      </x:c>
      <x:c r="J1743" s="13" t="str">
        <x:v>Самопроверка</x:v>
      </x:c>
      <x:c r="K1743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743" s="13" t="str">
        <x:v>☐ Не начато</x:v>
      </x:c>
      <x:c r="M1743" s="13" t="str">
        <x:v>Обязательно</x:v>
      </x:c>
      <x:c r="N1743" s="13" t="str">
        <x:v>Без нагрузки</x:v>
      </x:c>
      <x:c r="O1743" s="13" t="str">
        <x:v>Красный флаг = не начинать пальцевую нагрузку.</x:v>
      </x:c>
      <x:c r="P1743" s="13" t="str">
        <x:v>milestone_06_transfer_and_consolidation/week_25_2027-02-22/04_THURSDAY.md</x:v>
      </x:c>
      <x:c r="Q1743" s="138" t="str">
        <x:v>Markdown</x:v>
      </x:c>
      <x:c r="R1743" s="20" t="str"/>
    </x:row>
    <x:row r="1744" ht="36" customHeight="1">
      <x:c r="A1744" s="19" t="str">
        <x:v>W25-20270225-1743</x:v>
      </x:c>
      <x:c r="B1744" s="13" t="n">
        <x:v>25</x:v>
      </x:c>
      <x:c r="C1744" s="13" t="str">
        <x:v>Этап 6 — Перенос навыков, шестёрки и закрепление</x:v>
      </x:c>
      <x:c r="D1744" s="138" t="str">
        <x:v>2027-02-25</x:v>
      </x:c>
      <x:c r="E1744" s="13" t="str">
        <x:v>Четверг</x:v>
      </x:c>
      <x:c r="F1744" s="13" t="str">
        <x:v>Тренировка B — пальцы/проект</x:v>
      </x:c>
      <x:c r="G1744" s="44" t="n">
        <x:v>0.0020833333333333333</x:v>
      </x:c>
      <x:c r="H1744" s="44" t="n">
        <x:v>0.005555555555555556</x:v>
      </x:c>
      <x:c r="I1744" s="32" t="n">
        <x:f>ROUND((H1744-G1744)*1440,0)</x:f>
        <x:v>5</x:v>
      </x:c>
      <x:c r="J1744" s="13" t="str">
        <x:v>Разминка</x:v>
      </x:c>
      <x:c r="K1744" s="13" t="str">
        <x:v>Подними температуру: быстрая ходьба, лестница или лёгкий велотренажёр 5 минут.</x:v>
      </x:c>
      <x:c r="L1744" s="13" t="str">
        <x:v>☐ Не начато</x:v>
      </x:c>
      <x:c r="M1744" s="13" t="str">
        <x:v>Обязательно</x:v>
      </x:c>
      <x:c r="N1744" s="13" t="str">
        <x:v>RPE 2–3</x:v>
      </x:c>
      <x:c r="O1744" s="13" t="str"/>
      <x:c r="P1744" s="13" t="str">
        <x:v>milestone_06_transfer_and_consolidation/week_25_2027-02-22/04_THURSDAY.md</x:v>
      </x:c>
      <x:c r="Q1744" s="138" t="str">
        <x:v>Markdown</x:v>
      </x:c>
      <x:c r="R1744" s="20" t="str"/>
    </x:row>
    <x:row r="1745" ht="36" customHeight="1">
      <x:c r="A1745" s="19" t="str">
        <x:v>W25-20270225-1744</x:v>
      </x:c>
      <x:c r="B1745" s="13" t="n">
        <x:v>25</x:v>
      </x:c>
      <x:c r="C1745" s="13" t="str">
        <x:v>Этап 6 — Перенос навыков, шестёрки и закрепление</x:v>
      </x:c>
      <x:c r="D1745" s="138" t="str">
        <x:v>2027-02-25</x:v>
      </x:c>
      <x:c r="E1745" s="13" t="str">
        <x:v>Четверг</x:v>
      </x:c>
      <x:c r="F1745" s="13" t="str">
        <x:v>Тренировка B — пальцы/проект</x:v>
      </x:c>
      <x:c r="G1745" s="44" t="n">
        <x:v>0.005555555555555556</x:v>
      </x:c>
      <x:c r="H1745" s="44" t="n">
        <x:v>0.009027777777777777</x:v>
      </x:c>
      <x:c r="I1745" s="32" t="n">
        <x:f>ROUND((H1745-G1745)*1440,0)</x:f>
        <x:v>5</x:v>
      </x:c>
      <x:c r="J1745" s="13" t="str">
        <x:v>Разминка</x:v>
      </x:c>
      <x:c r="K1745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745" s="13" t="str">
        <x:v>☐ Не начато</x:v>
      </x:c>
      <x:c r="M1745" s="13" t="str">
        <x:v>Обязательно</x:v>
      </x:c>
      <x:c r="N1745" s="13" t="str">
        <x:v>Очень легко</x:v>
      </x:c>
      <x:c r="O1745" s="13" t="str">
        <x:v>Не делай press/отжимания и движения, которые раздражают плечо.</x:v>
      </x:c>
      <x:c r="P1745" s="13" t="str">
        <x:v>milestone_06_transfer_and_consolidation/week_25_2027-02-22/04_THURSDAY.md</x:v>
      </x:c>
      <x:c r="Q1745" s="138" t="str">
        <x:v>Markdown</x:v>
      </x:c>
      <x:c r="R1745" s="20" t="str"/>
    </x:row>
    <x:row r="1746" ht="36" customHeight="1">
      <x:c r="A1746" s="19" t="str">
        <x:v>W25-20270225-1745</x:v>
      </x:c>
      <x:c r="B1746" s="13" t="n">
        <x:v>25</x:v>
      </x:c>
      <x:c r="C1746" s="13" t="str">
        <x:v>Этап 6 — Перенос навыков, шестёрки и закрепление</x:v>
      </x:c>
      <x:c r="D1746" s="138" t="str">
        <x:v>2027-02-25</x:v>
      </x:c>
      <x:c r="E1746" s="13" t="str">
        <x:v>Четверг</x:v>
      </x:c>
      <x:c r="F1746" s="13" t="str">
        <x:v>Тренировка B — пальцы/проект</x:v>
      </x:c>
      <x:c r="G1746" s="44" t="n">
        <x:v>0.009027777777777777</x:v>
      </x:c>
      <x:c r="H1746" s="44" t="n">
        <x:v>0.011805555555555555</x:v>
      </x:c>
      <x:c r="I1746" s="32" t="n">
        <x:f>ROUND((H1746-G1746)*1440,0)</x:f>
        <x:v>4</x:v>
      </x:c>
      <x:c r="J1746" s="13" t="str">
        <x:v>Разминка пальцев</x:v>
      </x:c>
      <x:c r="K1746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746" s="13" t="str">
        <x:v>☐ Не начато</x:v>
      </x:c>
      <x:c r="M1746" s="13" t="str">
        <x:v>Обязательно</x:v>
      </x:c>
      <x:c r="N1746" s="13" t="str">
        <x:v>Очень легко</x:v>
      </x:c>
      <x:c r="O1746" s="13" t="str"/>
      <x:c r="P1746" s="13" t="str">
        <x:v>milestone_06_transfer_and_consolidation/week_25_2027-02-22/04_THURSDAY.md</x:v>
      </x:c>
      <x:c r="Q1746" s="138" t="str">
        <x:v>Markdown</x:v>
      </x:c>
      <x:c r="R1746" s="20" t="str"/>
    </x:row>
    <x:row r="1747" ht="36" customHeight="1">
      <x:c r="A1747" s="19" t="str">
        <x:v>W25-20270225-1746</x:v>
      </x:c>
      <x:c r="B1747" s="13" t="n">
        <x:v>25</x:v>
      </x:c>
      <x:c r="C1747" s="13" t="str">
        <x:v>Этап 6 — Перенос навыков, шестёрки и закрепление</x:v>
      </x:c>
      <x:c r="D1747" s="138" t="str">
        <x:v>2027-02-25</x:v>
      </x:c>
      <x:c r="E1747" s="13" t="str">
        <x:v>Четверг</x:v>
      </x:c>
      <x:c r="F1747" s="13" t="str">
        <x:v>Тренировка B — пальцы/проект</x:v>
      </x:c>
      <x:c r="G1747" s="44" t="n">
        <x:v>0.011805555555555555</x:v>
      </x:c>
      <x:c r="H1747" s="44" t="n">
        <x:v>0.014583333333333334</x:v>
      </x:c>
      <x:c r="I1747" s="32" t="n">
        <x:f>ROUND((H1747-G1747)*1440,0)</x:f>
        <x:v>4</x:v>
      </x:c>
      <x:c r="J1747" s="13" t="str">
        <x:v>Разминочное лазание</x:v>
      </x:c>
      <x:c r="K1747" s="13" t="str">
        <x:v>Пройди 2 очень лёгкие трассы уровня 1–2; двигайся медленно, спускайся по зацепам.</x:v>
      </x:c>
      <x:c r="L1747" s="13" t="str">
        <x:v>☐ Не начато</x:v>
      </x:c>
      <x:c r="M1747" s="13" t="str">
        <x:v>Обязательно</x:v>
      </x:c>
      <x:c r="N1747" s="13" t="str">
        <x:v>RPE 2–3</x:v>
      </x:c>
      <x:c r="O1747" s="13" t="str">
        <x:v>Финиш с обязательным болезненным mantle/press пропусти.</x:v>
      </x:c>
      <x:c r="P1747" s="13" t="str">
        <x:v>milestone_06_transfer_and_consolidation/week_25_2027-02-22/04_THURSDAY.md</x:v>
      </x:c>
      <x:c r="Q1747" s="138" t="str">
        <x:v>Markdown</x:v>
      </x:c>
      <x:c r="R1747" s="20" t="str"/>
    </x:row>
    <x:row r="1748" ht="36" customHeight="1">
      <x:c r="A1748" s="19" t="str">
        <x:v>W25-20270225-1747</x:v>
      </x:c>
      <x:c r="B1748" s="13" t="n">
        <x:v>25</x:v>
      </x:c>
      <x:c r="C1748" s="13" t="str">
        <x:v>Этап 6 — Перенос навыков, шестёрки и закрепление</x:v>
      </x:c>
      <x:c r="D1748" s="138" t="str">
        <x:v>2027-02-25</x:v>
      </x:c>
      <x:c r="E1748" s="13" t="str">
        <x:v>Четверг</x:v>
      </x:c>
      <x:c r="F1748" s="13" t="str">
        <x:v>Тренировка B — пальцы/проект</x:v>
      </x:c>
      <x:c r="G1748" s="44" t="n">
        <x:v>0.014583333333333334</x:v>
      </x:c>
      <x:c r="H1748" s="44" t="n">
        <x:v>0.017361111111111112</x:v>
      </x:c>
      <x:c r="I1748" s="32" t="n">
        <x:f>ROUND((H1748-G1748)*1440,0)</x:f>
        <x:v>4</x:v>
      </x:c>
      <x:c r="J1748" s="13" t="str">
        <x:v>Разминочное лазание</x:v>
      </x:c>
      <x:c r="K1748" s="13" t="str">
        <x:v>Пройди 2 трассы уровня 2–3, затем сделай 2–3 движения на комфортной четвёрке. Между ними 45–60 секунд.</x:v>
      </x:c>
      <x:c r="L1748" s="13" t="str">
        <x:v>☐ Не начато</x:v>
      </x:c>
      <x:c r="M1748" s="13" t="str">
        <x:v>Обязательно</x:v>
      </x:c>
      <x:c r="N1748" s="13" t="str">
        <x:v>RPE 3–4</x:v>
      </x:c>
      <x:c r="O1748" s="13" t="str">
        <x:v>Разминка не должна утомить пальцы.</x:v>
      </x:c>
      <x:c r="P1748" s="13" t="str">
        <x:v>milestone_06_transfer_and_consolidation/week_25_2027-02-22/04_THURSDAY.md</x:v>
      </x:c>
      <x:c r="Q1748" s="138" t="str">
        <x:v>Markdown</x:v>
      </x:c>
      <x:c r="R1748" s="20" t="str"/>
    </x:row>
    <x:row r="1749" ht="36" customHeight="1">
      <x:c r="A1749" s="19" t="str">
        <x:v>W25-20270225-1748</x:v>
      </x:c>
      <x:c r="B1749" s="13" t="n">
        <x:v>25</x:v>
      </x:c>
      <x:c r="C1749" s="13" t="str">
        <x:v>Этап 6 — Перенос навыков, шестёрки и закрепление</x:v>
      </x:c>
      <x:c r="D1749" s="138" t="str">
        <x:v>2027-02-25</x:v>
      </x:c>
      <x:c r="E1749" s="13" t="str">
        <x:v>Четверг</x:v>
      </x:c>
      <x:c r="F1749" s="13" t="str">
        <x:v>Тренировка B — пальцы/проект</x:v>
      </x:c>
      <x:c r="G1749" s="44" t="n">
        <x:v>0.017361111111111112</x:v>
      </x:c>
      <x:c r="H1749" s="44" t="n">
        <x:v>0.019444444444444445</x:v>
      </x:c>
      <x:c r="I1749" s="32" t="n">
        <x:f>ROUND((H1749-G1749)*1440,0)</x:f>
        <x:v>3</x:v>
      </x:c>
      <x:c r="J1749" s="13" t="str">
        <x:v>Фингерборд — готовность</x:v>
      </x:c>
      <x:c r="K1749" s="13" t="str">
        <x:v>Выбери самую большую удобную закруглённую кромку (ориентир 25–30 мм). Две руки, четыре пальца, ноги на полу/ступени снимают вес.</x:v>
      </x:c>
      <x:c r="L1749" s="13" t="str">
        <x:v>☐ Не начато</x:v>
      </x:c>
      <x:c r="M1749" s="13" t="str">
        <x:v>Обязательно</x:v>
      </x:c>
      <x:c r="N1749" s="13" t="str">
        <x:v>Подготовка</x:v>
      </x:c>
      <x:c r="O1749" s="13" t="str">
        <x:v>Плечо полностью спокойно; full crimp, карманы, одна рука и допвес запрещены.</x:v>
      </x:c>
      <x:c r="P1749" s="13" t="str">
        <x:v>milestone_06_transfer_and_consolidation/week_25_2027-02-22/04_THURSDAY.md</x:v>
      </x:c>
      <x:c r="Q1749" s="138" t="str">
        <x:v>Markdown</x:v>
      </x:c>
      <x:c r="R1749" s="20" t="str"/>
    </x:row>
    <x:row r="1750" ht="36" customHeight="1">
      <x:c r="A1750" s="19" t="str">
        <x:v>W25-20270225-1749</x:v>
      </x:c>
      <x:c r="B1750" s="13" t="n">
        <x:v>25</x:v>
      </x:c>
      <x:c r="C1750" s="13" t="str">
        <x:v>Этап 6 — Перенос навыков, шестёрки и закрепление</x:v>
      </x:c>
      <x:c r="D1750" s="138" t="str">
        <x:v>2027-02-25</x:v>
      </x:c>
      <x:c r="E1750" s="13" t="str">
        <x:v>Четверг</x:v>
      </x:c>
      <x:c r="F1750" s="13" t="str">
        <x:v>Тренировка B — пальцы/проект</x:v>
      </x:c>
      <x:c r="G1750" s="44" t="n">
        <x:v>0.019444444444444445</x:v>
      </x:c>
      <x:c r="H1750" s="44" t="n">
        <x:v>0.029861111111111113</x:v>
      </x:c>
      <x:c r="I1750" s="32" t="n">
        <x:f>ROUND((H1750-G1750)*1440,0)</x:f>
        <x:v>15</x:v>
      </x:c>
      <x:c r="J1750" s="13" t="str">
        <x:v>Фингерборд</x:v>
      </x:c>
      <x:c r="K1750" s="13" t="str">
        <x:v>Выполни протокол: 3 × 7 сек, ноги помогают, RPE 6, отдых 2:00. Запусти таймер. Каждый вис прекращай с указанным запасом; форма кисти не меняется.</x:v>
      </x:c>
      <x:c r="L1750" s="13" t="str">
        <x:v>☐ Не начато</x:v>
      </x:c>
      <x:c r="M1750" s="13" t="str">
        <x:v>Обязательно</x:v>
      </x:c>
      <x:c r="N1750" s="13" t="str">
        <x:v>3 × 7 сек, ноги помогают, RPE 6, отдых 2:00</x:v>
      </x:c>
      <x:c r="O1750" s="13" t="str">
        <x:v>Острая боль, дрожь формы, падение RPE-контроля или боль плеча = закончить блок.</x:v>
      </x:c>
      <x:c r="P1750" s="13" t="str">
        <x:v>milestone_06_transfer_and_consolidation/week_25_2027-02-22/04_THURSDAY.md</x:v>
      </x:c>
      <x:c r="Q1750" s="138" t="str">
        <x:v>Markdown</x:v>
      </x:c>
      <x:c r="R1750" s="20" t="str"/>
    </x:row>
    <x:row r="1751" ht="36" customHeight="1">
      <x:c r="A1751" s="19" t="str">
        <x:v>W25-20270225-1750</x:v>
      </x:c>
      <x:c r="B1751" s="13" t="n">
        <x:v>25</x:v>
      </x:c>
      <x:c r="C1751" s="13" t="str">
        <x:v>Этап 6 — Перенос навыков, шестёрки и закрепление</x:v>
      </x:c>
      <x:c r="D1751" s="138" t="str">
        <x:v>2027-02-25</x:v>
      </x:c>
      <x:c r="E1751" s="13" t="str">
        <x:v>Четверг</x:v>
      </x:c>
      <x:c r="F1751" s="13" t="str">
        <x:v>Тренировка B — пальцы/проект</x:v>
      </x:c>
      <x:c r="G1751" s="44" t="n">
        <x:v>0.029861111111111113</x:v>
      </x:c>
      <x:c r="H1751" s="44" t="n">
        <x:v>0.03194444444444444</x:v>
      </x:c>
      <x:c r="I1751" s="32" t="n">
        <x:f>ROUND((H1751-G1751)*1440,0)</x:f>
        <x:v>3</x:v>
      </x:c>
      <x:c r="J1751" s="13" t="str">
        <x:v>Фингерборд — запись</x:v>
      </x:c>
      <x:c r="K1751" s="13" t="str">
        <x:v>Запиши кромку/опору ног, фактические секунды и RPE последнего повтора. Прогрессировать можно только одним параметром за раз и только на следующей неделе.</x:v>
      </x:c>
      <x:c r="L1751" s="13" t="str">
        <x:v>☐ Не начато</x:v>
      </x:c>
      <x:c r="M1751" s="13" t="str">
        <x:v>Обязательно</x:v>
      </x:c>
      <x:c r="N1751" s="13" t="str">
        <x:v>Без нагрузки</x:v>
      </x:c>
      <x:c r="O1751" s="13" t="str"/>
      <x:c r="P1751" s="13" t="str">
        <x:v>milestone_06_transfer_and_consolidation/week_25_2027-02-22/04_THURSDAY.md</x:v>
      </x:c>
      <x:c r="Q1751" s="138" t="str">
        <x:v>Markdown</x:v>
      </x:c>
      <x:c r="R1751" s="20" t="str"/>
    </x:row>
    <x:row r="1752" ht="36" customHeight="1">
      <x:c r="A1752" s="19" t="str">
        <x:v>W25-20270225-1751</x:v>
      </x:c>
      <x:c r="B1752" s="13" t="n">
        <x:v>25</x:v>
      </x:c>
      <x:c r="C1752" s="13" t="str">
        <x:v>Этап 6 — Перенос навыков, шестёрки и закрепление</x:v>
      </x:c>
      <x:c r="D1752" s="138" t="str">
        <x:v>2027-02-25</x:v>
      </x:c>
      <x:c r="E1752" s="13" t="str">
        <x:v>Четверг</x:v>
      </x:c>
      <x:c r="F1752" s="13" t="str">
        <x:v>Тренировка B — пальцы/проект</x:v>
      </x:c>
      <x:c r="G1752" s="44" t="n">
        <x:v>0.03194444444444444</x:v>
      </x:c>
      <x:c r="H1752" s="44" t="n">
        <x:v>0.035416666666666666</x:v>
      </x:c>
      <x:c r="I1752" s="32" t="n">
        <x:f>ROUND((H1752-G1752)*1440,0)</x:f>
        <x:v>5</x:v>
      </x:c>
      <x:c r="J1752" s="13" t="str">
        <x:v>Отдых</x:v>
      </x:c>
      <x:c r="K1752" s="13" t="str">
        <x:v>5 минут полного отдыха: ходьба, вода, без лазания и без тестового виса.</x:v>
      </x:c>
      <x:c r="L1752" s="13" t="str">
        <x:v>☐ Не начато</x:v>
      </x:c>
      <x:c r="M1752" s="13" t="str">
        <x:v>Обязательно</x:v>
      </x:c>
      <x:c r="N1752" s="13" t="str">
        <x:v>Восстановление</x:v>
      </x:c>
      <x:c r="O1752" s="13" t="str"/>
      <x:c r="P1752" s="13" t="str">
        <x:v>milestone_06_transfer_and_consolidation/week_25_2027-02-22/04_THURSDAY.md</x:v>
      </x:c>
      <x:c r="Q1752" s="138" t="str">
        <x:v>Markdown</x:v>
      </x:c>
      <x:c r="R1752" s="20" t="str"/>
    </x:row>
    <x:row r="1753" ht="36" customHeight="1">
      <x:c r="A1753" s="19" t="str">
        <x:v>W25-20270225-1752</x:v>
      </x:c>
      <x:c r="B1753" s="13" t="n">
        <x:v>25</x:v>
      </x:c>
      <x:c r="C1753" s="13" t="str">
        <x:v>Этап 6 — Перенос навыков, шестёрки и закрепление</x:v>
      </x:c>
      <x:c r="D1753" s="138" t="str">
        <x:v>2027-02-25</x:v>
      </x:c>
      <x:c r="E1753" s="13" t="str">
        <x:v>Четверг</x:v>
      </x:c>
      <x:c r="F1753" s="13" t="str">
        <x:v>Тренировка B — пальцы/проект</x:v>
      </x:c>
      <x:c r="G1753" s="44" t="n">
        <x:v>0.035416666666666666</x:v>
      </x:c>
      <x:c r="H1753" s="44" t="n">
        <x:v>0.03819444444444445</x:v>
      </x:c>
      <x:c r="I1753" s="32" t="n">
        <x:f>ROUND((H1753-G1753)*1440,0)</x:f>
        <x:v>4</x:v>
      </x:c>
      <x:c r="J1753" s="13" t="str">
        <x:v>Выбор проекта</x:v>
      </x:c>
      <x:c r="K1753" s="13" t="str">
        <x:v>Выбери трассу по критериям недели: Основная шестёрка: 3–5 попыток с 5 минутами отдыха. После двух ухудшившихся попыток закончить проект.</x:v>
      </x:c>
      <x:c r="L1753" s="13" t="str">
        <x:v>☐ Не начато</x:v>
      </x:c>
      <x:c r="M1753" s="13" t="str">
        <x:v>Обязательно</x:v>
      </x:c>
      <x:c r="N1753" s="13" t="str">
        <x:v>Без нагрузки</x:v>
      </x:c>
      <x:c r="O1753" s="13" t="str">
        <x:v>Не добавлять домашние висы или «последний тяжёлый круг». Плечо/пальцы должны чувствоваться лучше, а не хуже.</x:v>
      </x:c>
      <x:c r="P1753" s="13" t="str">
        <x:v>milestone_06_transfer_and_consolidation/week_25_2027-02-22/04_THURSDAY.md</x:v>
      </x:c>
      <x:c r="Q1753" s="138" t="str">
        <x:v>Markdown</x:v>
      </x:c>
      <x:c r="R1753" s="20" t="str"/>
    </x:row>
    <x:row r="1754" ht="36" customHeight="1">
      <x:c r="A1754" s="19" t="str">
        <x:v>W25-20270225-1753</x:v>
      </x:c>
      <x:c r="B1754" s="13" t="n">
        <x:v>25</x:v>
      </x:c>
      <x:c r="C1754" s="13" t="str">
        <x:v>Этап 6 — Перенос навыков, шестёрки и закрепление</x:v>
      </x:c>
      <x:c r="D1754" s="138" t="str">
        <x:v>2027-02-25</x:v>
      </x:c>
      <x:c r="E1754" s="13" t="str">
        <x:v>Четверг</x:v>
      </x:c>
      <x:c r="F1754" s="13" t="str">
        <x:v>Тренировка B — пальцы/проект</x:v>
      </x:c>
      <x:c r="G1754" s="44" t="n">
        <x:v>0.03819444444444445</x:v>
      </x:c>
      <x:c r="H1754" s="44" t="n">
        <x:v>0.041666666666666664</x:v>
      </x:c>
      <x:c r="I1754" s="32" t="n">
        <x:f>ROUND((H1754-G1754)*1440,0)</x:f>
        <x:v>5</x:v>
      </x:c>
      <x:c r="J1754" s="13" t="str">
        <x:v>Проект — попытка 1</x:v>
      </x:c>
      <x:c r="K1754" s="13" t="str">
        <x:v>Сделай первую полную диагностическую попытку. После падения не повторяй сразу: назови точную причину.</x:v>
      </x:c>
      <x:c r="L1754" s="13" t="str">
        <x:v>☐ Не начато</x:v>
      </x:c>
      <x:c r="M1754" s="13" t="str">
        <x:v>Обязательно</x:v>
      </x:c>
      <x:c r="N1754" s="13" t="str">
        <x:v>RPE 7–8</x:v>
      </x:c>
      <x:c r="O1754" s="13" t="str">
        <x:v>Прекратить движение при боли, а не после падения.</x:v>
      </x:c>
      <x:c r="P1754" s="13" t="str">
        <x:v>milestone_06_transfer_and_consolidation/week_25_2027-02-22/04_THURSDAY.md</x:v>
      </x:c>
      <x:c r="Q1754" s="138" t="str">
        <x:v>Markdown</x:v>
      </x:c>
      <x:c r="R1754" s="20" t="str"/>
    </x:row>
    <x:row r="1755" ht="36" customHeight="1">
      <x:c r="A1755" s="19" t="str">
        <x:v>W25-20270225-1754</x:v>
      </x:c>
      <x:c r="B1755" s="13" t="n">
        <x:v>25</x:v>
      </x:c>
      <x:c r="C1755" s="13" t="str">
        <x:v>Этап 6 — Перенос навыков, шестёрки и закрепление</x:v>
      </x:c>
      <x:c r="D1755" s="138" t="str">
        <x:v>2027-02-25</x:v>
      </x:c>
      <x:c r="E1755" s="13" t="str">
        <x:v>Четверг</x:v>
      </x:c>
      <x:c r="F1755" s="13" t="str">
        <x:v>Тренировка B — пальцы/проект</x:v>
      </x:c>
      <x:c r="G1755" s="44" t="n">
        <x:v>0.041666666666666664</x:v>
      </x:c>
      <x:c r="H1755" s="44" t="n">
        <x:v>0.04513888888888889</x:v>
      </x:c>
      <x:c r="I1755" s="32" t="n">
        <x:f>ROUND((H1755-G1755)*1440,0)</x:f>
        <x:v>5</x:v>
      </x:c>
      <x:c r="J1755" s="13" t="str">
        <x:v>Отдых / гипотеза</x:v>
      </x:c>
      <x:c r="K1755" s="13" t="str">
        <x:v>Отдых 4–5 минут. Запиши одну гипотезу: стопа, положение таза, хват или темп.</x:v>
      </x:c>
      <x:c r="L1755" s="13" t="str">
        <x:v>☐ Не начато</x:v>
      </x:c>
      <x:c r="M1755" s="13" t="str">
        <x:v>Обязательно</x:v>
      </x:c>
      <x:c r="N1755" s="13" t="str">
        <x:v>Восстановление</x:v>
      </x:c>
      <x:c r="O1755" s="13" t="str"/>
      <x:c r="P1755" s="13" t="str">
        <x:v>milestone_06_transfer_and_consolidation/week_25_2027-02-22/04_THURSDAY.md</x:v>
      </x:c>
      <x:c r="Q1755" s="138" t="str">
        <x:v>Markdown</x:v>
      </x:c>
      <x:c r="R1755" s="20" t="str"/>
    </x:row>
    <x:row r="1756" ht="36" customHeight="1">
      <x:c r="A1756" s="19" t="str">
        <x:v>W25-20270225-1755</x:v>
      </x:c>
      <x:c r="B1756" s="13" t="n">
        <x:v>25</x:v>
      </x:c>
      <x:c r="C1756" s="13" t="str">
        <x:v>Этап 6 — Перенос навыков, шестёрки и закрепление</x:v>
      </x:c>
      <x:c r="D1756" s="138" t="str">
        <x:v>2027-02-25</x:v>
      </x:c>
      <x:c r="E1756" s="13" t="str">
        <x:v>Четверг</x:v>
      </x:c>
      <x:c r="F1756" s="13" t="str">
        <x:v>Тренировка B — пальцы/проект</x:v>
      </x:c>
      <x:c r="G1756" s="44" t="n">
        <x:v>0.04513888888888889</x:v>
      </x:c>
      <x:c r="H1756" s="44" t="n">
        <x:v>0.049305555555555554</x:v>
      </x:c>
      <x:c r="I1756" s="32" t="n">
        <x:f>ROUND((H1756-G1756)*1440,0)</x:f>
        <x:v>6</x:v>
      </x:c>
      <x:c r="J1756" s="13" t="str">
        <x:v>Проект — попытки 2–3</x:v>
      </x:c>
      <x:c r="K1756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756" s="13" t="str">
        <x:v>☐ Не начато</x:v>
      </x:c>
      <x:c r="M1756" s="13" t="str">
        <x:v>Обязательно</x:v>
      </x:c>
      <x:c r="N1756" s="13" t="str">
        <x:v>RPE 7–8, без отказа</x:v>
      </x:c>
      <x:c r="O1756" s="13" t="str">
        <x:v>Не смотреть beta заранее: сначала собственная гипотеза.</x:v>
      </x:c>
      <x:c r="P1756" s="13" t="str">
        <x:v>milestone_06_transfer_and_consolidation/week_25_2027-02-22/04_THURSDAY.md</x:v>
      </x:c>
      <x:c r="Q1756" s="138" t="str">
        <x:v>Markdown</x:v>
      </x:c>
      <x:c r="R1756" s="20" t="str"/>
    </x:row>
    <x:row r="1757" ht="36" customHeight="1">
      <x:c r="A1757" s="19" t="str">
        <x:v>W25-20270225-1756</x:v>
      </x:c>
      <x:c r="B1757" s="13" t="n">
        <x:v>25</x:v>
      </x:c>
      <x:c r="C1757" s="13" t="str">
        <x:v>Этап 6 — Перенос навыков, шестёрки и закрепление</x:v>
      </x:c>
      <x:c r="D1757" s="138" t="str">
        <x:v>2027-02-25</x:v>
      </x:c>
      <x:c r="E1757" s="13" t="str">
        <x:v>Четверг</x:v>
      </x:c>
      <x:c r="F1757" s="13" t="str">
        <x:v>Тренировка B — пальцы/проект</x:v>
      </x:c>
      <x:c r="G1757" s="44" t="n">
        <x:v>0.049305555555555554</x:v>
      </x:c>
      <x:c r="H1757" s="44" t="n">
        <x:v>0.05277777777777778</x:v>
      </x:c>
      <x:c r="I1757" s="32" t="n">
        <x:f>ROUND((H1757-G1757)*1440,0)</x:f>
        <x:v>5</x:v>
      </x:c>
      <x:c r="J1757" s="13" t="str">
        <x:v>Проект — заключительная попытка</x:v>
      </x:c>
      <x:c r="K1757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757" s="13" t="str">
        <x:v>☐ Не начато</x:v>
      </x:c>
      <x:c r="M1757" s="13" t="str">
        <x:v>Обязательно</x:v>
      </x:c>
      <x:c r="N1757" s="13" t="str">
        <x:v>RPE 8, с запасом</x:v>
      </x:c>
      <x:c r="O1757" s="13" t="str">
        <x:v>Не добавлять домашние висы или «последний тяжёлый круг». Плечо/пальцы должны чувствоваться лучше, а не хуже.</x:v>
      </x:c>
      <x:c r="P1757" s="13" t="str">
        <x:v>milestone_06_transfer_and_consolidation/week_25_2027-02-22/04_THURSDAY.md</x:v>
      </x:c>
      <x:c r="Q1757" s="138" t="str">
        <x:v>Markdown</x:v>
      </x:c>
      <x:c r="R1757" s="20" t="str"/>
    </x:row>
    <x:row r="1758" ht="36" customHeight="1">
      <x:c r="A1758" s="19" t="str">
        <x:v>W25-20270225-1757</x:v>
      </x:c>
      <x:c r="B1758" s="13" t="n">
        <x:v>25</x:v>
      </x:c>
      <x:c r="C1758" s="13" t="str">
        <x:v>Этап 6 — Перенос навыков, шестёрки и закрепление</x:v>
      </x:c>
      <x:c r="D1758" s="138" t="str">
        <x:v>2027-02-25</x:v>
      </x:c>
      <x:c r="E1758" s="13" t="str">
        <x:v>Четверг</x:v>
      </x:c>
      <x:c r="F1758" s="13" t="str">
        <x:v>Тренировка B — пальцы/проект</x:v>
      </x:c>
      <x:c r="G1758" s="44" t="n">
        <x:v>0.05277777777777778</x:v>
      </x:c>
      <x:c r="H1758" s="44" t="n">
        <x:v>0.05763888888888889</x:v>
      </x:c>
      <x:c r="I1758" s="32" t="n">
        <x:f>ROUND((H1758-G1758)*1440,0)</x:f>
        <x:v>7</x:v>
      </x:c>
      <x:c r="J1758" s="13" t="str">
        <x:v>Вторичная трасса</x:v>
      </x:c>
      <x:c r="K1758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758" s="13" t="str">
        <x:v>☐ Не начато</x:v>
      </x:c>
      <x:c r="M1758" s="13" t="str">
        <x:v>Обязательно</x:v>
      </x:c>
      <x:c r="N1758" s="13" t="str">
        <x:v>RPE 5–7</x:v>
      </x:c>
      <x:c r="O1758" s="13" t="str">
        <x:v>Пропустить, если хват уже просел.</x:v>
      </x:c>
      <x:c r="P1758" s="13" t="str">
        <x:v>milestone_06_transfer_and_consolidation/week_25_2027-02-22/04_THURSDAY.md</x:v>
      </x:c>
      <x:c r="Q1758" s="138" t="str">
        <x:v>Markdown</x:v>
      </x:c>
      <x:c r="R1758" s="20" t="str"/>
    </x:row>
    <x:row r="1759" ht="36" customHeight="1">
      <x:c r="A1759" s="19" t="str">
        <x:v>W25-20270225-1758</x:v>
      </x:c>
      <x:c r="B1759" s="13" t="n">
        <x:v>25</x:v>
      </x:c>
      <x:c r="C1759" s="13" t="str">
        <x:v>Этап 6 — Перенос навыков, шестёрки и закрепление</x:v>
      </x:c>
      <x:c r="D1759" s="138" t="str">
        <x:v>2027-02-25</x:v>
      </x:c>
      <x:c r="E1759" s="13" t="str">
        <x:v>Четверг</x:v>
      </x:c>
      <x:c r="F1759" s="13" t="str">
        <x:v>Тренировка B — пальцы/проект</x:v>
      </x:c>
      <x:c r="G1759" s="44" t="n">
        <x:v>0.05763888888888889</x:v>
      </x:c>
      <x:c r="H1759" s="44" t="n">
        <x:v>0.06041666666666667</x:v>
      </x:c>
      <x:c r="I1759" s="32" t="n">
        <x:f>ROUND((H1759-G1759)*1440,0)</x:f>
        <x:v>4</x:v>
      </x:c>
      <x:c r="J1759" s="13" t="str">
        <x:v>Завершение</x:v>
      </x:c>
      <x:c r="K1759" s="13" t="str">
        <x:v>Очень лёгкий спуск/ходьба, вода, никаких финишных висов.</x:v>
      </x:c>
      <x:c r="L1759" s="13" t="str">
        <x:v>☐ Не начато</x:v>
      </x:c>
      <x:c r="M1759" s="13" t="str">
        <x:v>Обязательно</x:v>
      </x:c>
      <x:c r="N1759" s="13" t="str">
        <x:v>RPE 1–2</x:v>
      </x:c>
      <x:c r="O1759" s="13" t="str"/>
      <x:c r="P1759" s="13" t="str">
        <x:v>milestone_06_transfer_and_consolidation/week_25_2027-02-22/04_THURSDAY.md</x:v>
      </x:c>
      <x:c r="Q1759" s="138" t="str">
        <x:v>Markdown</x:v>
      </x:c>
      <x:c r="R1759" s="20" t="str"/>
    </x:row>
    <x:row r="1760" ht="36" customHeight="1">
      <x:c r="A1760" s="19" t="str">
        <x:v>W25-20270225-1759</x:v>
      </x:c>
      <x:c r="B1760" s="13" t="n">
        <x:v>25</x:v>
      </x:c>
      <x:c r="C1760" s="13" t="str">
        <x:v>Этап 6 — Перенос навыков, шестёрки и закрепление</x:v>
      </x:c>
      <x:c r="D1760" s="138" t="str">
        <x:v>2027-02-25</x:v>
      </x:c>
      <x:c r="E1760" s="13" t="str">
        <x:v>Четверг</x:v>
      </x:c>
      <x:c r="F1760" s="13" t="str">
        <x:v>Тренировка B — пальцы/проект</x:v>
      </x:c>
      <x:c r="G1760" s="44" t="n">
        <x:v>0.06041666666666667</x:v>
      </x:c>
      <x:c r="H1760" s="44" t="n">
        <x:v>0.0625</x:v>
      </x:c>
      <x:c r="I1760" s="32" t="n">
        <x:f>ROUND((H1760-G1760)*1440,0)</x:f>
        <x:v>3</x:v>
      </x:c>
      <x:c r="J1760" s="13" t="str">
        <x:v>Журнал</x:v>
      </x:c>
      <x:c r="K1760" s="13" t="str">
        <x:v>Запиши попытки, лучшую связку, одну правку и benchmark: Оценить качество первой попытки и способность повторить crux свежим.</x:v>
      </x:c>
      <x:c r="L1760" s="13" t="str">
        <x:v>☐ Не начато</x:v>
      </x:c>
      <x:c r="M1760" s="13" t="str">
        <x:v>Обязательно</x:v>
      </x:c>
      <x:c r="N1760" s="13" t="str">
        <x:v>Без нагрузки</x:v>
      </x:c>
      <x:c r="O1760" s="13" t="str"/>
      <x:c r="P1760" s="13" t="str">
        <x:v>milestone_06_transfer_and_consolidation/week_25_2027-02-22/04_THURSDAY.md</x:v>
      </x:c>
      <x:c r="Q1760" s="138" t="str">
        <x:v>Markdown</x:v>
      </x:c>
      <x:c r="R1760" s="20" t="str"/>
    </x:row>
    <x:row r="1761" ht="36" customHeight="1">
      <x:c r="A1761" s="19" t="str">
        <x:v>W25-20270226-1760</x:v>
      </x:c>
      <x:c r="B1761" s="13" t="n">
        <x:v>25</x:v>
      </x:c>
      <x:c r="C1761" s="13" t="str">
        <x:v>Этап 6 — Перенос навыков, шестёрки и закрепление</x:v>
      </x:c>
      <x:c r="D1761" s="138" t="str">
        <x:v>2027-02-26</x:v>
      </x:c>
      <x:c r="E1761" s="13" t="str">
        <x:v>Пятница</x:v>
      </x:c>
      <x:c r="F1761" s="13" t="str">
        <x:v>Дом / теория</x:v>
      </x:c>
      <x:c r="G1761" s="44" t="n">
        <x:v>0</x:v>
      </x:c>
      <x:c r="H1761" s="44" t="n">
        <x:v>0.0020833333333333333</x:v>
      </x:c>
      <x:c r="I1761" s="32" t="n">
        <x:f>ROUND((H1761-G1761)*1440,0)</x:f>
        <x:v>3</x:v>
      </x:c>
      <x:c r="J1761" s="13" t="str">
        <x:v>Самопроверка</x:v>
      </x:c>
      <x:c r="K1761" s="13" t="str">
        <x:v>Оцени утреннюю реакцию после четверга: пальцы/плечо/колено 0–10. Запиши, восстановилась ли обычная сила кисти.</x:v>
      </x:c>
      <x:c r="L1761" s="13" t="str">
        <x:v>☐ Не начато</x:v>
      </x:c>
      <x:c r="M1761" s="13" t="str">
        <x:v>Обязательно</x:v>
      </x:c>
      <x:c r="N1761" s="13" t="str">
        <x:v>Без нагрузки</x:v>
      </x:c>
      <x:c r="O1761" s="13" t="str">
        <x:v>Острая локальная боль пальца или усилившаяся боль плеча = воскресенье только восстановительное.</x:v>
      </x:c>
      <x:c r="P1761" s="13" t="str">
        <x:v>milestone_06_transfer_and_consolidation/week_25_2027-02-22/05_FRIDAY.md</x:v>
      </x:c>
      <x:c r="Q1761" s="138" t="str">
        <x:v>Markdown</x:v>
      </x:c>
      <x:c r="R1761" s="20" t="str"/>
    </x:row>
    <x:row r="1762" ht="36" customHeight="1">
      <x:c r="A1762" s="19" t="str">
        <x:v>W25-20270226-1761</x:v>
      </x:c>
      <x:c r="B1762" s="13" t="n">
        <x:v>25</x:v>
      </x:c>
      <x:c r="C1762" s="13" t="str">
        <x:v>Этап 6 — Перенос навыков, шестёрки и закрепление</x:v>
      </x:c>
      <x:c r="D1762" s="138" t="str">
        <x:v>2027-02-26</x:v>
      </x:c>
      <x:c r="E1762" s="13" t="str">
        <x:v>Пятница</x:v>
      </x:c>
      <x:c r="F1762" s="13" t="str">
        <x:v>Дом / теория</x:v>
      </x:c>
      <x:c r="G1762" s="44" t="n">
        <x:v>0.0020833333333333333</x:v>
      </x:c>
      <x:c r="H1762" s="44" t="n">
        <x:v>0.0125</x:v>
      </x:c>
      <x:c r="I1762" s="32" t="n">
        <x:f>ROUND((H1762-G1762)*1440,0)</x:f>
        <x:v>15</x:v>
      </x:c>
      <x:c r="J1762" s="13" t="str">
        <x:v>Теория</x:v>
      </x:c>
      <x:c r="K1762" s="13" t="str">
        <x:v>Посмотри/прочитай второй ресурс недели: [R18: Lattice Training — Projecting Tactics: How to Actually Climb at Your Limit](https://www.youtube.com/watch?v=fHSnUOD-H5U). Задача: Разделение трассы на части, изменение одной переменной за попытку и связывание движений.</x:v>
      </x:c>
      <x:c r="L1762" s="13" t="str">
        <x:v>☐ Не начато</x:v>
      </x:c>
      <x:c r="M1762" s="13" t="str">
        <x:v>Обязательно</x:v>
      </x:c>
      <x:c r="N1762" s="13" t="str">
        <x:v>Без нагрузки</x:v>
      </x:c>
      <x:c r="O1762" s="13" t="str"/>
      <x:c r="P1762" s="13" t="str">
        <x:v>milestone_06_transfer_and_consolidation/week_25_2027-02-22/05_FRIDAY.md</x:v>
      </x:c>
      <x:c r="Q1762" s="138" t="str">
        <x:v>Markdown</x:v>
      </x:c>
      <x:c r="R1762" s="20" t="str"/>
    </x:row>
    <x:row r="1763" ht="36" customHeight="1">
      <x:c r="A1763" s="19" t="str">
        <x:v>W25-20270226-1762</x:v>
      </x:c>
      <x:c r="B1763" s="13" t="n">
        <x:v>25</x:v>
      </x:c>
      <x:c r="C1763" s="13" t="str">
        <x:v>Этап 6 — Перенос навыков, шестёрки и закрепление</x:v>
      </x:c>
      <x:c r="D1763" s="138" t="str">
        <x:v>2027-02-26</x:v>
      </x:c>
      <x:c r="E1763" s="13" t="str">
        <x:v>Пятница</x:v>
      </x:c>
      <x:c r="F1763" s="13" t="str">
        <x:v>Дом / теория</x:v>
      </x:c>
      <x:c r="G1763" s="44" t="n">
        <x:v>0.0125</x:v>
      </x:c>
      <x:c r="H1763" s="44" t="n">
        <x:v>0.016666666666666666</x:v>
      </x:c>
      <x:c r="I1763" s="32" t="n">
        <x:f>ROUND((H1763-G1763)*1440,0)</x:f>
        <x:v>6</x:v>
      </x:c>
      <x:c r="J1763" s="13" t="str">
        <x:v>Ментальная репетиция</x:v>
      </x:c>
      <x:c r="K1763" s="13" t="str">
        <x:v>Закрой глаза и 3 раза мысленно пройди одну рабочую трассу: руки → ноги → положение таза → дыхание. Визуализируй cue «Меньше общего объёма, больше свежести и полный отдых перед каждой важной попыткой.».</x:v>
      </x:c>
      <x:c r="L1763" s="13" t="str">
        <x:v>☐ Не начато</x:v>
      </x:c>
      <x:c r="M1763" s="13" t="str">
        <x:v>Обязательно</x:v>
      </x:c>
      <x:c r="N1763" s="13" t="str">
        <x:v>Без нагрузки</x:v>
      </x:c>
      <x:c r="O1763" s="13" t="str"/>
      <x:c r="P1763" s="13" t="str">
        <x:v>milestone_06_transfer_and_consolidation/week_25_2027-02-22/05_FRIDAY.md</x:v>
      </x:c>
      <x:c r="Q1763" s="138" t="str">
        <x:v>Markdown</x:v>
      </x:c>
      <x:c r="R1763" s="20" t="str"/>
    </x:row>
    <x:row r="1764" ht="36" customHeight="1">
      <x:c r="A1764" s="19" t="str">
        <x:v>W25-20270226-1763</x:v>
      </x:c>
      <x:c r="B1764" s="13" t="n">
        <x:v>25</x:v>
      </x:c>
      <x:c r="C1764" s="13" t="str">
        <x:v>Этап 6 — Перенос навыков, шестёрки и закрепление</x:v>
      </x:c>
      <x:c r="D1764" s="138" t="str">
        <x:v>2027-02-26</x:v>
      </x:c>
      <x:c r="E1764" s="13" t="str">
        <x:v>Пятница</x:v>
      </x:c>
      <x:c r="F1764" s="13" t="str">
        <x:v>Дом / теория</x:v>
      </x:c>
      <x:c r="G1764" s="44" t="n">
        <x:v>0.016666666666666666</x:v>
      </x:c>
      <x:c r="H1764" s="44" t="n">
        <x:v>0.025</x:v>
      </x:c>
      <x:c r="I1764" s="32" t="n">
        <x:f>ROUND((H1764-G1764)*1440,0)</x:f>
        <x:v>12</x:v>
      </x:c>
      <x:c r="J1764" s="13" t="str">
        <x:v>Домашняя мобильность</x:v>
      </x:c>
      <x:c r="K1764" s="13" t="str">
        <x:v>Выполни H3 «Мобильность таза и контроль корпуса» — 12 минут.</x:v>
      </x:c>
      <x:c r="L1764" s="13" t="str">
        <x:v>☐ Не начато</x:v>
      </x:c>
      <x:c r="M1764" s="13" t="str">
        <x:v>Обязательно</x:v>
      </x:c>
      <x:c r="N1764" s="13" t="str">
        <x:v>RPE 2–3</x:v>
      </x:c>
      <x:c r="O1764" s="13" t="str">
        <x:v>Никаких скручиваний через боль. Плечом не отталкивайся от стены; касание только для равновесия.</x:v>
      </x:c>
      <x:c r="P1764" s="13" t="str">
        <x:v>milestone_06_transfer_and_consolidation/week_25_2027-02-22/05_FRIDAY.md</x:v>
      </x:c>
      <x:c r="Q1764" s="138" t="str">
        <x:v>Markdown</x:v>
      </x:c>
      <x:c r="R1764" s="20" t="str"/>
    </x:row>
    <x:row r="1765" ht="36" customHeight="1">
      <x:c r="A1765" s="19" t="str">
        <x:v>W25-20270226-1764</x:v>
      </x:c>
      <x:c r="B1765" s="13" t="n">
        <x:v>25</x:v>
      </x:c>
      <x:c r="C1765" s="13" t="str">
        <x:v>Этап 6 — Перенос навыков, шестёрки и закрепление</x:v>
      </x:c>
      <x:c r="D1765" s="138" t="str">
        <x:v>2027-02-26</x:v>
      </x:c>
      <x:c r="E1765" s="13" t="str">
        <x:v>Пятница</x:v>
      </x:c>
      <x:c r="F1765" s="13" t="str">
        <x:v>Дом / теория</x:v>
      </x:c>
      <x:c r="G1765" s="44" t="n">
        <x:v>0.025</x:v>
      </x:c>
      <x:c r="H1765" s="44" t="n">
        <x:v>0.03888888888888889</x:v>
      </x:c>
      <x:c r="I1765" s="32" t="n">
        <x:f>ROUND((H1765-G1765)*1440,0)</x:f>
        <x:v>20</x:v>
      </x:c>
      <x:c r="J1765" s="13" t="str">
        <x:v>Физиотерапия</x:v>
      </x:c>
      <x:c r="K1765" s="13" t="str">
        <x:v>Выполни свой назначенный комплекс, если пятница входит в расписание физиотерапевта.</x:v>
      </x:c>
      <x:c r="L1765" s="13" t="str">
        <x:v>☐ Не начато</x:v>
      </x:c>
      <x:c r="M1765" s="13" t="str">
        <x:v>По назначению</x:v>
      </x:c>
      <x:c r="N1765" s="13" t="str">
        <x:v>По назначению</x:v>
      </x:c>
      <x:c r="O1765" s="13" t="str">
        <x:v>Не добавляй упражнения из интернета поверх назначений.</x:v>
      </x:c>
      <x:c r="P1765" s="13" t="str">
        <x:v>milestone_06_transfer_and_consolidation/week_25_2027-02-22/05_FRIDAY.md</x:v>
      </x:c>
      <x:c r="Q1765" s="138" t="str">
        <x:v>Markdown</x:v>
      </x:c>
      <x:c r="R1765" s="20" t="str"/>
    </x:row>
    <x:row r="1766" ht="36" customHeight="1">
      <x:c r="A1766" s="19" t="str">
        <x:v>W25-20270226-1765</x:v>
      </x:c>
      <x:c r="B1766" s="13" t="n">
        <x:v>25</x:v>
      </x:c>
      <x:c r="C1766" s="13" t="str">
        <x:v>Этап 6 — Перенос навыков, шестёрки и закрепление</x:v>
      </x:c>
      <x:c r="D1766" s="138" t="str">
        <x:v>2027-02-26</x:v>
      </x:c>
      <x:c r="E1766" s="13" t="str">
        <x:v>Пятница</x:v>
      </x:c>
      <x:c r="F1766" s="13" t="str">
        <x:v>Дом / теория</x:v>
      </x:c>
      <x:c r="G1766" s="44" t="n">
        <x:v>0.03888888888888889</x:v>
      </x:c>
      <x:c r="H1766" s="44" t="n">
        <x:v>0.041666666666666664</x:v>
      </x:c>
      <x:c r="I1766" s="32" t="n">
        <x:f>ROUND((H1766-G1766)*1440,0)</x:f>
        <x:v>4</x:v>
      </x:c>
      <x:c r="J1766" s="13" t="str">
        <x:v>Журнал</x:v>
      </x:c>
      <x:c r="K1766" s="13" t="str">
        <x:v>Запиши одну вещь, которая сработала на этой неделе, и одну, которую повторишь в воскресенье на лёгкой трассе.</x:v>
      </x:c>
      <x:c r="L1766" s="13" t="str">
        <x:v>☐ Не начато</x:v>
      </x:c>
      <x:c r="M1766" s="13" t="str">
        <x:v>Обязательно</x:v>
      </x:c>
      <x:c r="N1766" s="13" t="str">
        <x:v>Без нагрузки</x:v>
      </x:c>
      <x:c r="O1766" s="13" t="str"/>
      <x:c r="P1766" s="13" t="str">
        <x:v>milestone_06_transfer_and_consolidation/week_25_2027-02-22/05_FRIDAY.md</x:v>
      </x:c>
      <x:c r="Q1766" s="138" t="str">
        <x:v>Markdown</x:v>
      </x:c>
      <x:c r="R1766" s="20" t="str"/>
    </x:row>
    <x:row r="1767" ht="36" customHeight="1">
      <x:c r="A1767" s="19" t="str">
        <x:v>W25-20270226-1766</x:v>
      </x:c>
      <x:c r="B1767" s="13" t="n">
        <x:v>25</x:v>
      </x:c>
      <x:c r="C1767" s="13" t="str">
        <x:v>Этап 6 — Перенос навыков, шестёрки и закрепление</x:v>
      </x:c>
      <x:c r="D1767" s="138" t="str">
        <x:v>2027-02-26</x:v>
      </x:c>
      <x:c r="E1767" s="13" t="str">
        <x:v>Пятница</x:v>
      </x:c>
      <x:c r="F1767" s="13" t="str">
        <x:v>Дом / теория</x:v>
      </x:c>
      <x:c r="G1767" s="44" t="n">
        <x:v>0.041666666666666664</x:v>
      </x:c>
      <x:c r="H1767" s="44" t="n">
        <x:v>0.04375</x:v>
      </x:c>
      <x:c r="I1767" s="32" t="n">
        <x:f>ROUND((H1767-G1767)*1440,0)</x:f>
        <x:v>3</x:v>
      </x:c>
      <x:c r="J1767" s="13" t="str">
        <x:v>Запрет лишней нагрузки</x:v>
      </x:c>
      <x:c r="K1767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767" s="13" t="str">
        <x:v>☐ Не начато</x:v>
      </x:c>
      <x:c r="M1767" s="13" t="str">
        <x:v>Обязательно</x:v>
      </x:c>
      <x:c r="N1767" s="13" t="str">
        <x:v>Восстановление</x:v>
      </x:c>
      <x:c r="O1767" s="13" t="str">
        <x:v>Общая пальцевая нагрузка уже получена в четверг.</x:v>
      </x:c>
      <x:c r="P1767" s="13" t="str">
        <x:v>milestone_06_transfer_and_consolidation/week_25_2027-02-22/05_FRIDAY.md</x:v>
      </x:c>
      <x:c r="Q1767" s="138" t="str">
        <x:v>Markdown</x:v>
      </x:c>
      <x:c r="R1767" s="20" t="str"/>
    </x:row>
    <x:row r="1768" ht="36" customHeight="1">
      <x:c r="A1768" s="19" t="str">
        <x:v>W25-20270227-1767</x:v>
      </x:c>
      <x:c r="B1768" s="13" t="n">
        <x:v>25</x:v>
      </x:c>
      <x:c r="C1768" s="13" t="str">
        <x:v>Этап 6 — Перенос навыков, шестёрки и закрепление</x:v>
      </x:c>
      <x:c r="D1768" s="138" t="str">
        <x:v>2027-02-27</x:v>
      </x:c>
      <x:c r="E1768" s="13" t="str">
        <x:v>Суббота</x:v>
      </x:c>
      <x:c r="F1768" s="13" t="str">
        <x:v>Отдых / подготовка</x:v>
      </x:c>
      <x:c r="G1768" s="44" t="n">
        <x:v>0</x:v>
      </x:c>
      <x:c r="H1768" s="44" t="n">
        <x:v>0.003472222222222222</x:v>
      </x:c>
      <x:c r="I1768" s="32" t="n">
        <x:f>ROUND((H1768-G1768)*1440,0)</x:f>
        <x:v>5</x:v>
      </x:c>
      <x:c r="J1768" s="13" t="str">
        <x:v>Самопроверка</x:v>
      </x:c>
      <x:c r="K1768" s="13" t="str">
        <x:v>Проверь кожу пальцев, ногти, плечо и колено. Никаких тестовых висов.</x:v>
      </x:c>
      <x:c r="L1768" s="13" t="str">
        <x:v>☐ Не начато</x:v>
      </x:c>
      <x:c r="M1768" s="13" t="str">
        <x:v>Обязательно</x:v>
      </x:c>
      <x:c r="N1768" s="13" t="str">
        <x:v>Восстановление</x:v>
      </x:c>
      <x:c r="O1768" s="13" t="str"/>
      <x:c r="P1768" s="13" t="str">
        <x:v>milestone_06_transfer_and_consolidation/week_25_2027-02-22/06_SATURDAY.md</x:v>
      </x:c>
      <x:c r="Q1768" s="138" t="str">
        <x:v>Markdown</x:v>
      </x:c>
      <x:c r="R1768" s="20" t="str"/>
    </x:row>
    <x:row r="1769" ht="36" customHeight="1">
      <x:c r="A1769" s="19" t="str">
        <x:v>W25-20270227-1768</x:v>
      </x:c>
      <x:c r="B1769" s="13" t="n">
        <x:v>25</x:v>
      </x:c>
      <x:c r="C1769" s="13" t="str">
        <x:v>Этап 6 — Перенос навыков, шестёрки и закрепление</x:v>
      </x:c>
      <x:c r="D1769" s="138" t="str">
        <x:v>2027-02-27</x:v>
      </x:c>
      <x:c r="E1769" s="13" t="str">
        <x:v>Суббота</x:v>
      </x:c>
      <x:c r="F1769" s="13" t="str">
        <x:v>Отдых / подготовка</x:v>
      </x:c>
      <x:c r="G1769" s="44" t="n">
        <x:v>0.003472222222222222</x:v>
      </x:c>
      <x:c r="H1769" s="44" t="n">
        <x:v>0.010416666666666666</x:v>
      </x:c>
      <x:c r="I1769" s="32" t="n">
        <x:f>ROUND((H1769-G1769)*1440,0)</x:f>
        <x:v>10</x:v>
      </x:c>
      <x:c r="J1769" s="13" t="str">
        <x:v>Активное восстановление</x:v>
      </x:c>
      <x:c r="K1769" s="13" t="str">
        <x:v>10 минут лёгкой прогулки или бытовой активности. Цель — восстановление, не тренировка.</x:v>
      </x:c>
      <x:c r="L1769" s="13" t="str">
        <x:v>☐ Не начато</x:v>
      </x:c>
      <x:c r="M1769" s="13" t="str">
        <x:v>Обязательно</x:v>
      </x:c>
      <x:c r="N1769" s="13" t="str">
        <x:v>RPE 1–2</x:v>
      </x:c>
      <x:c r="O1769" s="13" t="str"/>
      <x:c r="P1769" s="13" t="str">
        <x:v>milestone_06_transfer_and_consolidation/week_25_2027-02-22/06_SATURDAY.md</x:v>
      </x:c>
      <x:c r="Q1769" s="138" t="str">
        <x:v>Markdown</x:v>
      </x:c>
      <x:c r="R1769" s="20" t="str"/>
    </x:row>
    <x:row r="1770" ht="36" customHeight="1">
      <x:c r="A1770" s="19" t="str">
        <x:v>W25-20270227-1769</x:v>
      </x:c>
      <x:c r="B1770" s="13" t="n">
        <x:v>25</x:v>
      </x:c>
      <x:c r="C1770" s="13" t="str">
        <x:v>Этап 6 — Перенос навыков, шестёрки и закрепление</x:v>
      </x:c>
      <x:c r="D1770" s="138" t="str">
        <x:v>2027-02-27</x:v>
      </x:c>
      <x:c r="E1770" s="13" t="str">
        <x:v>Суббота</x:v>
      </x:c>
      <x:c r="F1770" s="13" t="str">
        <x:v>Отдых / подготовка</x:v>
      </x:c>
      <x:c r="G1770" s="44" t="n">
        <x:v>0.010416666666666666</x:v>
      </x:c>
      <x:c r="H1770" s="44" t="n">
        <x:v>0.013888888888888888</x:v>
      </x:c>
      <x:c r="I1770" s="32" t="n">
        <x:f>ROUND((H1770-G1770)*1440,0)</x:f>
        <x:v>5</x:v>
      </x:c>
      <x:c r="J1770" s="13" t="str">
        <x:v>Уход за кожей</x:v>
      </x:c>
      <x:c r="K1770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770" s="13" t="str">
        <x:v>☐ Не начато</x:v>
      </x:c>
      <x:c r="M1770" s="13" t="str">
        <x:v>Опционально</x:v>
      </x:c>
      <x:c r="N1770" s="13" t="str">
        <x:v>Без нагрузки</x:v>
      </x:c>
      <x:c r="O1770" s="13" t="str">
        <x:v>Повреждённую/болезненную кожу не шлифовать.</x:v>
      </x:c>
      <x:c r="P1770" s="13" t="str">
        <x:v>milestone_06_transfer_and_consolidation/week_25_2027-02-22/06_SATURDAY.md</x:v>
      </x:c>
      <x:c r="Q1770" s="138" t="str">
        <x:v>Markdown</x:v>
      </x:c>
      <x:c r="R1770" s="20" t="str"/>
    </x:row>
    <x:row r="1771" ht="36" customHeight="1">
      <x:c r="A1771" s="19" t="str">
        <x:v>W25-20270227-1770</x:v>
      </x:c>
      <x:c r="B1771" s="13" t="n">
        <x:v>25</x:v>
      </x:c>
      <x:c r="C1771" s="13" t="str">
        <x:v>Этап 6 — Перенос навыков, шестёрки и закрепление</x:v>
      </x:c>
      <x:c r="D1771" s="138" t="str">
        <x:v>2027-02-27</x:v>
      </x:c>
      <x:c r="E1771" s="13" t="str">
        <x:v>Суббота</x:v>
      </x:c>
      <x:c r="F1771" s="13" t="str">
        <x:v>Отдых / подготовка</x:v>
      </x:c>
      <x:c r="G1771" s="44" t="n">
        <x:v>0.013888888888888888</x:v>
      </x:c>
      <x:c r="H1771" s="44" t="n">
        <x:v>0.016666666666666666</x:v>
      </x:c>
      <x:c r="I1771" s="32" t="n">
        <x:f>ROUND((H1771-G1771)*1440,0)</x:f>
        <x:v>4</x:v>
      </x:c>
      <x:c r="J1771" s="13" t="str">
        <x:v>Подготовка</x:v>
      </x:c>
      <x:c r="K1771" s="13" t="str">
        <x:v>Заряди телефон, освободи память для одного видео, положи щётку и магнезию.</x:v>
      </x:c>
      <x:c r="L1771" s="13" t="str">
        <x:v>☐ Не начато</x:v>
      </x:c>
      <x:c r="M1771" s="13" t="str">
        <x:v>Обязательно</x:v>
      </x:c>
      <x:c r="N1771" s="13" t="str">
        <x:v>Без нагрузки</x:v>
      </x:c>
      <x:c r="O1771" s="13" t="str"/>
      <x:c r="P1771" s="13" t="str">
        <x:v>milestone_06_transfer_and_consolidation/week_25_2027-02-22/06_SATURDAY.md</x:v>
      </x:c>
      <x:c r="Q1771" s="138" t="str">
        <x:v>Markdown</x:v>
      </x:c>
      <x:c r="R1771" s="20" t="str"/>
    </x:row>
    <x:row r="1772" ht="36" customHeight="1">
      <x:c r="A1772" s="19" t="str">
        <x:v>W25-20270227-1771</x:v>
      </x:c>
      <x:c r="B1772" s="13" t="n">
        <x:v>25</x:v>
      </x:c>
      <x:c r="C1772" s="13" t="str">
        <x:v>Этап 6 — Перенос навыков, шестёрки и закрепление</x:v>
      </x:c>
      <x:c r="D1772" s="138" t="str">
        <x:v>2027-02-27</x:v>
      </x:c>
      <x:c r="E1772" s="13" t="str">
        <x:v>Суббота</x:v>
      </x:c>
      <x:c r="F1772" s="13" t="str">
        <x:v>Отдых / подготовка</x:v>
      </x:c>
      <x:c r="G1772" s="44" t="n">
        <x:v>0.016666666666666666</x:v>
      </x:c>
      <x:c r="H1772" s="44" t="n">
        <x:v>0.01875</x:v>
      </x:c>
      <x:c r="I1772" s="32" t="n">
        <x:f>ROUND((H1772-G1772)*1440,0)</x:f>
        <x:v>3</x:v>
      </x:c>
      <x:c r="J1772" s="13" t="str">
        <x:v>План воскресенья</x:v>
      </x:c>
      <x:c r="K1772" s="13" t="str">
        <x:v>Выбери заранее одну лёгкую трассу под тему «Снижение объёма». Воскресенье остаётся развлечением, не третьим тяжёлым днём.</x:v>
      </x:c>
      <x:c r="L1772" s="13" t="str">
        <x:v>☐ Не начато</x:v>
      </x:c>
      <x:c r="M1772" s="13" t="str">
        <x:v>Обязательно</x:v>
      </x:c>
      <x:c r="N1772" s="13" t="str">
        <x:v>Без нагрузки</x:v>
      </x:c>
      <x:c r="O1772" s="13" t="str"/>
      <x:c r="P1772" s="13" t="str">
        <x:v>milestone_06_transfer_and_consolidation/week_25_2027-02-22/06_SATURDAY.md</x:v>
      </x:c>
      <x:c r="Q1772" s="138" t="str">
        <x:v>Markdown</x:v>
      </x:c>
      <x:c r="R1772" s="20" t="str"/>
    </x:row>
    <x:row r="1773" ht="36" customHeight="1">
      <x:c r="A1773" s="19" t="str">
        <x:v>W25-20270227-1772</x:v>
      </x:c>
      <x:c r="B1773" s="13" t="n">
        <x:v>25</x:v>
      </x:c>
      <x:c r="C1773" s="13" t="str">
        <x:v>Этап 6 — Перенос навыков, шестёрки и закрепление</x:v>
      </x:c>
      <x:c r="D1773" s="138" t="str">
        <x:v>2027-02-27</x:v>
      </x:c>
      <x:c r="E1773" s="13" t="str">
        <x:v>Суббота</x:v>
      </x:c>
      <x:c r="F1773" s="13" t="str">
        <x:v>Отдых / подготовка</x:v>
      </x:c>
      <x:c r="G1773" s="44" t="n">
        <x:v>0.01875</x:v>
      </x:c>
      <x:c r="H1773" s="44" t="n">
        <x:v>0.020833333333333332</x:v>
      </x:c>
      <x:c r="I1773" s="32" t="n">
        <x:f>ROUND((H1773-G1773)*1440,0)</x:f>
        <x:v>3</x:v>
      </x:c>
      <x:c r="J1773" s="13" t="str">
        <x:v>Сон / восстановление</x:v>
      </x:c>
      <x:c r="K1773" s="13" t="str">
        <x:v>Запланируй обычный сон и нормальный приём пищи; не пытайся «разбудить хват» вечером.</x:v>
      </x:c>
      <x:c r="L1773" s="13" t="str">
        <x:v>☐ Не начато</x:v>
      </x:c>
      <x:c r="M1773" s="13" t="str">
        <x:v>Обязательно</x:v>
      </x:c>
      <x:c r="N1773" s="13" t="str">
        <x:v>Восстановление</x:v>
      </x:c>
      <x:c r="O1773" s="13" t="str"/>
      <x:c r="P1773" s="13" t="str">
        <x:v>milestone_06_transfer_and_consolidation/week_25_2027-02-22/06_SATURDAY.md</x:v>
      </x:c>
      <x:c r="Q1773" s="138" t="str">
        <x:v>Markdown</x:v>
      </x:c>
      <x:c r="R1773" s="20" t="str"/>
    </x:row>
    <x:row r="1774" ht="36" customHeight="1">
      <x:c r="A1774" s="19" t="str">
        <x:v>W25-20270228-1773</x:v>
      </x:c>
      <x:c r="B1774" s="13" t="n">
        <x:v>25</x:v>
      </x:c>
      <x:c r="C1774" s="13" t="str">
        <x:v>Этап 6 — Перенос навыков, шестёрки и закрепление</x:v>
      </x:c>
      <x:c r="D1774" s="138" t="str">
        <x:v>2027-02-28</x:v>
      </x:c>
      <x:c r="E1774" s="13" t="str">
        <x:v>Воскресенье</x:v>
      </x:c>
      <x:c r="F1774" s="13" t="str">
        <x:v>Тренировка C — fun / опционально</x:v>
      </x:c>
      <x:c r="G1774" s="44" t="n">
        <x:v>0</x:v>
      </x:c>
      <x:c r="H1774" s="44" t="n">
        <x:v>0.0020833333333333333</x:v>
      </x:c>
      <x:c r="I1774" s="32" t="n">
        <x:f>ROUND((H1774-G1774)*1440,0)</x:f>
        <x:v>3</x:v>
      </x:c>
      <x:c r="J1774" s="13" t="str">
        <x:v>Выбор сценария</x:v>
      </x:c>
      <x:c r="K1774" s="13" t="str">
        <x:v>Выбери один сценарий: (A) fun-сессия 75 минут в зале или (B) восстановительный день дома 25 минут. Не выполнять оба.</x:v>
      </x:c>
      <x:c r="L1774" s="13" t="str">
        <x:v>☐ Не начато</x:v>
      </x:c>
      <x:c r="M1774" s="13" t="str">
        <x:v>Выбрать один сценарий</x:v>
      </x:c>
      <x:c r="N1774" s="13" t="str">
        <x:v>По состоянию</x:v>
      </x:c>
      <x:c r="O1774" s="13" t="str"/>
      <x:c r="P1774" s="13" t="str">
        <x:v>milestone_06_transfer_and_consolidation/week_25_2027-02-22/07_SUNDAY.md</x:v>
      </x:c>
      <x:c r="Q1774" s="138" t="str">
        <x:v>Markdown</x:v>
      </x:c>
      <x:c r="R1774" s="20" t="str"/>
    </x:row>
    <x:row r="1775" ht="36" customHeight="1">
      <x:c r="A1775" s="19" t="str">
        <x:v>W25-20270228-1774</x:v>
      </x:c>
      <x:c r="B1775" s="13" t="n">
        <x:v>25</x:v>
      </x:c>
      <x:c r="C1775" s="13" t="str">
        <x:v>Этап 6 — Перенос навыков, шестёрки и закрепление</x:v>
      </x:c>
      <x:c r="D1775" s="138" t="str">
        <x:v>2027-02-28</x:v>
      </x:c>
      <x:c r="E1775" s="13" t="str">
        <x:v>Воскресенье</x:v>
      </x:c>
      <x:c r="F1775" s="13" t="str">
        <x:v>Тренировка C — fun / опционально</x:v>
      </x:c>
      <x:c r="G1775" s="44" t="n">
        <x:v>0.0020833333333333333</x:v>
      </x:c>
      <x:c r="H1775" s="44" t="n">
        <x:v>0.005555555555555556</x:v>
      </x:c>
      <x:c r="I1775" s="32" t="n">
        <x:f>ROUND((H1775-G1775)*1440,0)</x:f>
        <x:v>5</x:v>
      </x:c>
      <x:c r="J1775" s="13" t="str">
        <x:v>Разминка A</x:v>
      </x:c>
      <x:c r="K1775" s="13" t="str">
        <x:v>Если идёшь в зал: 5 минут поднятия температуры.</x:v>
      </x:c>
      <x:c r="L1775" s="13" t="str">
        <x:v>☐ Не начато</x:v>
      </x:c>
      <x:c r="M1775" s="13" t="str">
        <x:v>Опционально</x:v>
      </x:c>
      <x:c r="N1775" s="13" t="str">
        <x:v>RPE 2–3</x:v>
      </x:c>
      <x:c r="O1775" s="13" t="str"/>
      <x:c r="P1775" s="13" t="str">
        <x:v>milestone_06_transfer_and_consolidation/week_25_2027-02-22/07_SUNDAY.md</x:v>
      </x:c>
      <x:c r="Q1775" s="138" t="str">
        <x:v>Markdown</x:v>
      </x:c>
      <x:c r="R1775" s="20" t="str"/>
    </x:row>
    <x:row r="1776" ht="36" customHeight="1">
      <x:c r="A1776" s="19" t="str">
        <x:v>W25-20270228-1775</x:v>
      </x:c>
      <x:c r="B1776" s="13" t="n">
        <x:v>25</x:v>
      </x:c>
      <x:c r="C1776" s="13" t="str">
        <x:v>Этап 6 — Перенос навыков, шестёрки и закрепление</x:v>
      </x:c>
      <x:c r="D1776" s="138" t="str">
        <x:v>2027-02-28</x:v>
      </x:c>
      <x:c r="E1776" s="13" t="str">
        <x:v>Воскресенье</x:v>
      </x:c>
      <x:c r="F1776" s="13" t="str">
        <x:v>Тренировка C — fun / опционально</x:v>
      </x:c>
      <x:c r="G1776" s="44" t="n">
        <x:v>0.005555555555555556</x:v>
      </x:c>
      <x:c r="H1776" s="44" t="n">
        <x:v>0.009027777777777777</x:v>
      </x:c>
      <x:c r="I1776" s="32" t="n">
        <x:f>ROUND((H1776-G1776)*1440,0)</x:f>
        <x:v>5</x:v>
      </x:c>
      <x:c r="J1776" s="13" t="str">
        <x:v>Разминка A</x:v>
      </x:c>
      <x:c r="K1776" s="13" t="str">
        <x:v>Динамическая суставная разминка в безболезненном диапазоне; без отжиманий/press.</x:v>
      </x:c>
      <x:c r="L1776" s="13" t="str">
        <x:v>☐ Не начато</x:v>
      </x:c>
      <x:c r="M1776" s="13" t="str">
        <x:v>Опционально</x:v>
      </x:c>
      <x:c r="N1776" s="13" t="str">
        <x:v>Очень легко</x:v>
      </x:c>
      <x:c r="O1776" s="13" t="str">
        <x:v>Не добавлять домашние висы или «последний тяжёлый круг». Плечо/пальцы должны чувствоваться лучше, а не хуже.</x:v>
      </x:c>
      <x:c r="P1776" s="13" t="str">
        <x:v>milestone_06_transfer_and_consolidation/week_25_2027-02-22/07_SUNDAY.md</x:v>
      </x:c>
      <x:c r="Q1776" s="138" t="str">
        <x:v>Markdown</x:v>
      </x:c>
      <x:c r="R1776" s="20" t="str"/>
    </x:row>
    <x:row r="1777" ht="36" customHeight="1">
      <x:c r="A1777" s="19" t="str">
        <x:v>W25-20270228-1776</x:v>
      </x:c>
      <x:c r="B1777" s="13" t="n">
        <x:v>25</x:v>
      </x:c>
      <x:c r="C1777" s="13" t="str">
        <x:v>Этап 6 — Перенос навыков, шестёрки и закрепление</x:v>
      </x:c>
      <x:c r="D1777" s="138" t="str">
        <x:v>2027-02-28</x:v>
      </x:c>
      <x:c r="E1777" s="13" t="str">
        <x:v>Воскресенье</x:v>
      </x:c>
      <x:c r="F1777" s="13" t="str">
        <x:v>Тренировка C — fun / опционально</x:v>
      </x:c>
      <x:c r="G1777" s="44" t="n">
        <x:v>0.009027777777777777</x:v>
      </x:c>
      <x:c r="H1777" s="44" t="n">
        <x:v>0.013888888888888888</x:v>
      </x:c>
      <x:c r="I1777" s="32" t="n">
        <x:f>ROUND((H1777-G1777)*1440,0)</x:f>
        <x:v>7</x:v>
      </x:c>
      <x:c r="J1777" s="13" t="str">
        <x:v>Лёгкое лазание A</x:v>
      </x:c>
      <x:c r="K1777" s="13" t="str">
        <x:v>3 очень лёгкие трассы 1–3 с постепенным увеличением сложности.</x:v>
      </x:c>
      <x:c r="L1777" s="13" t="str">
        <x:v>☐ Не начато</x:v>
      </x:c>
      <x:c r="M1777" s="13" t="str">
        <x:v>Опционально</x:v>
      </x:c>
      <x:c r="N1777" s="13" t="str">
        <x:v>RPE 2–4</x:v>
      </x:c>
      <x:c r="O1777" s="13" t="str"/>
      <x:c r="P1777" s="13" t="str">
        <x:v>milestone_06_transfer_and_consolidation/week_25_2027-02-22/07_SUNDAY.md</x:v>
      </x:c>
      <x:c r="Q1777" s="138" t="str">
        <x:v>Markdown</x:v>
      </x:c>
      <x:c r="R1777" s="20" t="str"/>
    </x:row>
    <x:row r="1778" ht="36" customHeight="1">
      <x:c r="A1778" s="19" t="str">
        <x:v>W25-20270228-1777</x:v>
      </x:c>
      <x:c r="B1778" s="13" t="n">
        <x:v>25</x:v>
      </x:c>
      <x:c r="C1778" s="13" t="str">
        <x:v>Этап 6 — Перенос навыков, шестёрки и закрепление</x:v>
      </x:c>
      <x:c r="D1778" s="138" t="str">
        <x:v>2027-02-28</x:v>
      </x:c>
      <x:c r="E1778" s="13" t="str">
        <x:v>Воскресенье</x:v>
      </x:c>
      <x:c r="F1778" s="13" t="str">
        <x:v>Тренировка C — fun / опционально</x:v>
      </x:c>
      <x:c r="G1778" s="44" t="n">
        <x:v>0.013888888888888888</x:v>
      </x:c>
      <x:c r="H1778" s="44" t="n">
        <x:v>0.020833333333333332</x:v>
      </x:c>
      <x:c r="I1778" s="32" t="n">
        <x:f>ROUND((H1778-G1778)*1440,0)</x:f>
        <x:v>10</x:v>
      </x:c>
      <x:c r="J1778" s="13" t="str">
        <x:v>Технический праймер A</x:v>
      </x:c>
      <x:c r="K1778" s="13" t="str">
        <x:v>На одной лёгкой трассе дважды повтори «Снижение объёма». Критерий: Первая попытка качественная, пальцы и плечо на следующий день не хуже.</x:v>
      </x:c>
      <x:c r="L1778" s="13" t="str">
        <x:v>☐ Не начато</x:v>
      </x:c>
      <x:c r="M1778" s="13" t="str">
        <x:v>Опционально</x:v>
      </x:c>
      <x:c r="N1778" s="13" t="str">
        <x:v>RPE 3–4</x:v>
      </x:c>
      <x:c r="O1778" s="13" t="str">
        <x:v>Цель — свежесть, а не усталость.</x:v>
      </x:c>
      <x:c r="P1778" s="13" t="str">
        <x:v>milestone_06_transfer_and_consolidation/week_25_2027-02-22/07_SUNDAY.md</x:v>
      </x:c>
      <x:c r="Q1778" s="138" t="str">
        <x:v>Markdown</x:v>
      </x:c>
      <x:c r="R1778" s="20" t="str"/>
    </x:row>
    <x:row r="1779" ht="36" customHeight="1">
      <x:c r="A1779" s="19" t="str">
        <x:v>W25-20270228-1778</x:v>
      </x:c>
      <x:c r="B1779" s="13" t="n">
        <x:v>25</x:v>
      </x:c>
      <x:c r="C1779" s="13" t="str">
        <x:v>Этап 6 — Перенос навыков, шестёрки и закрепление</x:v>
      </x:c>
      <x:c r="D1779" s="138" t="str">
        <x:v>2027-02-28</x:v>
      </x:c>
      <x:c r="E1779" s="13" t="str">
        <x:v>Воскресенье</x:v>
      </x:c>
      <x:c r="F1779" s="13" t="str">
        <x:v>Тренировка C — fun / опционально</x:v>
      </x:c>
      <x:c r="G1779" s="44" t="n">
        <x:v>0.020833333333333332</x:v>
      </x:c>
      <x:c r="H1779" s="44" t="n">
        <x:v>0.03819444444444445</x:v>
      </x:c>
      <x:c r="I1779" s="32" t="n">
        <x:f>ROUND((H1779-G1779)*1440,0)</x:f>
        <x:v>25</x:v>
      </x:c>
      <x:c r="J1779" s="13" t="str">
        <x:v>Свободное лазание A</x:v>
      </x:c>
      <x:c r="K1779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779" s="13" t="str">
        <x:v>☐ Не начато</x:v>
      </x:c>
      <x:c r="M1779" s="13" t="str">
        <x:v>Опционально</x:v>
      </x:c>
      <x:c r="N1779" s="13" t="str">
        <x:v>RPE 4–7</x:v>
      </x:c>
      <x:c r="O1779" s="13" t="str">
        <x:v>Не превращать блок в круг на выносливость.</x:v>
      </x:c>
      <x:c r="P1779" s="13" t="str">
        <x:v>milestone_06_transfer_and_consolidation/week_25_2027-02-22/07_SUNDAY.md</x:v>
      </x:c>
      <x:c r="Q1779" s="138" t="str">
        <x:v>Markdown</x:v>
      </x:c>
      <x:c r="R1779" s="20" t="str"/>
    </x:row>
    <x:row r="1780" ht="36" customHeight="1">
      <x:c r="A1780" s="19" t="str">
        <x:v>W25-20270228-1779</x:v>
      </x:c>
      <x:c r="B1780" s="13" t="n">
        <x:v>25</x:v>
      </x:c>
      <x:c r="C1780" s="13" t="str">
        <x:v>Этап 6 — Перенос навыков, шестёрки и закрепление</x:v>
      </x:c>
      <x:c r="D1780" s="138" t="str">
        <x:v>2027-02-28</x:v>
      </x:c>
      <x:c r="E1780" s="13" t="str">
        <x:v>Воскресенье</x:v>
      </x:c>
      <x:c r="F1780" s="13" t="str">
        <x:v>Тренировка C — fun / опционально</x:v>
      </x:c>
      <x:c r="G1780" s="44" t="n">
        <x:v>0.03819444444444445</x:v>
      </x:c>
      <x:c r="H1780" s="44" t="n">
        <x:v>0.04583333333333333</x:v>
      </x:c>
      <x:c r="I1780" s="32" t="n">
        <x:f>ROUND((H1780-G1780)*1440,0)</x:f>
        <x:v>11</x:v>
      </x:c>
      <x:c r="J1780" s="13" t="str">
        <x:v>Свежая сложная попытка A</x:v>
      </x:c>
      <x:c r="K1780" s="13" t="str">
        <x:v>Только если всё зелёное: попробуй одну рабочую пятёрку или дружелюбную шестёрку по критериям недели — Основная шестёрка: 3–5 попыток с 5 минутами отдыха. После двух ухудшившихся попыток закончить проект. Максимум 2 попытки, отдых 4 минуты.</x:v>
      </x:c>
      <x:c r="L1780" s="13" t="str">
        <x:v>☐ Не начато</x:v>
      </x:c>
      <x:c r="M1780" s="13" t="str">
        <x:v>Опционально</x:v>
      </x:c>
      <x:c r="N1780" s="13" t="str">
        <x:v>RPE 7–8, без отказа</x:v>
      </x:c>
      <x:c r="O1780" s="13" t="str">
        <x:v>Не добавлять домашние висы или «последний тяжёлый круг». Плечо/пальцы должны чувствоваться лучше, а не хуже.</x:v>
      </x:c>
      <x:c r="P1780" s="13" t="str">
        <x:v>milestone_06_transfer_and_consolidation/week_25_2027-02-22/07_SUNDAY.md</x:v>
      </x:c>
      <x:c r="Q1780" s="138" t="str">
        <x:v>Markdown</x:v>
      </x:c>
      <x:c r="R1780" s="20" t="str"/>
    </x:row>
    <x:row r="1781" ht="36" customHeight="1">
      <x:c r="A1781" s="19" t="str">
        <x:v>W25-20270228-1780</x:v>
      </x:c>
      <x:c r="B1781" s="13" t="n">
        <x:v>25</x:v>
      </x:c>
      <x:c r="C1781" s="13" t="str">
        <x:v>Этап 6 — Перенос навыков, шестёрки и закрепление</x:v>
      </x:c>
      <x:c r="D1781" s="138" t="str">
        <x:v>2027-02-28</x:v>
      </x:c>
      <x:c r="E1781" s="13" t="str">
        <x:v>Воскресенье</x:v>
      </x:c>
      <x:c r="F1781" s="13" t="str">
        <x:v>Тренировка C — fun / опционально</x:v>
      </x:c>
      <x:c r="G1781" s="44" t="n">
        <x:v>0.04583333333333333</x:v>
      </x:c>
      <x:c r="H1781" s="44" t="n">
        <x:v>0.05</x:v>
      </x:c>
      <x:c r="I1781" s="32" t="n">
        <x:f>ROUND((H1781-G1781)*1440,0)</x:f>
        <x:v>6</x:v>
      </x:c>
      <x:c r="J1781" s="13" t="str">
        <x:v>Лёгкий финал A</x:v>
      </x:c>
      <x:c r="K1781" s="13" t="str">
        <x:v>Одна любимая лёгкая трасса или спокойный спуск. Фингерборда и capacity-круга нет.</x:v>
      </x:c>
      <x:c r="L1781" s="13" t="str">
        <x:v>☐ Не начато</x:v>
      </x:c>
      <x:c r="M1781" s="13" t="str">
        <x:v>Опционально</x:v>
      </x:c>
      <x:c r="N1781" s="13" t="str">
        <x:v>RPE 2–3</x:v>
      </x:c>
      <x:c r="O1781" s="13" t="str"/>
      <x:c r="P1781" s="13" t="str">
        <x:v>milestone_06_transfer_and_consolidation/week_25_2027-02-22/07_SUNDAY.md</x:v>
      </x:c>
      <x:c r="Q1781" s="138" t="str">
        <x:v>Markdown</x:v>
      </x:c>
      <x:c r="R1781" s="20" t="str"/>
    </x:row>
    <x:row r="1782" ht="36" customHeight="1">
      <x:c r="A1782" s="19" t="str">
        <x:v>W25-20270228-1781</x:v>
      </x:c>
      <x:c r="B1782" s="13" t="n">
        <x:v>25</x:v>
      </x:c>
      <x:c r="C1782" s="13" t="str">
        <x:v>Этап 6 — Перенос навыков, шестёрки и закрепление</x:v>
      </x:c>
      <x:c r="D1782" s="138" t="str">
        <x:v>2027-02-28</x:v>
      </x:c>
      <x:c r="E1782" s="13" t="str">
        <x:v>Воскресенье</x:v>
      </x:c>
      <x:c r="F1782" s="13" t="str">
        <x:v>Тренировка C — fun / опционально</x:v>
      </x:c>
      <x:c r="G1782" s="44" t="n">
        <x:v>0.05</x:v>
      </x:c>
      <x:c r="H1782" s="44" t="n">
        <x:v>0.052083333333333336</x:v>
      </x:c>
      <x:c r="I1782" s="32" t="n">
        <x:f>ROUND((H1782-G1782)*1440,0)</x:f>
        <x:v>3</x:v>
      </x:c>
      <x:c r="J1782" s="13" t="str">
        <x:v>Журнал A</x:v>
      </x:c>
      <x:c r="K1782" s="13" t="str">
        <x:v>Запиши только 3 вещи: что было весело, один удачный технический момент, состояние пальцев после сессии.</x:v>
      </x:c>
      <x:c r="L1782" s="13" t="str">
        <x:v>☐ Не начато</x:v>
      </x:c>
      <x:c r="M1782" s="13" t="str">
        <x:v>Опционально</x:v>
      </x:c>
      <x:c r="N1782" s="13" t="str">
        <x:v>Без нагрузки</x:v>
      </x:c>
      <x:c r="O1782" s="13" t="str"/>
      <x:c r="P1782" s="13" t="str">
        <x:v>milestone_06_transfer_and_consolidation/week_25_2027-02-22/07_SUNDAY.md</x:v>
      </x:c>
      <x:c r="Q1782" s="138" t="str">
        <x:v>Markdown</x:v>
      </x:c>
      <x:c r="R1782" s="20" t="str"/>
    </x:row>
    <x:row r="1783" ht="36" customHeight="1">
      <x:c r="A1783" s="19" t="str">
        <x:v>W25-20270228-1782</x:v>
      </x:c>
      <x:c r="B1783" s="13" t="n">
        <x:v>25</x:v>
      </x:c>
      <x:c r="C1783" s="13" t="str">
        <x:v>Этап 6 — Перенос навыков, шестёрки и закрепление</x:v>
      </x:c>
      <x:c r="D1783" s="138" t="str">
        <x:v>2027-02-28</x:v>
      </x:c>
      <x:c r="E1783" s="13" t="str">
        <x:v>Воскресенье</x:v>
      </x:c>
      <x:c r="F1783" s="13" t="str">
        <x:v>Восстановление B — дома</x:v>
      </x:c>
      <x:c r="G1783" s="44" t="n">
        <x:v>0</x:v>
      </x:c>
      <x:c r="H1783" s="44" t="n">
        <x:v>0.010416666666666666</x:v>
      </x:c>
      <x:c r="I1783" s="32" t="n">
        <x:f>ROUND((H1783-G1783)*1440,0)</x:f>
        <x:v>15</x:v>
      </x:c>
      <x:c r="J1783" s="13" t="str">
        <x:v>Прогулка B</x:v>
      </x:c>
      <x:c r="K1783" s="13" t="str">
        <x:v>Если не идёшь в зал: 15 минут спокойной прогулки.</x:v>
      </x:c>
      <x:c r="L1783" s="13" t="str">
        <x:v>☐ Не начато</x:v>
      </x:c>
      <x:c r="M1783" s="13" t="str">
        <x:v>Опционально</x:v>
      </x:c>
      <x:c r="N1783" s="13" t="str">
        <x:v>RPE 1–2</x:v>
      </x:c>
      <x:c r="O1783" s="13" t="str"/>
      <x:c r="P1783" s="13" t="str">
        <x:v>milestone_06_transfer_and_consolidation/week_25_2027-02-22/07_SUNDAY.md</x:v>
      </x:c>
      <x:c r="Q1783" s="138" t="str">
        <x:v>Markdown</x:v>
      </x:c>
      <x:c r="R1783" s="20" t="str"/>
    </x:row>
    <x:row r="1784" ht="36" customHeight="1">
      <x:c r="A1784" s="19" t="str">
        <x:v>W25-20270228-1783</x:v>
      </x:c>
      <x:c r="B1784" s="13" t="n">
        <x:v>25</x:v>
      </x:c>
      <x:c r="C1784" s="13" t="str">
        <x:v>Этап 6 — Перенос навыков, шестёрки и закрепление</x:v>
      </x:c>
      <x:c r="D1784" s="138" t="str">
        <x:v>2027-02-28</x:v>
      </x:c>
      <x:c r="E1784" s="13" t="str">
        <x:v>Воскресенье</x:v>
      </x:c>
      <x:c r="F1784" s="13" t="str">
        <x:v>Восстановление B — дома</x:v>
      </x:c>
      <x:c r="G1784" s="44" t="n">
        <x:v>0.010416666666666666</x:v>
      </x:c>
      <x:c r="H1784" s="44" t="n">
        <x:v>0.015277777777777777</x:v>
      </x:c>
      <x:c r="I1784" s="32" t="n">
        <x:f>ROUND((H1784-G1784)*1440,0)</x:f>
        <x:v>7</x:v>
      </x:c>
      <x:c r="J1784" s="13" t="str">
        <x:v>Визуализация B</x:v>
      </x:c>
      <x:c r="K1784" s="13" t="str">
        <x:v>7 минут: мысленно повтори тему недели «Снижение объёма» и одну трассу четверга.</x:v>
      </x:c>
      <x:c r="L1784" s="13" t="str">
        <x:v>☐ Не начато</x:v>
      </x:c>
      <x:c r="M1784" s="13" t="str">
        <x:v>Опционально</x:v>
      </x:c>
      <x:c r="N1784" s="13" t="str">
        <x:v>Без нагрузки</x:v>
      </x:c>
      <x:c r="O1784" s="13" t="str"/>
      <x:c r="P1784" s="13" t="str">
        <x:v>milestone_06_transfer_and_consolidation/week_25_2027-02-22/07_SUNDAY.md</x:v>
      </x:c>
      <x:c r="Q1784" s="138" t="str">
        <x:v>Markdown</x:v>
      </x:c>
      <x:c r="R1784" s="20" t="str"/>
    </x:row>
    <x:row r="1785" ht="36" customHeight="1">
      <x:c r="A1785" s="19" t="str">
        <x:v>W25-20270228-1784</x:v>
      </x:c>
      <x:c r="B1785" s="13" t="n">
        <x:v>25</x:v>
      </x:c>
      <x:c r="C1785" s="13" t="str">
        <x:v>Этап 6 — Перенос навыков, шестёрки и закрепление</x:v>
      </x:c>
      <x:c r="D1785" s="138" t="str">
        <x:v>2027-02-28</x:v>
      </x:c>
      <x:c r="E1785" s="13" t="str">
        <x:v>Воскресенье</x:v>
      </x:c>
      <x:c r="F1785" s="13" t="str">
        <x:v>Восстановление B — дома</x:v>
      </x:c>
      <x:c r="G1785" s="44" t="n">
        <x:v>0.015277777777777777</x:v>
      </x:c>
      <x:c r="H1785" s="44" t="n">
        <x:v>0.017361111111111112</x:v>
      </x:c>
      <x:c r="I1785" s="32" t="n">
        <x:f>ROUND((H1785-G1785)*1440,0)</x:f>
        <x:v>3</x:v>
      </x:c>
      <x:c r="J1785" s="13" t="str">
        <x:v>Итог недели B</x:v>
      </x:c>
      <x:c r="K1785" s="13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785" s="13" t="str">
        <x:v>☐ Не начато</x:v>
      </x:c>
      <x:c r="M1785" s="13" t="str">
        <x:v>Опционально</x:v>
      </x:c>
      <x:c r="N1785" s="13" t="str">
        <x:v>Без нагрузки</x:v>
      </x:c>
      <x:c r="O1785" s="13" t="str"/>
      <x:c r="P1785" s="13" t="str">
        <x:v>milestone_06_transfer_and_consolidation/week_25_2027-02-22/07_SUNDAY.md</x:v>
      </x:c>
      <x:c r="Q1785" s="138" t="str">
        <x:v>Markdown</x:v>
      </x:c>
      <x:c r="R1785" s="20" t="str"/>
    </x:row>
    <x:row r="1786" ht="36" customHeight="1">
      <x:c r="A1786" s="19" t="str">
        <x:v>W26-20270301-1785</x:v>
      </x:c>
      <x:c r="B1786" s="13" t="n">
        <x:v>26</x:v>
      </x:c>
      <x:c r="C1786" s="13" t="str">
        <x:v>Этап 6 — Перенос навыков, шестёрки и закрепление</x:v>
      </x:c>
      <x:c r="D1786" s="138" t="str">
        <x:v>2027-03-01</x:v>
      </x:c>
      <x:c r="E1786" s="13" t="str">
        <x:v>Понедельник</x:v>
      </x:c>
      <x:c r="F1786" s="13" t="str">
        <x:v>Дом / теория</x:v>
      </x:c>
      <x:c r="G1786" s="44" t="n">
        <x:v>0</x:v>
      </x:c>
      <x:c r="H1786" s="44" t="n">
        <x:v>0.0020833333333333333</x:v>
      </x:c>
      <x:c r="I1786" s="32" t="n">
        <x:f>ROUND((H1786-G1786)*1440,0)</x:f>
        <x:v>3</x:v>
      </x:c>
      <x:c r="J1786" s="13" t="str">
        <x:v>Самопроверка</x:v>
      </x:c>
      <x:c r="K1786" s="13" t="str">
        <x:v>Оцени и запиши: сон 1–5, энергия 1–5, плечо/пальцы/правое колено 0–10. При красном флаге неделя сразу становится разгрузочной.</x:v>
      </x:c>
      <x:c r="L1786" s="13" t="str">
        <x:v>☐ Не начато</x:v>
      </x:c>
      <x:c r="M1786" s="13" t="str">
        <x:v>Обязательно</x:v>
      </x:c>
      <x:c r="N1786" s="13" t="str">
        <x:v>Очень легко</x:v>
      </x:c>
      <x:c r="O1786" s="13" t="str">
        <x:v>Не диагностируй травму самостоятельно; используй правила из документа безопасности.</x:v>
      </x:c>
      <x:c r="P1786" s="13" t="str">
        <x:v>milestone_06_transfer_and_consolidation/week_26_2027-03-01/01_MONDAY.md</x:v>
      </x:c>
      <x:c r="Q1786" s="138" t="str">
        <x:v>Markdown</x:v>
      </x:c>
      <x:c r="R1786" s="20" t="str"/>
    </x:row>
    <x:row r="1787" ht="36" customHeight="1">
      <x:c r="A1787" s="19" t="str">
        <x:v>W26-20270301-1786</x:v>
      </x:c>
      <x:c r="B1787" s="13" t="n">
        <x:v>26</x:v>
      </x:c>
      <x:c r="C1787" s="13" t="str">
        <x:v>Этап 6 — Перенос навыков, шестёрки и закрепление</x:v>
      </x:c>
      <x:c r="D1787" s="138" t="str">
        <x:v>2027-03-01</x:v>
      </x:c>
      <x:c r="E1787" s="13" t="str">
        <x:v>Понедельник</x:v>
      </x:c>
      <x:c r="F1787" s="13" t="str">
        <x:v>Дом / теория</x:v>
      </x:c>
      <x:c r="G1787" s="44" t="n">
        <x:v>0.0020833333333333333</x:v>
      </x:c>
      <x:c r="H1787" s="44" t="n">
        <x:v>0.005555555555555556</x:v>
      </x:c>
      <x:c r="I1787" s="32" t="n">
        <x:f>ROUND((H1787-G1787)*1440,0)</x:f>
        <x:v>5</x:v>
      </x:c>
      <x:c r="J1787" s="13" t="str">
        <x:v>Планирование</x:v>
      </x:c>
      <x:c r="K1787" s="13" t="str">
        <x:v>Открой обзор недели и забронируй два структурированных окна: вторник A и четверг B. Воскресенье оставь бонусным. Запиши главный cue недели: «Оцени процесс: качество ног, понимание беты, время рабочей силы хвата и перенос навыков.»</x:v>
      </x:c>
      <x:c r="L1787" s="13" t="str">
        <x:v>☐ Не начато</x:v>
      </x:c>
      <x:c r="M1787" s="13" t="str">
        <x:v>Обязательно</x:v>
      </x:c>
      <x:c r="N1787" s="13" t="str">
        <x:v>Без нагрузки</x:v>
      </x:c>
      <x:c r="O1787" s="13" t="str"/>
      <x:c r="P1787" s="13" t="str">
        <x:v>milestone_06_transfer_and_consolidation/week_26_2027-03-01/01_MONDAY.md</x:v>
      </x:c>
      <x:c r="Q1787" s="138" t="str">
        <x:v>Markdown</x:v>
      </x:c>
      <x:c r="R1787" s="20" t="str"/>
    </x:row>
    <x:row r="1788" ht="36" customHeight="1">
      <x:c r="A1788" s="19" t="str">
        <x:v>W26-20270301-1787</x:v>
      </x:c>
      <x:c r="B1788" s="13" t="n">
        <x:v>26</x:v>
      </x:c>
      <x:c r="C1788" s="13" t="str">
        <x:v>Этап 6 — Перенос навыков, шестёрки и закрепление</x:v>
      </x:c>
      <x:c r="D1788" s="138" t="str">
        <x:v>2027-03-01</x:v>
      </x:c>
      <x:c r="E1788" s="13" t="str">
        <x:v>Понедельник</x:v>
      </x:c>
      <x:c r="F1788" s="13" t="str">
        <x:v>Дом / теория</x:v>
      </x:c>
      <x:c r="G1788" s="44" t="n">
        <x:v>0.005555555555555556</x:v>
      </x:c>
      <x:c r="H1788" s="44" t="n">
        <x:v>0.011111111111111112</x:v>
      </x:c>
      <x:c r="I1788" s="32" t="n">
        <x:f>ROUND((H1788-G1788)*1440,0)</x:f>
        <x:v>8</x:v>
      </x:c>
      <x:c r="J1788" s="13" t="str">
        <x:v>Теория</x:v>
      </x:c>
      <x:c r="K1788" s="13" t="str">
        <x:v>Посмотри/прочитай [R20: Berta Block — Technikkurs 1](https://www.bertablock.de/technikkurs-1). Задача: Шесть очных занятий по основам техники; при записи курс заменяет одну структурированную тренировку в неделю.</x:v>
      </x:c>
      <x:c r="L1788" s="13" t="str">
        <x:v>☐ Не начато</x:v>
      </x:c>
      <x:c r="M1788" s="13" t="str">
        <x:v>Обязательно</x:v>
      </x:c>
      <x:c r="N1788" s="13" t="str">
        <x:v>Без нагрузки</x:v>
      </x:c>
      <x:c r="O1788" s="13" t="str"/>
      <x:c r="P1788" s="13" t="str">
        <x:v>milestone_06_transfer_and_consolidation/week_26_2027-03-01/01_MONDAY.md</x:v>
      </x:c>
      <x:c r="Q1788" s="138" t="str">
        <x:v>Markdown</x:v>
      </x:c>
      <x:c r="R1788" s="20" t="str"/>
    </x:row>
    <x:row r="1789" ht="36" customHeight="1">
      <x:c r="A1789" s="19" t="str">
        <x:v>W26-20270301-1788</x:v>
      </x:c>
      <x:c r="B1789" s="13" t="n">
        <x:v>26</x:v>
      </x:c>
      <x:c r="C1789" s="13" t="str">
        <x:v>Этап 6 — Перенос навыков, шестёрки и закрепление</x:v>
      </x:c>
      <x:c r="D1789" s="138" t="str">
        <x:v>2027-03-01</x:v>
      </x:c>
      <x:c r="E1789" s="13" t="str">
        <x:v>Понедельник</x:v>
      </x:c>
      <x:c r="F1789" s="13" t="str">
        <x:v>Дом / теория</x:v>
      </x:c>
      <x:c r="G1789" s="44" t="n">
        <x:v>0.011111111111111112</x:v>
      </x:c>
      <x:c r="H1789" s="44" t="n">
        <x:v>0.014583333333333334</x:v>
      </x:c>
      <x:c r="I1789" s="32" t="n">
        <x:f>ROUND((H1789-G1789)*1440,0)</x:f>
        <x:v>5</x:v>
      </x:c>
      <x:c r="J1789" s="13" t="str">
        <x:v>Конспект</x:v>
      </x:c>
      <x:c r="K1789" s="13" t="str">
        <x:v>Запиши ровно 3 пункта: (1) что делать ногами/тазом; (2) что не делать руками; (3) какой признак успеха проверишь на стене для темы «Финальная проверка».</x:v>
      </x:c>
      <x:c r="L1789" s="13" t="str">
        <x:v>☐ Не начато</x:v>
      </x:c>
      <x:c r="M1789" s="13" t="str">
        <x:v>Обязательно</x:v>
      </x:c>
      <x:c r="N1789" s="13" t="str">
        <x:v>Без нагрузки</x:v>
      </x:c>
      <x:c r="O1789" s="13" t="str"/>
      <x:c r="P1789" s="13" t="str">
        <x:v>milestone_06_transfer_and_consolidation/week_26_2027-03-01/01_MONDAY.md</x:v>
      </x:c>
      <x:c r="Q1789" s="138" t="str">
        <x:v>Markdown</x:v>
      </x:c>
      <x:c r="R1789" s="20" t="str"/>
    </x:row>
    <x:row r="1790" ht="36" customHeight="1">
      <x:c r="A1790" s="19" t="str">
        <x:v>W26-20270301-1789</x:v>
      </x:c>
      <x:c r="B1790" s="13" t="n">
        <x:v>26</x:v>
      </x:c>
      <x:c r="C1790" s="13" t="str">
        <x:v>Этап 6 — Перенос навыков, шестёрки и закрепление</x:v>
      </x:c>
      <x:c r="D1790" s="138" t="str">
        <x:v>2027-03-01</x:v>
      </x:c>
      <x:c r="E1790" s="13" t="str">
        <x:v>Понедельник</x:v>
      </x:c>
      <x:c r="F1790" s="13" t="str">
        <x:v>Дом / теория</x:v>
      </x:c>
      <x:c r="G1790" s="44" t="n">
        <x:v>0.014583333333333334</x:v>
      </x:c>
      <x:c r="H1790" s="44" t="n">
        <x:v>0.022916666666666665</x:v>
      </x:c>
      <x:c r="I1790" s="32" t="n">
        <x:f>ROUND((H1790-G1790)*1440,0)</x:f>
        <x:v>12</x:v>
      </x:c>
      <x:c r="J1790" s="13" t="str">
        <x:v>Домашняя мобильность</x:v>
      </x:c>
      <x:c r="K1790" s="13" t="str">
        <x:v>Выполни комплекс H1 «База: таз, корпус и стопы» по библиотеке упражнений: 12 минут, без дополнительной нагрузки на пальцы.</x:v>
      </x:c>
      <x:c r="L1790" s="13" t="str">
        <x:v>☐ Не начато</x:v>
      </x:c>
      <x:c r="M1790" s="13" t="str">
        <x:v>Обязательно</x:v>
      </x:c>
      <x:c r="N1790" s="13" t="str">
        <x:v>RPE 2–3</x:v>
      </x:c>
      <x:c r="O1790" s="13" t="str">
        <x:v>Правое колено остаётся по направлению носка. Любое болезненное положение уменьши или пропусти. Кольца и турник не используются для дополнительной нагрузки.</x:v>
      </x:c>
      <x:c r="P1790" s="13" t="str">
        <x:v>milestone_06_transfer_and_consolidation/week_26_2027-03-01/01_MONDAY.md</x:v>
      </x:c>
      <x:c r="Q1790" s="138" t="str">
        <x:v>Markdown</x:v>
      </x:c>
      <x:c r="R1790" s="20" t="str"/>
    </x:row>
    <x:row r="1791" ht="36" customHeight="1">
      <x:c r="A1791" s="19" t="str">
        <x:v>W26-20270301-1790</x:v>
      </x:c>
      <x:c r="B1791" s="13" t="n">
        <x:v>26</x:v>
      </x:c>
      <x:c r="C1791" s="13" t="str">
        <x:v>Этап 6 — Перенос навыков, шестёрки и закрепление</x:v>
      </x:c>
      <x:c r="D1791" s="138" t="str">
        <x:v>2027-03-01</x:v>
      </x:c>
      <x:c r="E1791" s="13" t="str">
        <x:v>Понедельник</x:v>
      </x:c>
      <x:c r="F1791" s="13" t="str">
        <x:v>Дом / теория</x:v>
      </x:c>
      <x:c r="G1791" s="44" t="n">
        <x:v>0.022916666666666665</x:v>
      </x:c>
      <x:c r="H1791" s="44" t="n">
        <x:v>0.03680555555555556</x:v>
      </x:c>
      <x:c r="I1791" s="32" t="n">
        <x:f>ROUND((H1791-G1791)*1440,0)</x:f>
        <x:v>20</x:v>
      </x:c>
      <x:c r="J1791" s="13" t="str">
        <x:v>Физиотерапия</x:v>
      </x:c>
      <x:c r="K1791" s="13" t="str">
        <x:v>Выполни свой уже назначенный физиотерапевтом комплекс. Этот слот не добавляет новых упражнений и не заменяет его расписание.</x:v>
      </x:c>
      <x:c r="L1791" s="13" t="str">
        <x:v>☐ Не начато</x:v>
      </x:c>
      <x:c r="M1791" s="13" t="str">
        <x:v>По назначению</x:v>
      </x:c>
      <x:c r="N1791" s="13" t="str">
        <x:v>По назначению физиотерапевта</x:v>
      </x:c>
      <x:c r="O1791" s="13" t="str">
        <x:v>Любые указания физиотерапевта имеют приоритет над этим планом.</x:v>
      </x:c>
      <x:c r="P1791" s="13" t="str">
        <x:v>milestone_06_transfer_and_consolidation/week_26_2027-03-01/01_MONDAY.md</x:v>
      </x:c>
      <x:c r="Q1791" s="138" t="str">
        <x:v>Markdown</x:v>
      </x:c>
      <x:c r="R1791" s="20" t="str"/>
    </x:row>
    <x:row r="1792" ht="36" customHeight="1">
      <x:c r="A1792" s="19" t="str">
        <x:v>W26-20270301-1791</x:v>
      </x:c>
      <x:c r="B1792" s="13" t="n">
        <x:v>26</x:v>
      </x:c>
      <x:c r="C1792" s="13" t="str">
        <x:v>Этап 6 — Перенос навыков, шестёрки и закрепление</x:v>
      </x:c>
      <x:c r="D1792" s="138" t="str">
        <x:v>2027-03-01</x:v>
      </x:c>
      <x:c r="E1792" s="13" t="str">
        <x:v>Понедельник</x:v>
      </x:c>
      <x:c r="F1792" s="13" t="str">
        <x:v>Дом / теория</x:v>
      </x:c>
      <x:c r="G1792" s="44" t="n">
        <x:v>0.03680555555555556</x:v>
      </x:c>
      <x:c r="H1792" s="44" t="n">
        <x:v>0.04027777777777778</x:v>
      </x:c>
      <x:c r="I1792" s="32" t="n">
        <x:f>ROUND((H1792-G1792)*1440,0)</x:f>
        <x:v>5</x:v>
      </x:c>
      <x:c r="J1792" s="13" t="str">
        <x:v>Покупка / организация</x:v>
      </x:c>
      <x:c r="K1792" s="13" t="str">
        <x:v>Решить следующий шаг: ещё 8–12 недель техники, курс в Berta или индивидуальное занятие.</x:v>
      </x:c>
      <x:c r="L1792" s="13" t="str">
        <x:v>☐ Не начато</x:v>
      </x:c>
      <x:c r="M1792" s="13" t="str">
        <x:v>Опционально</x:v>
      </x:c>
      <x:c r="N1792" s="13" t="str">
        <x:v>Без нагрузки</x:v>
      </x:c>
      <x:c r="O1792" s="13" t="str"/>
      <x:c r="P1792" s="13" t="str">
        <x:v>milestone_06_transfer_and_consolidation/week_26_2027-03-01/01_MONDAY.md</x:v>
      </x:c>
      <x:c r="Q1792" s="138" t="str">
        <x:v>Markdown</x:v>
      </x:c>
      <x:c r="R1792" s="20" t="str"/>
    </x:row>
    <x:row r="1793" ht="36" customHeight="1">
      <x:c r="A1793" s="19" t="str">
        <x:v>W26-20270301-1792</x:v>
      </x:c>
      <x:c r="B1793" s="13" t="n">
        <x:v>26</x:v>
      </x:c>
      <x:c r="C1793" s="13" t="str">
        <x:v>Этап 6 — Перенос навыков, шестёрки и закрепление</x:v>
      </x:c>
      <x:c r="D1793" s="138" t="str">
        <x:v>2027-03-01</x:v>
      </x:c>
      <x:c r="E1793" s="13" t="str">
        <x:v>Понедельник</x:v>
      </x:c>
      <x:c r="F1793" s="13" t="str">
        <x:v>Дом / теория</x:v>
      </x:c>
      <x:c r="G1793" s="44" t="n">
        <x:v>0.04027777777777778</x:v>
      </x:c>
      <x:c r="H1793" s="44" t="n">
        <x:v>0.04236111111111111</x:v>
      </x:c>
      <x:c r="I1793" s="32" t="n">
        <x:f>ROUND((H1793-G1793)*1440,0)</x:f>
        <x:v>3</x:v>
      </x:c>
      <x:c r="J1793" s="13" t="str">
        <x:v>Подготовка</x:v>
      </x:c>
      <x:c r="K1793" s="13" t="str">
        <x:v>Подготовь магнезию, щётку, скальники, воду, телефон/штатив и таймер. Никаких висов на домашнем турнике или кольцах ради «проверки хвата».</x:v>
      </x:c>
      <x:c r="L1793" s="13" t="str">
        <x:v>☐ Не начато</x:v>
      </x:c>
      <x:c r="M1793" s="13" t="str">
        <x:v>Обязательно</x:v>
      </x:c>
      <x:c r="N1793" s="13" t="str">
        <x:v>Без нагрузки</x:v>
      </x:c>
      <x:c r="O1793" s="13" t="str">
        <x:v>Кольца и турник — только в рамках программы физиотерапевта.</x:v>
      </x:c>
      <x:c r="P1793" s="13" t="str">
        <x:v>milestone_06_transfer_and_consolidation/week_26_2027-03-01/01_MONDAY.md</x:v>
      </x:c>
      <x:c r="Q1793" s="138" t="str">
        <x:v>Markdown</x:v>
      </x:c>
      <x:c r="R1793" s="20" t="str"/>
    </x:row>
    <x:row r="1794" ht="36" customHeight="1">
      <x:c r="A1794" s="19" t="str">
        <x:v>W26-20270302-1793</x:v>
      </x:c>
      <x:c r="B1794" s="13" t="n">
        <x:v>26</x:v>
      </x:c>
      <x:c r="C1794" s="13" t="str">
        <x:v>Этап 6 — Перенос навыков, шестёрки и закрепление</x:v>
      </x:c>
      <x:c r="D1794" s="138" t="str">
        <x:v>2027-03-02</x:v>
      </x:c>
      <x:c r="E1794" s="13" t="str">
        <x:v>Вторник</x:v>
      </x:c>
      <x:c r="F1794" s="13" t="str">
        <x:v>Тренировка A — техника/объём</x:v>
      </x:c>
      <x:c r="G1794" s="44" t="n">
        <x:v>0</x:v>
      </x:c>
      <x:c r="H1794" s="44" t="n">
        <x:v>0.0020833333333333333</x:v>
      </x:c>
      <x:c r="I1794" s="32" t="n">
        <x:f>ROUND((H1794-G1794)*1440,0)</x:f>
        <x:v>3</x:v>
      </x:c>
      <x:c r="J1794" s="13" t="str">
        <x:v>Самопроверка</x:v>
      </x:c>
      <x:c r="K1794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794" s="13" t="str">
        <x:v>☐ Не начато</x:v>
      </x:c>
      <x:c r="M1794" s="13" t="str">
        <x:v>Обязательно</x:v>
      </x:c>
      <x:c r="N1794" s="13" t="str">
        <x:v>Без нагрузки</x:v>
      </x:c>
      <x:c r="O1794" s="13" t="str">
        <x:v>Красный флаг = не начинать пальцевую нагрузку.</x:v>
      </x:c>
      <x:c r="P1794" s="13" t="str">
        <x:v>milestone_06_transfer_and_consolidation/week_26_2027-03-01/02_TUESDAY.md</x:v>
      </x:c>
      <x:c r="Q1794" s="138" t="str">
        <x:v>Markdown</x:v>
      </x:c>
      <x:c r="R1794" s="20" t="str"/>
    </x:row>
    <x:row r="1795" ht="36" customHeight="1">
      <x:c r="A1795" s="19" t="str">
        <x:v>W26-20270302-1794</x:v>
      </x:c>
      <x:c r="B1795" s="13" t="n">
        <x:v>26</x:v>
      </x:c>
      <x:c r="C1795" s="13" t="str">
        <x:v>Этап 6 — Перенос навыков, шестёрки и закрепление</x:v>
      </x:c>
      <x:c r="D1795" s="138" t="str">
        <x:v>2027-03-02</x:v>
      </x:c>
      <x:c r="E1795" s="13" t="str">
        <x:v>Вторник</x:v>
      </x:c>
      <x:c r="F1795" s="13" t="str">
        <x:v>Тренировка A — техника/объём</x:v>
      </x:c>
      <x:c r="G1795" s="44" t="n">
        <x:v>0.0020833333333333333</x:v>
      </x:c>
      <x:c r="H1795" s="44" t="n">
        <x:v>0.005555555555555556</x:v>
      </x:c>
      <x:c r="I1795" s="32" t="n">
        <x:f>ROUND((H1795-G1795)*1440,0)</x:f>
        <x:v>5</x:v>
      </x:c>
      <x:c r="J1795" s="13" t="str">
        <x:v>Разминка</x:v>
      </x:c>
      <x:c r="K1795" s="13" t="str">
        <x:v>Подними температуру: быстрая ходьба, лестница или лёгкий велотренажёр 5 минут.</x:v>
      </x:c>
      <x:c r="L1795" s="13" t="str">
        <x:v>☐ Не начато</x:v>
      </x:c>
      <x:c r="M1795" s="13" t="str">
        <x:v>Обязательно</x:v>
      </x:c>
      <x:c r="N1795" s="13" t="str">
        <x:v>RPE 2–3</x:v>
      </x:c>
      <x:c r="O1795" s="13" t="str"/>
      <x:c r="P1795" s="13" t="str">
        <x:v>milestone_06_transfer_and_consolidation/week_26_2027-03-01/02_TUESDAY.md</x:v>
      </x:c>
      <x:c r="Q1795" s="138" t="str">
        <x:v>Markdown</x:v>
      </x:c>
      <x:c r="R1795" s="20" t="str"/>
    </x:row>
    <x:row r="1796" ht="36" customHeight="1">
      <x:c r="A1796" s="19" t="str">
        <x:v>W26-20270302-1795</x:v>
      </x:c>
      <x:c r="B1796" s="13" t="n">
        <x:v>26</x:v>
      </x:c>
      <x:c r="C1796" s="13" t="str">
        <x:v>Этап 6 — Перенос навыков, шестёрки и закрепление</x:v>
      </x:c>
      <x:c r="D1796" s="138" t="str">
        <x:v>2027-03-02</x:v>
      </x:c>
      <x:c r="E1796" s="13" t="str">
        <x:v>Вторник</x:v>
      </x:c>
      <x:c r="F1796" s="13" t="str">
        <x:v>Тренировка A — техника/объём</x:v>
      </x:c>
      <x:c r="G1796" s="44" t="n">
        <x:v>0.005555555555555556</x:v>
      </x:c>
      <x:c r="H1796" s="44" t="n">
        <x:v>0.009027777777777777</x:v>
      </x:c>
      <x:c r="I1796" s="32" t="n">
        <x:f>ROUND((H1796-G1796)*1440,0)</x:f>
        <x:v>5</x:v>
      </x:c>
      <x:c r="J1796" s="13" t="str">
        <x:v>Разминка</x:v>
      </x:c>
      <x:c r="K1796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796" s="13" t="str">
        <x:v>☐ Не начато</x:v>
      </x:c>
      <x:c r="M1796" s="13" t="str">
        <x:v>Обязательно</x:v>
      </x:c>
      <x:c r="N1796" s="13" t="str">
        <x:v>Очень легко</x:v>
      </x:c>
      <x:c r="O1796" s="13" t="str">
        <x:v>Не делай press/отжимания и движения, которые раздражают плечо.</x:v>
      </x:c>
      <x:c r="P1796" s="13" t="str">
        <x:v>milestone_06_transfer_and_consolidation/week_26_2027-03-01/02_TUESDAY.md</x:v>
      </x:c>
      <x:c r="Q1796" s="138" t="str">
        <x:v>Markdown</x:v>
      </x:c>
      <x:c r="R1796" s="20" t="str"/>
    </x:row>
    <x:row r="1797" ht="36" customHeight="1">
      <x:c r="A1797" s="19" t="str">
        <x:v>W26-20270302-1796</x:v>
      </x:c>
      <x:c r="B1797" s="13" t="n">
        <x:v>26</x:v>
      </x:c>
      <x:c r="C1797" s="13" t="str">
        <x:v>Этап 6 — Перенос навыков, шестёрки и закрепление</x:v>
      </x:c>
      <x:c r="D1797" s="138" t="str">
        <x:v>2027-03-02</x:v>
      </x:c>
      <x:c r="E1797" s="13" t="str">
        <x:v>Вторник</x:v>
      </x:c>
      <x:c r="F1797" s="13" t="str">
        <x:v>Тренировка A — техника/объём</x:v>
      </x:c>
      <x:c r="G1797" s="44" t="n">
        <x:v>0.009027777777777777</x:v>
      </x:c>
      <x:c r="H1797" s="44" t="n">
        <x:v>0.011805555555555555</x:v>
      </x:c>
      <x:c r="I1797" s="32" t="n">
        <x:f>ROUND((H1797-G1797)*1440,0)</x:f>
        <x:v>4</x:v>
      </x:c>
      <x:c r="J1797" s="13" t="str">
        <x:v>Разминка пальцев</x:v>
      </x:c>
      <x:c r="K1797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797" s="13" t="str">
        <x:v>☐ Не начато</x:v>
      </x:c>
      <x:c r="M1797" s="13" t="str">
        <x:v>Обязательно</x:v>
      </x:c>
      <x:c r="N1797" s="13" t="str">
        <x:v>Очень легко</x:v>
      </x:c>
      <x:c r="O1797" s="13" t="str"/>
      <x:c r="P1797" s="13" t="str">
        <x:v>milestone_06_transfer_and_consolidation/week_26_2027-03-01/02_TUESDAY.md</x:v>
      </x:c>
      <x:c r="Q1797" s="138" t="str">
        <x:v>Markdown</x:v>
      </x:c>
      <x:c r="R1797" s="20" t="str"/>
    </x:row>
    <x:row r="1798" ht="36" customHeight="1">
      <x:c r="A1798" s="19" t="str">
        <x:v>W26-20270302-1797</x:v>
      </x:c>
      <x:c r="B1798" s="13" t="n">
        <x:v>26</x:v>
      </x:c>
      <x:c r="C1798" s="13" t="str">
        <x:v>Этап 6 — Перенос навыков, шестёрки и закрепление</x:v>
      </x:c>
      <x:c r="D1798" s="138" t="str">
        <x:v>2027-03-02</x:v>
      </x:c>
      <x:c r="E1798" s="13" t="str">
        <x:v>Вторник</x:v>
      </x:c>
      <x:c r="F1798" s="13" t="str">
        <x:v>Тренировка A — техника/объём</x:v>
      </x:c>
      <x:c r="G1798" s="44" t="n">
        <x:v>0.011805555555555555</x:v>
      </x:c>
      <x:c r="H1798" s="44" t="n">
        <x:v>0.014583333333333334</x:v>
      </x:c>
      <x:c r="I1798" s="32" t="n">
        <x:f>ROUND((H1798-G1798)*1440,0)</x:f>
        <x:v>4</x:v>
      </x:c>
      <x:c r="J1798" s="13" t="str">
        <x:v>Разминочное лазание</x:v>
      </x:c>
      <x:c r="K1798" s="13" t="str">
        <x:v>Пройди 2 очень лёгкие трассы уровня 1–2; двигайся медленно, спускайся по зацепам.</x:v>
      </x:c>
      <x:c r="L1798" s="13" t="str">
        <x:v>☐ Не начато</x:v>
      </x:c>
      <x:c r="M1798" s="13" t="str">
        <x:v>Обязательно</x:v>
      </x:c>
      <x:c r="N1798" s="13" t="str">
        <x:v>RPE 2–3</x:v>
      </x:c>
      <x:c r="O1798" s="13" t="str">
        <x:v>Финиш с обязательным болезненным mantle/press пропусти.</x:v>
      </x:c>
      <x:c r="P1798" s="13" t="str">
        <x:v>milestone_06_transfer_and_consolidation/week_26_2027-03-01/02_TUESDAY.md</x:v>
      </x:c>
      <x:c r="Q1798" s="138" t="str">
        <x:v>Markdown</x:v>
      </x:c>
      <x:c r="R1798" s="20" t="str"/>
    </x:row>
    <x:row r="1799" ht="36" customHeight="1">
      <x:c r="A1799" s="19" t="str">
        <x:v>W26-20270302-1798</x:v>
      </x:c>
      <x:c r="B1799" s="13" t="n">
        <x:v>26</x:v>
      </x:c>
      <x:c r="C1799" s="13" t="str">
        <x:v>Этап 6 — Перенос навыков, шестёрки и закрепление</x:v>
      </x:c>
      <x:c r="D1799" s="138" t="str">
        <x:v>2027-03-02</x:v>
      </x:c>
      <x:c r="E1799" s="13" t="str">
        <x:v>Вторник</x:v>
      </x:c>
      <x:c r="F1799" s="13" t="str">
        <x:v>Тренировка A — техника/объём</x:v>
      </x:c>
      <x:c r="G1799" s="44" t="n">
        <x:v>0.014583333333333334</x:v>
      </x:c>
      <x:c r="H1799" s="44" t="n">
        <x:v>0.017361111111111112</x:v>
      </x:c>
      <x:c r="I1799" s="32" t="n">
        <x:f>ROUND((H1799-G1799)*1440,0)</x:f>
        <x:v>4</x:v>
      </x:c>
      <x:c r="J1799" s="13" t="str">
        <x:v>Разминочное лазание</x:v>
      </x:c>
      <x:c r="K1799" s="13" t="str">
        <x:v>Пройди 2 трассы уровня 2–3, затем сделай 2–3 движения на комфортной четвёрке. Между ними 45–60 секунд.</x:v>
      </x:c>
      <x:c r="L1799" s="13" t="str">
        <x:v>☐ Не начато</x:v>
      </x:c>
      <x:c r="M1799" s="13" t="str">
        <x:v>Обязательно</x:v>
      </x:c>
      <x:c r="N1799" s="13" t="str">
        <x:v>RPE 3–4</x:v>
      </x:c>
      <x:c r="O1799" s="13" t="str">
        <x:v>Разминка не должна утомить пальцы.</x:v>
      </x:c>
      <x:c r="P1799" s="13" t="str">
        <x:v>milestone_06_transfer_and_consolidation/week_26_2027-03-01/02_TUESDAY.md</x:v>
      </x:c>
      <x:c r="Q1799" s="138" t="str">
        <x:v>Markdown</x:v>
      </x:c>
      <x:c r="R1799" s="20" t="str"/>
    </x:row>
    <x:row r="1800" ht="36" customHeight="1">
      <x:c r="A1800" s="19" t="str">
        <x:v>W26-20270302-1799</x:v>
      </x:c>
      <x:c r="B1800" s="13" t="n">
        <x:v>26</x:v>
      </x:c>
      <x:c r="C1800" s="13" t="str">
        <x:v>Этап 6 — Перенос навыков, шестёрки и закрепление</x:v>
      </x:c>
      <x:c r="D1800" s="138" t="str">
        <x:v>2027-03-02</x:v>
      </x:c>
      <x:c r="E1800" s="13" t="str">
        <x:v>Вторник</x:v>
      </x:c>
      <x:c r="F1800" s="13" t="str">
        <x:v>Тренировка A — техника/объём</x:v>
      </x:c>
      <x:c r="G1800" s="44" t="n">
        <x:v>0.017361111111111112</x:v>
      </x:c>
      <x:c r="H1800" s="44" t="n">
        <x:v>0.021527777777777778</x:v>
      </x:c>
      <x:c r="I1800" s="32" t="n">
        <x:f>ROUND((H1800-G1800)*1440,0)</x:f>
        <x:v>6</x:v>
      </x:c>
      <x:c r="J1800" s="13" t="str">
        <x:v>Техника</x:v>
      </x:c>
      <x:c r="K1800" s="13" t="str">
        <x:v>Праймер «Финальная проверка» на одной лёгкой трассе. Главный cue: «Оцени процесс: качество ног, понимание беты, время рабочей силы хвата и перенос навыков.».</x:v>
      </x:c>
      <x:c r="L1800" s="13" t="str">
        <x:v>☐ Не начато</x:v>
      </x:c>
      <x:c r="M1800" s="13" t="str">
        <x:v>Обязательно</x:v>
      </x:c>
      <x:c r="N1800" s="13" t="str">
        <x:v>RPE 3–4</x:v>
      </x:c>
      <x:c r="O1800" s="13" t="str">
        <x:v>Нет фингерборда и тяжёлого круга.</x:v>
      </x:c>
      <x:c r="P1800" s="13" t="str">
        <x:v>milestone_06_transfer_and_consolidation/week_26_2027-03-01/02_TUESDAY.md</x:v>
      </x:c>
      <x:c r="Q1800" s="138" t="str">
        <x:v>Markdown</x:v>
      </x:c>
      <x:c r="R1800" s="20" t="str"/>
    </x:row>
    <x:row r="1801" ht="36" customHeight="1">
      <x:c r="A1801" s="19" t="str">
        <x:v>W26-20270302-1800</x:v>
      </x:c>
      <x:c r="B1801" s="13" t="n">
        <x:v>26</x:v>
      </x:c>
      <x:c r="C1801" s="13" t="str">
        <x:v>Этап 6 — Перенос навыков, шестёрки и закрепление</x:v>
      </x:c>
      <x:c r="D1801" s="138" t="str">
        <x:v>2027-03-02</x:v>
      </x:c>
      <x:c r="E1801" s="13" t="str">
        <x:v>Вторник</x:v>
      </x:c>
      <x:c r="F1801" s="13" t="str">
        <x:v>Тренировка A — техника/объём</x:v>
      </x:c>
      <x:c r="G1801" s="44" t="n">
        <x:v>0.021527777777777778</x:v>
      </x:c>
      <x:c r="H1801" s="44" t="n">
        <x:v>0.0375</x:v>
      </x:c>
      <x:c r="I1801" s="32" t="n">
        <x:f>ROUND((H1801-G1801)*1440,0)</x:f>
        <x:v>23</x:v>
      </x:c>
      <x:c r="J1801" s="13" t="str">
        <x:v>Контрольный объём</x:v>
      </x:c>
      <x:c r="K1801" s="13" t="str">
        <x:v>Пройди 4 новые четвёрки, максимум 2 попытки на каждую, отдых 2:00–2:30. Фиксируй точность стоп и раннее сгибание рук.</x:v>
      </x:c>
      <x:c r="L1801" s="13" t="str">
        <x:v>☐ Не начато</x:v>
      </x:c>
      <x:c r="M1801" s="13" t="str">
        <x:v>Обязательно</x:v>
      </x:c>
      <x:c r="N1801" s="13" t="str">
        <x:v>RPE 6–8</x:v>
      </x:c>
      <x:c r="O1801" s="13" t="str">
        <x:v>Фингерборда и тяжёлого круга нет. Не рисковать плечом/коленом ради символического финала.</x:v>
      </x:c>
      <x:c r="P1801" s="13" t="str">
        <x:v>milestone_06_transfer_and_consolidation/week_26_2027-03-01/02_TUESDAY.md</x:v>
      </x:c>
      <x:c r="Q1801" s="138" t="str">
        <x:v>Markdown</x:v>
      </x:c>
      <x:c r="R1801" s="20" t="str"/>
    </x:row>
    <x:row r="1802" ht="36" customHeight="1">
      <x:c r="A1802" s="19" t="str">
        <x:v>W26-20270302-1801</x:v>
      </x:c>
      <x:c r="B1802" s="13" t="n">
        <x:v>26</x:v>
      </x:c>
      <x:c r="C1802" s="13" t="str">
        <x:v>Этап 6 — Перенос навыков, шестёрки и закрепление</x:v>
      </x:c>
      <x:c r="D1802" s="138" t="str">
        <x:v>2027-03-02</x:v>
      </x:c>
      <x:c r="E1802" s="13" t="str">
        <x:v>Вторник</x:v>
      </x:c>
      <x:c r="F1802" s="13" t="str">
        <x:v>Тренировка A — техника/объём</x:v>
      </x:c>
      <x:c r="G1802" s="44" t="n">
        <x:v>0.0375</x:v>
      </x:c>
      <x:c r="H1802" s="44" t="n">
        <x:v>0.05694444444444444</x:v>
      </x:c>
      <x:c r="I1802" s="32" t="n">
        <x:f>ROUND((H1802-G1802)*1440,0)</x:f>
        <x:v>28</x:v>
      </x:c>
      <x:c r="J1802" s="13" t="str">
        <x:v>Контрольный объём</x:v>
      </x:c>
      <x:c r="K1802" s="13" t="str">
        <x:v>Попробуй 4 новые пятёрки, максимум 3 попытки на каждую, отдых 3:00. Не пытайся вместить все попытки: при падении качества переходи к записи результата.</x:v>
      </x:c>
      <x:c r="L1802" s="13" t="str">
        <x:v>☐ Не начато</x:v>
      </x:c>
      <x:c r="M1802" s="13" t="str">
        <x:v>Обязательно</x:v>
      </x:c>
      <x:c r="N1802" s="13" t="str">
        <x:v>RPE 7–8, без отказа</x:v>
      </x:c>
      <x:c r="O1802" s="13" t="str">
        <x:v>Шестёрка будет в четверг; не добивай пальцы сегодня.</x:v>
      </x:c>
      <x:c r="P1802" s="13" t="str">
        <x:v>milestone_06_transfer_and_consolidation/week_26_2027-03-01/02_TUESDAY.md</x:v>
      </x:c>
      <x:c r="Q1802" s="138" t="str">
        <x:v>Markdown</x:v>
      </x:c>
      <x:c r="R1802" s="20" t="str"/>
    </x:row>
    <x:row r="1803" ht="36" customHeight="1">
      <x:c r="A1803" s="19" t="str">
        <x:v>W26-20270302-1802</x:v>
      </x:c>
      <x:c r="B1803" s="13" t="n">
        <x:v>26</x:v>
      </x:c>
      <x:c r="C1803" s="13" t="str">
        <x:v>Этап 6 — Перенос навыков, шестёрки и закрепление</x:v>
      </x:c>
      <x:c r="D1803" s="138" t="str">
        <x:v>2027-03-02</x:v>
      </x:c>
      <x:c r="E1803" s="13" t="str">
        <x:v>Вторник</x:v>
      </x:c>
      <x:c r="F1803" s="13" t="str">
        <x:v>Тренировка A — техника/объём</x:v>
      </x:c>
      <x:c r="G1803" s="44" t="n">
        <x:v>0.05694444444444444</x:v>
      </x:c>
      <x:c r="H1803" s="44" t="n">
        <x:v>0.059722222222222225</x:v>
      </x:c>
      <x:c r="I1803" s="32" t="n">
        <x:f>ROUND((H1803-G1803)*1440,0)</x:f>
        <x:v>4</x:v>
      </x:c>
      <x:c r="J1803" s="13" t="str">
        <x:v>Проверка хвата</x:v>
      </x:c>
      <x:c r="K1803" s="13" t="str">
        <x:v>Запиши минуту первой явной просадки хвата и субъективную свежесть пальцев 1–5.</x:v>
      </x:c>
      <x:c r="L1803" s="13" t="str">
        <x:v>☐ Не начато</x:v>
      </x:c>
      <x:c r="M1803" s="13" t="str">
        <x:v>Обязательно</x:v>
      </x:c>
      <x:c r="N1803" s="13" t="str">
        <x:v>Без нагрузки</x:v>
      </x:c>
      <x:c r="O1803" s="13" t="str"/>
      <x:c r="P1803" s="13" t="str">
        <x:v>milestone_06_transfer_and_consolidation/week_26_2027-03-01/02_TUESDAY.md</x:v>
      </x:c>
      <x:c r="Q1803" s="138" t="str">
        <x:v>Markdown</x:v>
      </x:c>
      <x:c r="R1803" s="20" t="str"/>
    </x:row>
    <x:row r="1804" ht="36" customHeight="1">
      <x:c r="A1804" s="19" t="str">
        <x:v>W26-20270302-1803</x:v>
      </x:c>
      <x:c r="B1804" s="13" t="n">
        <x:v>26</x:v>
      </x:c>
      <x:c r="C1804" s="13" t="str">
        <x:v>Этап 6 — Перенос навыков, шестёрки и закрепление</x:v>
      </x:c>
      <x:c r="D1804" s="138" t="str">
        <x:v>2027-03-02</x:v>
      </x:c>
      <x:c r="E1804" s="13" t="str">
        <x:v>Вторник</x:v>
      </x:c>
      <x:c r="F1804" s="13" t="str">
        <x:v>Тренировка A — техника/объём</x:v>
      </x:c>
      <x:c r="G1804" s="44" t="n">
        <x:v>0.059722222222222225</x:v>
      </x:c>
      <x:c r="H1804" s="44" t="n">
        <x:v>0.0625</x:v>
      </x:c>
      <x:c r="I1804" s="32" t="n">
        <x:f>ROUND((H1804-G1804)*1440,0)</x:f>
        <x:v>4</x:v>
      </x:c>
      <x:c r="J1804" s="13" t="str">
        <x:v>Журнал</x:v>
      </x:c>
      <x:c r="K1804" s="13" t="str">
        <x:v>Запиши результаты теста и подготовь одну гипотезу для четверговой шестёрки. Сравнить недели 1, 12 и 26: % четвёрок/пятёрок, лучшая связка шестёрки, минута просадки хвата, качество видео.</x:v>
      </x:c>
      <x:c r="L1804" s="13" t="str">
        <x:v>☐ Не начато</x:v>
      </x:c>
      <x:c r="M1804" s="13" t="str">
        <x:v>Обязательно</x:v>
      </x:c>
      <x:c r="N1804" s="13" t="str">
        <x:v>Без нагрузки</x:v>
      </x:c>
      <x:c r="O1804" s="13" t="str"/>
      <x:c r="P1804" s="13" t="str">
        <x:v>milestone_06_transfer_and_consolidation/week_26_2027-03-01/02_TUESDAY.md</x:v>
      </x:c>
      <x:c r="Q1804" s="138" t="str">
        <x:v>Markdown</x:v>
      </x:c>
      <x:c r="R1804" s="20" t="str"/>
    </x:row>
    <x:row r="1805" ht="36" customHeight="1">
      <x:c r="A1805" s="19" t="str">
        <x:v>W26-20270303-1804</x:v>
      </x:c>
      <x:c r="B1805" s="13" t="n">
        <x:v>26</x:v>
      </x:c>
      <x:c r="C1805" s="13" t="str">
        <x:v>Этап 6 — Перенос навыков, шестёрки и закрепление</x:v>
      </x:c>
      <x:c r="D1805" s="138" t="str">
        <x:v>2027-03-03</x:v>
      </x:c>
      <x:c r="E1805" s="13" t="str">
        <x:v>Среда</x:v>
      </x:c>
      <x:c r="F1805" s="13" t="str">
        <x:v>Восстановление / видео</x:v>
      </x:c>
      <x:c r="G1805" s="44" t="n">
        <x:v>0</x:v>
      </x:c>
      <x:c r="H1805" s="44" t="n">
        <x:v>0.006944444444444444</x:v>
      </x:c>
      <x:c r="I1805" s="32" t="n">
        <x:f>ROUND((H1805-G1805)*1440,0)</x:f>
        <x:v>10</x:v>
      </x:c>
      <x:c r="J1805" s="13" t="str">
        <x:v>Восстановление</x:v>
      </x:c>
      <x:c r="K1805" s="13" t="str">
        <x:v>10 минут спокойной ходьбы. Руки расслаблены; это не тренировка выносливости.</x:v>
      </x:c>
      <x:c r="L1805" s="13" t="str">
        <x:v>☐ Не начато</x:v>
      </x:c>
      <x:c r="M1805" s="13" t="str">
        <x:v>Обязательно</x:v>
      </x:c>
      <x:c r="N1805" s="13" t="str">
        <x:v>RPE 1–2</x:v>
      </x:c>
      <x:c r="O1805" s="13" t="str"/>
      <x:c r="P1805" s="13" t="str">
        <x:v>milestone_06_transfer_and_consolidation/week_26_2027-03-01/03_WEDNESDAY.md</x:v>
      </x:c>
      <x:c r="Q1805" s="138" t="str">
        <x:v>Markdown</x:v>
      </x:c>
      <x:c r="R1805" s="20" t="str"/>
    </x:row>
    <x:row r="1806" ht="36" customHeight="1">
      <x:c r="A1806" s="19" t="str">
        <x:v>W26-20270303-1805</x:v>
      </x:c>
      <x:c r="B1806" s="13" t="n">
        <x:v>26</x:v>
      </x:c>
      <x:c r="C1806" s="13" t="str">
        <x:v>Этап 6 — Перенос навыков, шестёрки и закрепление</x:v>
      </x:c>
      <x:c r="D1806" s="138" t="str">
        <x:v>2027-03-03</x:v>
      </x:c>
      <x:c r="E1806" s="13" t="str">
        <x:v>Среда</x:v>
      </x:c>
      <x:c r="F1806" s="13" t="str">
        <x:v>Восстановление / видео</x:v>
      </x:c>
      <x:c r="G1806" s="44" t="n">
        <x:v>0.006944444444444444</x:v>
      </x:c>
      <x:c r="H1806" s="44" t="n">
        <x:v>0.009027777777777777</x:v>
      </x:c>
      <x:c r="I1806" s="32" t="n">
        <x:f>ROUND((H1806-G1806)*1440,0)</x:f>
        <x:v>3</x:v>
      </x:c>
      <x:c r="J1806" s="13" t="str">
        <x:v>Самопроверка</x:v>
      </x:c>
      <x:c r="K1806" s="13" t="str">
        <x:v>Оцени реакцию после вторника: плечо, пальцы, правое колено 0–10. Запиши, что изменилось относительно вчерашнего утра.</x:v>
      </x:c>
      <x:c r="L1806" s="13" t="str">
        <x:v>☐ Не начато</x:v>
      </x:c>
      <x:c r="M1806" s="13" t="str">
        <x:v>Обязательно</x:v>
      </x:c>
      <x:c r="N1806" s="13" t="str">
        <x:v>Без нагрузки</x:v>
      </x:c>
      <x:c r="O1806" s="13" t="str">
        <x:v>Острая локальная боль пальца или ухудшение плеча = не делать четверговую пальцевую нагрузку.</x:v>
      </x:c>
      <x:c r="P1806" s="13" t="str">
        <x:v>milestone_06_transfer_and_consolidation/week_26_2027-03-01/03_WEDNESDAY.md</x:v>
      </x:c>
      <x:c r="Q1806" s="138" t="str">
        <x:v>Markdown</x:v>
      </x:c>
      <x:c r="R1806" s="20" t="str"/>
    </x:row>
    <x:row r="1807" ht="36" customHeight="1">
      <x:c r="A1807" s="19" t="str">
        <x:v>W26-20270303-1806</x:v>
      </x:c>
      <x:c r="B1807" s="13" t="n">
        <x:v>26</x:v>
      </x:c>
      <x:c r="C1807" s="13" t="str">
        <x:v>Этап 6 — Перенос навыков, шестёрки и закрепление</x:v>
      </x:c>
      <x:c r="D1807" s="138" t="str">
        <x:v>2027-03-03</x:v>
      </x:c>
      <x:c r="E1807" s="13" t="str">
        <x:v>Среда</x:v>
      </x:c>
      <x:c r="F1807" s="13" t="str">
        <x:v>Восстановление / видео</x:v>
      </x:c>
      <x:c r="G1807" s="44" t="n">
        <x:v>0.009027777777777777</x:v>
      </x:c>
      <x:c r="H1807" s="44" t="n">
        <x:v>0.01597222222222222</x:v>
      </x:c>
      <x:c r="I1807" s="32" t="n">
        <x:f>ROUND((H1807-G1807)*1440,0)</x:f>
        <x:v>10</x:v>
      </x:c>
      <x:c r="J1807" s="13" t="str">
        <x:v>Видеоразбор</x:v>
      </x:c>
      <x:c r="K1807" s="13" t="str">
        <x:v>Посмотри 1–2 попытки вторника. Останови видео перед crux и ответь: какая нога несёт вес, где таз, сгибается ли рука раньше толчка ногой?</x:v>
      </x:c>
      <x:c r="L1807" s="13" t="str">
        <x:v>☐ Не начато</x:v>
      </x:c>
      <x:c r="M1807" s="13" t="str">
        <x:v>Обязательно</x:v>
      </x:c>
      <x:c r="N1807" s="13" t="str">
        <x:v>Без нагрузки</x:v>
      </x:c>
      <x:c r="O1807" s="13" t="str"/>
      <x:c r="P1807" s="13" t="str">
        <x:v>milestone_06_transfer_and_consolidation/week_26_2027-03-01/03_WEDNESDAY.md</x:v>
      </x:c>
      <x:c r="Q1807" s="138" t="str">
        <x:v>Markdown</x:v>
      </x:c>
      <x:c r="R1807" s="20" t="str"/>
    </x:row>
    <x:row r="1808" ht="36" customHeight="1">
      <x:c r="A1808" s="19" t="str">
        <x:v>W26-20270303-1807</x:v>
      </x:c>
      <x:c r="B1808" s="13" t="n">
        <x:v>26</x:v>
      </x:c>
      <x:c r="C1808" s="13" t="str">
        <x:v>Этап 6 — Перенос навыков, шестёрки и закрепление</x:v>
      </x:c>
      <x:c r="D1808" s="138" t="str">
        <x:v>2027-03-03</x:v>
      </x:c>
      <x:c r="E1808" s="13" t="str">
        <x:v>Среда</x:v>
      </x:c>
      <x:c r="F1808" s="13" t="str">
        <x:v>Восстановление / видео</x:v>
      </x:c>
      <x:c r="G1808" s="44" t="n">
        <x:v>0.01597222222222222</x:v>
      </x:c>
      <x:c r="H1808" s="44" t="n">
        <x:v>0.01875</x:v>
      </x:c>
      <x:c r="I1808" s="32" t="n">
        <x:f>ROUND((H1808-G1808)*1440,0)</x:f>
        <x:v>4</x:v>
      </x:c>
      <x:c r="J1808" s="13" t="str">
        <x:v>Конспект</x:v>
      </x:c>
      <x:c r="K1808" s="13" t="str">
        <x:v>Запиши одну правку на четверг в формате «В следующей попытке я…». Используй cue: «Оцени процесс: качество ног, понимание беты, время рабочей силы хвата и перенос навыков.».</x:v>
      </x:c>
      <x:c r="L1808" s="13" t="str">
        <x:v>☐ Не начато</x:v>
      </x:c>
      <x:c r="M1808" s="13" t="str">
        <x:v>Обязательно</x:v>
      </x:c>
      <x:c r="N1808" s="13" t="str">
        <x:v>Без нагрузки</x:v>
      </x:c>
      <x:c r="O1808" s="13" t="str"/>
      <x:c r="P1808" s="13" t="str">
        <x:v>milestone_06_transfer_and_consolidation/week_26_2027-03-01/03_WEDNESDAY.md</x:v>
      </x:c>
      <x:c r="Q1808" s="138" t="str">
        <x:v>Markdown</x:v>
      </x:c>
      <x:c r="R1808" s="20" t="str"/>
    </x:row>
    <x:row r="1809" ht="36" customHeight="1">
      <x:c r="A1809" s="19" t="str">
        <x:v>W26-20270303-1808</x:v>
      </x:c>
      <x:c r="B1809" s="13" t="n">
        <x:v>26</x:v>
      </x:c>
      <x:c r="C1809" s="13" t="str">
        <x:v>Этап 6 — Перенос навыков, шестёрки и закрепление</x:v>
      </x:c>
      <x:c r="D1809" s="138" t="str">
        <x:v>2027-03-03</x:v>
      </x:c>
      <x:c r="E1809" s="13" t="str">
        <x:v>Среда</x:v>
      </x:c>
      <x:c r="F1809" s="13" t="str">
        <x:v>Восстановление / видео</x:v>
      </x:c>
      <x:c r="G1809" s="44" t="n">
        <x:v>0.01875</x:v>
      </x:c>
      <x:c r="H1809" s="44" t="n">
        <x:v>0.027083333333333334</x:v>
      </x:c>
      <x:c r="I1809" s="32" t="n">
        <x:f>ROUND((H1809-G1809)*1440,0)</x:f>
        <x:v>12</x:v>
      </x:c>
      <x:c r="J1809" s="13" t="str">
        <x:v>Домашняя мобильность</x:v>
      </x:c>
      <x:c r="K1809" s="13" t="str">
        <x:v>Выполни комплекс H2 «Баланс и опора ног», 12 минут. Ни турника, ни колец для дополнительного хвата.</x:v>
      </x:c>
      <x:c r="L1809" s="13" t="str">
        <x:v>☐ Не начато</x:v>
      </x:c>
      <x:c r="M1809" s="13" t="str">
        <x:v>Обязательно</x:v>
      </x:c>
      <x:c r="N1809" s="13" t="str">
        <x:v>RPE 2–3</x:v>
      </x:c>
      <x:c r="O1809" s="13" t="str">
        <x:v>Не уходи в глубокий присед. Стена используется как страховка; упражнение не должно провоцировать правое колено.</x:v>
      </x:c>
      <x:c r="P1809" s="13" t="str">
        <x:v>milestone_06_transfer_and_consolidation/week_26_2027-03-01/03_WEDNESDAY.md</x:v>
      </x:c>
      <x:c r="Q1809" s="138" t="str">
        <x:v>Markdown</x:v>
      </x:c>
      <x:c r="R1809" s="20" t="str"/>
    </x:row>
    <x:row r="1810" ht="36" customHeight="1">
      <x:c r="A1810" s="19" t="str">
        <x:v>W26-20270303-1809</x:v>
      </x:c>
      <x:c r="B1810" s="13" t="n">
        <x:v>26</x:v>
      </x:c>
      <x:c r="C1810" s="13" t="str">
        <x:v>Этап 6 — Перенос навыков, шестёрки и закрепление</x:v>
      </x:c>
      <x:c r="D1810" s="138" t="str">
        <x:v>2027-03-03</x:v>
      </x:c>
      <x:c r="E1810" s="13" t="str">
        <x:v>Среда</x:v>
      </x:c>
      <x:c r="F1810" s="13" t="str">
        <x:v>Восстановление / видео</x:v>
      </x:c>
      <x:c r="G1810" s="44" t="n">
        <x:v>0.027083333333333334</x:v>
      </x:c>
      <x:c r="H1810" s="44" t="n">
        <x:v>0.04097222222222222</x:v>
      </x:c>
      <x:c r="I1810" s="32" t="n">
        <x:f>ROUND((H1810-G1810)*1440,0)</x:f>
        <x:v>20</x:v>
      </x:c>
      <x:c r="J1810" s="13" t="str">
        <x:v>Физиотерапия</x:v>
      </x:c>
      <x:c r="K1810" s="13" t="str">
        <x:v>Выполни свой назначенный физиотерапевтом комплекс, если среда входит в его расписание.</x:v>
      </x:c>
      <x:c r="L1810" s="13" t="str">
        <x:v>☐ Не начато</x:v>
      </x:c>
      <x:c r="M1810" s="13" t="str">
        <x:v>По назначению</x:v>
      </x:c>
      <x:c r="N1810" s="13" t="str">
        <x:v>По назначению</x:v>
      </x:c>
      <x:c r="O1810" s="13" t="str">
        <x:v>Назначения физиотерапевта имеют приоритет.</x:v>
      </x:c>
      <x:c r="P1810" s="13" t="str">
        <x:v>milestone_06_transfer_and_consolidation/week_26_2027-03-01/03_WEDNESDAY.md</x:v>
      </x:c>
      <x:c r="Q1810" s="138" t="str">
        <x:v>Markdown</x:v>
      </x:c>
      <x:c r="R1810" s="20" t="str"/>
    </x:row>
    <x:row r="1811" ht="36" customHeight="1">
      <x:c r="A1811" s="19" t="str">
        <x:v>W26-20270303-1810</x:v>
      </x:c>
      <x:c r="B1811" s="13" t="n">
        <x:v>26</x:v>
      </x:c>
      <x:c r="C1811" s="13" t="str">
        <x:v>Этап 6 — Перенос навыков, шестёрки и закрепление</x:v>
      </x:c>
      <x:c r="D1811" s="138" t="str">
        <x:v>2027-03-03</x:v>
      </x:c>
      <x:c r="E1811" s="13" t="str">
        <x:v>Среда</x:v>
      </x:c>
      <x:c r="F1811" s="13" t="str">
        <x:v>Восстановление / видео</x:v>
      </x:c>
      <x:c r="G1811" s="44" t="n">
        <x:v>0.04097222222222222</x:v>
      </x:c>
      <x:c r="H1811" s="44" t="n">
        <x:v>0.043055555555555555</x:v>
      </x:c>
      <x:c r="I1811" s="32" t="n">
        <x:f>ROUND((H1811-G1811)*1440,0)</x:f>
        <x:v>3</x:v>
      </x:c>
      <x:c r="J1811" s="13" t="str">
        <x:v>Запрет лишней нагрузки</x:v>
      </x:c>
      <x:c r="K1811" s="13" t="str">
        <x:v>Поставь отметку: сегодня не было висов, подтягиваний «на проверку», эспандера-сжимателя или тяжёлого ношения.</x:v>
      </x:c>
      <x:c r="L1811" s="13" t="str">
        <x:v>☐ Не начато</x:v>
      </x:c>
      <x:c r="M1811" s="13" t="str">
        <x:v>Обязательно</x:v>
      </x:c>
      <x:c r="N1811" s="13" t="str">
        <x:v>Восстановление</x:v>
      </x:c>
      <x:c r="O1811" s="13" t="str"/>
      <x:c r="P1811" s="13" t="str">
        <x:v>milestone_06_transfer_and_consolidation/week_26_2027-03-01/03_WEDNESDAY.md</x:v>
      </x:c>
      <x:c r="Q1811" s="138" t="str">
        <x:v>Markdown</x:v>
      </x:c>
      <x:c r="R1811" s="20" t="str"/>
    </x:row>
    <x:row r="1812" ht="36" customHeight="1">
      <x:c r="A1812" s="19" t="str">
        <x:v>W26-20270304-1811</x:v>
      </x:c>
      <x:c r="B1812" s="13" t="n">
        <x:v>26</x:v>
      </x:c>
      <x:c r="C1812" s="13" t="str">
        <x:v>Этап 6 — Перенос навыков, шестёрки и закрепление</x:v>
      </x:c>
      <x:c r="D1812" s="138" t="str">
        <x:v>2027-03-04</x:v>
      </x:c>
      <x:c r="E1812" s="13" t="str">
        <x:v>Четверг</x:v>
      </x:c>
      <x:c r="F1812" s="13" t="str">
        <x:v>Тренировка B — пальцы/проект</x:v>
      </x:c>
      <x:c r="G1812" s="44" t="n">
        <x:v>0</x:v>
      </x:c>
      <x:c r="H1812" s="44" t="n">
        <x:v>0.0020833333333333333</x:v>
      </x:c>
      <x:c r="I1812" s="32" t="n">
        <x:f>ROUND((H1812-G1812)*1440,0)</x:f>
        <x:v>3</x:v>
      </x:c>
      <x:c r="J1812" s="13" t="str">
        <x:v>Самопроверка</x:v>
      </x:c>
      <x:c r="K1812" s="13" t="str">
        <x:v>Оцени плечо, пальцы и правое колено 0–10; проверь отсутствие острой боли, отёка, щелчка/«попа» в пальце и необычной нестабильности.</x:v>
      </x:c>
      <x:c r="L1812" s="13" t="str">
        <x:v>☐ Не начато</x:v>
      </x:c>
      <x:c r="M1812" s="13" t="str">
        <x:v>Обязательно</x:v>
      </x:c>
      <x:c r="N1812" s="13" t="str">
        <x:v>Без нагрузки</x:v>
      </x:c>
      <x:c r="O1812" s="13" t="str">
        <x:v>Красный флаг = не начинать пальцевую нагрузку.</x:v>
      </x:c>
      <x:c r="P1812" s="13" t="str">
        <x:v>milestone_06_transfer_and_consolidation/week_26_2027-03-01/04_THURSDAY.md</x:v>
      </x:c>
      <x:c r="Q1812" s="138" t="str">
        <x:v>Markdown</x:v>
      </x:c>
      <x:c r="R1812" s="20" t="str"/>
    </x:row>
    <x:row r="1813" ht="36" customHeight="1">
      <x:c r="A1813" s="19" t="str">
        <x:v>W26-20270304-1812</x:v>
      </x:c>
      <x:c r="B1813" s="13" t="n">
        <x:v>26</x:v>
      </x:c>
      <x:c r="C1813" s="13" t="str">
        <x:v>Этап 6 — Перенос навыков, шестёрки и закрепление</x:v>
      </x:c>
      <x:c r="D1813" s="138" t="str">
        <x:v>2027-03-04</x:v>
      </x:c>
      <x:c r="E1813" s="13" t="str">
        <x:v>Четверг</x:v>
      </x:c>
      <x:c r="F1813" s="13" t="str">
        <x:v>Тренировка B — пальцы/проект</x:v>
      </x:c>
      <x:c r="G1813" s="44" t="n">
        <x:v>0.0020833333333333333</x:v>
      </x:c>
      <x:c r="H1813" s="44" t="n">
        <x:v>0.005555555555555556</x:v>
      </x:c>
      <x:c r="I1813" s="32" t="n">
        <x:f>ROUND((H1813-G1813)*1440,0)</x:f>
        <x:v>5</x:v>
      </x:c>
      <x:c r="J1813" s="13" t="str">
        <x:v>Разминка</x:v>
      </x:c>
      <x:c r="K1813" s="13" t="str">
        <x:v>Подними температуру: быстрая ходьба, лестница или лёгкий велотренажёр 5 минут.</x:v>
      </x:c>
      <x:c r="L1813" s="13" t="str">
        <x:v>☐ Не начато</x:v>
      </x:c>
      <x:c r="M1813" s="13" t="str">
        <x:v>Обязательно</x:v>
      </x:c>
      <x:c r="N1813" s="13" t="str">
        <x:v>RPE 2–3</x:v>
      </x:c>
      <x:c r="O1813" s="13" t="str"/>
      <x:c r="P1813" s="13" t="str">
        <x:v>milestone_06_transfer_and_consolidation/week_26_2027-03-01/04_THURSDAY.md</x:v>
      </x:c>
      <x:c r="Q1813" s="138" t="str">
        <x:v>Markdown</x:v>
      </x:c>
      <x:c r="R1813" s="20" t="str"/>
    </x:row>
    <x:row r="1814" ht="36" customHeight="1">
      <x:c r="A1814" s="19" t="str">
        <x:v>W26-20270304-1813</x:v>
      </x:c>
      <x:c r="B1814" s="13" t="n">
        <x:v>26</x:v>
      </x:c>
      <x:c r="C1814" s="13" t="str">
        <x:v>Этап 6 — Перенос навыков, шестёрки и закрепление</x:v>
      </x:c>
      <x:c r="D1814" s="138" t="str">
        <x:v>2027-03-04</x:v>
      </x:c>
      <x:c r="E1814" s="13" t="str">
        <x:v>Четверг</x:v>
      </x:c>
      <x:c r="F1814" s="13" t="str">
        <x:v>Тренировка B — пальцы/проект</x:v>
      </x:c>
      <x:c r="G1814" s="44" t="n">
        <x:v>0.005555555555555556</x:v>
      </x:c>
      <x:c r="H1814" s="44" t="n">
        <x:v>0.009027777777777777</x:v>
      </x:c>
      <x:c r="I1814" s="32" t="n">
        <x:f>ROUND((H1814-G1814)*1440,0)</x:f>
        <x:v>5</x:v>
      </x:c>
      <x:c r="J1814" s="13" t="str">
        <x:v>Разминка</x:v>
      </x:c>
      <x:c r="K1814" s="13" t="str">
        <x:v>Динамически разомни голеностоп, таз, локти и кисти; сделай мягкие движения лопатками в безболезненном диапазоне. Не удерживай длинные статические растяжки.</x:v>
      </x:c>
      <x:c r="L1814" s="13" t="str">
        <x:v>☐ Не начато</x:v>
      </x:c>
      <x:c r="M1814" s="13" t="str">
        <x:v>Обязательно</x:v>
      </x:c>
      <x:c r="N1814" s="13" t="str">
        <x:v>Очень легко</x:v>
      </x:c>
      <x:c r="O1814" s="13" t="str">
        <x:v>Не делай press/отжимания и движения, которые раздражают плечо.</x:v>
      </x:c>
      <x:c r="P1814" s="13" t="str">
        <x:v>milestone_06_transfer_and_consolidation/week_26_2027-03-01/04_THURSDAY.md</x:v>
      </x:c>
      <x:c r="Q1814" s="138" t="str">
        <x:v>Markdown</x:v>
      </x:c>
      <x:c r="R1814" s="20" t="str"/>
    </x:row>
    <x:row r="1815" ht="36" customHeight="1">
      <x:c r="A1815" s="19" t="str">
        <x:v>W26-20270304-1814</x:v>
      </x:c>
      <x:c r="B1815" s="13" t="n">
        <x:v>26</x:v>
      </x:c>
      <x:c r="C1815" s="13" t="str">
        <x:v>Этап 6 — Перенос навыков, шестёрки и закрепление</x:v>
      </x:c>
      <x:c r="D1815" s="138" t="str">
        <x:v>2027-03-04</x:v>
      </x:c>
      <x:c r="E1815" s="13" t="str">
        <x:v>Четверг</x:v>
      </x:c>
      <x:c r="F1815" s="13" t="str">
        <x:v>Тренировка B — пальцы/проект</x:v>
      </x:c>
      <x:c r="G1815" s="44" t="n">
        <x:v>0.009027777777777777</x:v>
      </x:c>
      <x:c r="H1815" s="44" t="n">
        <x:v>0.011805555555555555</x:v>
      </x:c>
      <x:c r="I1815" s="32" t="n">
        <x:f>ROUND((H1815-G1815)*1440,0)</x:f>
        <x:v>4</x:v>
      </x:c>
      <x:c r="J1815" s="13" t="str">
        <x:v>Разминка пальцев</x:v>
      </x:c>
      <x:c r="K1815" s="13" t="str">
        <x:v>10 раз медленно раскрой/закрой кисти, 10 мягких сгибаний/разгибаний кистей и 10 лёгких касаний большим пальцем остальных. Никакого агрессивного растягивания пальцев.</x:v>
      </x:c>
      <x:c r="L1815" s="13" t="str">
        <x:v>☐ Не начато</x:v>
      </x:c>
      <x:c r="M1815" s="13" t="str">
        <x:v>Обязательно</x:v>
      </x:c>
      <x:c r="N1815" s="13" t="str">
        <x:v>Очень легко</x:v>
      </x:c>
      <x:c r="O1815" s="13" t="str"/>
      <x:c r="P1815" s="13" t="str">
        <x:v>milestone_06_transfer_and_consolidation/week_26_2027-03-01/04_THURSDAY.md</x:v>
      </x:c>
      <x:c r="Q1815" s="138" t="str">
        <x:v>Markdown</x:v>
      </x:c>
      <x:c r="R1815" s="20" t="str"/>
    </x:row>
    <x:row r="1816" ht="36" customHeight="1">
      <x:c r="A1816" s="19" t="str">
        <x:v>W26-20270304-1815</x:v>
      </x:c>
      <x:c r="B1816" s="13" t="n">
        <x:v>26</x:v>
      </x:c>
      <x:c r="C1816" s="13" t="str">
        <x:v>Этап 6 — Перенос навыков, шестёрки и закрепление</x:v>
      </x:c>
      <x:c r="D1816" s="138" t="str">
        <x:v>2027-03-04</x:v>
      </x:c>
      <x:c r="E1816" s="13" t="str">
        <x:v>Четверг</x:v>
      </x:c>
      <x:c r="F1816" s="13" t="str">
        <x:v>Тренировка B — пальцы/проект</x:v>
      </x:c>
      <x:c r="G1816" s="44" t="n">
        <x:v>0.011805555555555555</x:v>
      </x:c>
      <x:c r="H1816" s="44" t="n">
        <x:v>0.014583333333333334</x:v>
      </x:c>
      <x:c r="I1816" s="32" t="n">
        <x:f>ROUND((H1816-G1816)*1440,0)</x:f>
        <x:v>4</x:v>
      </x:c>
      <x:c r="J1816" s="13" t="str">
        <x:v>Разминочное лазание</x:v>
      </x:c>
      <x:c r="K1816" s="13" t="str">
        <x:v>Пройди 2 очень лёгкие трассы уровня 1–2; двигайся медленно, спускайся по зацепам.</x:v>
      </x:c>
      <x:c r="L1816" s="13" t="str">
        <x:v>☐ Не начато</x:v>
      </x:c>
      <x:c r="M1816" s="13" t="str">
        <x:v>Обязательно</x:v>
      </x:c>
      <x:c r="N1816" s="13" t="str">
        <x:v>RPE 2–3</x:v>
      </x:c>
      <x:c r="O1816" s="13" t="str">
        <x:v>Финиш с обязательным болезненным mantle/press пропусти.</x:v>
      </x:c>
      <x:c r="P1816" s="13" t="str">
        <x:v>milestone_06_transfer_and_consolidation/week_26_2027-03-01/04_THURSDAY.md</x:v>
      </x:c>
      <x:c r="Q1816" s="138" t="str">
        <x:v>Markdown</x:v>
      </x:c>
      <x:c r="R1816" s="20" t="str"/>
    </x:row>
    <x:row r="1817" ht="36" customHeight="1">
      <x:c r="A1817" s="19" t="str">
        <x:v>W26-20270304-1816</x:v>
      </x:c>
      <x:c r="B1817" s="13" t="n">
        <x:v>26</x:v>
      </x:c>
      <x:c r="C1817" s="13" t="str">
        <x:v>Этап 6 — Перенос навыков, шестёрки и закрепление</x:v>
      </x:c>
      <x:c r="D1817" s="138" t="str">
        <x:v>2027-03-04</x:v>
      </x:c>
      <x:c r="E1817" s="13" t="str">
        <x:v>Четверг</x:v>
      </x:c>
      <x:c r="F1817" s="13" t="str">
        <x:v>Тренировка B — пальцы/проект</x:v>
      </x:c>
      <x:c r="G1817" s="44" t="n">
        <x:v>0.014583333333333334</x:v>
      </x:c>
      <x:c r="H1817" s="44" t="n">
        <x:v>0.017361111111111112</x:v>
      </x:c>
      <x:c r="I1817" s="32" t="n">
        <x:f>ROUND((H1817-G1817)*1440,0)</x:f>
        <x:v>4</x:v>
      </x:c>
      <x:c r="J1817" s="13" t="str">
        <x:v>Разминочное лазание</x:v>
      </x:c>
      <x:c r="K1817" s="13" t="str">
        <x:v>Пройди 2 трассы уровня 2–3, затем сделай 2–3 движения на комфортной четвёрке. Между ними 45–60 секунд.</x:v>
      </x:c>
      <x:c r="L1817" s="13" t="str">
        <x:v>☐ Не начато</x:v>
      </x:c>
      <x:c r="M1817" s="13" t="str">
        <x:v>Обязательно</x:v>
      </x:c>
      <x:c r="N1817" s="13" t="str">
        <x:v>RPE 3–4</x:v>
      </x:c>
      <x:c r="O1817" s="13" t="str">
        <x:v>Разминка не должна утомить пальцы.</x:v>
      </x:c>
      <x:c r="P1817" s="13" t="str">
        <x:v>milestone_06_transfer_and_consolidation/week_26_2027-03-01/04_THURSDAY.md</x:v>
      </x:c>
      <x:c r="Q1817" s="138" t="str">
        <x:v>Markdown</x:v>
      </x:c>
      <x:c r="R1817" s="20" t="str"/>
    </x:row>
    <x:row r="1818" ht="36" customHeight="1">
      <x:c r="A1818" s="19" t="str">
        <x:v>W26-20270304-1817</x:v>
      </x:c>
      <x:c r="B1818" s="13" t="n">
        <x:v>26</x:v>
      </x:c>
      <x:c r="C1818" s="13" t="str">
        <x:v>Этап 6 — Перенос навыков, шестёрки и закрепление</x:v>
      </x:c>
      <x:c r="D1818" s="138" t="str">
        <x:v>2027-03-04</x:v>
      </x:c>
      <x:c r="E1818" s="13" t="str">
        <x:v>Четверг</x:v>
      </x:c>
      <x:c r="F1818" s="13" t="str">
        <x:v>Тренировка B — пальцы/проект</x:v>
      </x:c>
      <x:c r="G1818" s="44" t="n">
        <x:v>0.017361111111111112</x:v>
      </x:c>
      <x:c r="H1818" s="44" t="n">
        <x:v>0.02013888888888889</x:v>
      </x:c>
      <x:c r="I1818" s="32" t="n">
        <x:f>ROUND((H1818-G1818)*1440,0)</x:f>
        <x:v>4</x:v>
      </x:c>
      <x:c r="J1818" s="13" t="str">
        <x:v>Техника</x:v>
      </x:c>
      <x:c r="K1818" s="13" t="str">
        <x:v>Повтори cue недели на одной лёгкой трассе 2–3: «Оцени процесс: качество ног, понимание беты, время рабочей силы хвата и перенос навыков.».</x:v>
      </x:c>
      <x:c r="L1818" s="13" t="str">
        <x:v>☐ Не начато</x:v>
      </x:c>
      <x:c r="M1818" s="13" t="str">
        <x:v>Обязательно</x:v>
      </x:c>
      <x:c r="N1818" s="13" t="str">
        <x:v>RPE 3–4</x:v>
      </x:c>
      <x:c r="O1818" s="13" t="str">
        <x:v>Фингерборда и тяжёлого круга нет. Не рисковать плечом/коленом ради символического финала.</x:v>
      </x:c>
      <x:c r="P1818" s="13" t="str">
        <x:v>milestone_06_transfer_and_consolidation/week_26_2027-03-01/04_THURSDAY.md</x:v>
      </x:c>
      <x:c r="Q1818" s="138" t="str">
        <x:v>Markdown</x:v>
      </x:c>
      <x:c r="R1818" s="20" t="str"/>
    </x:row>
    <x:row r="1819" ht="36" customHeight="1">
      <x:c r="A1819" s="19" t="str">
        <x:v>W26-20270304-1818</x:v>
      </x:c>
      <x:c r="B1819" s="13" t="n">
        <x:v>26</x:v>
      </x:c>
      <x:c r="C1819" s="13" t="str">
        <x:v>Этап 6 — Перенос навыков, шестёрки и закрепление</x:v>
      </x:c>
      <x:c r="D1819" s="138" t="str">
        <x:v>2027-03-04</x:v>
      </x:c>
      <x:c r="E1819" s="13" t="str">
        <x:v>Четверг</x:v>
      </x:c>
      <x:c r="F1819" s="13" t="str">
        <x:v>Тренировка B — пальцы/проект</x:v>
      </x:c>
      <x:c r="G1819" s="44" t="n">
        <x:v>0.02013888888888889</x:v>
      </x:c>
      <x:c r="H1819" s="44" t="n">
        <x:v>0.025</x:v>
      </x:c>
      <x:c r="I1819" s="32" t="n">
        <x:f>ROUND((H1819-G1819)*1440,0)</x:f>
        <x:v>7</x:v>
      </x:c>
      <x:c r="J1819" s="13" t="str">
        <x:v>Подготовка проекта</x:v>
      </x:c>
      <x:c r="K1819" s="13" t="str">
        <x:v>Выбери основной проект, очисти нужные зацепы, прочитай трассу 90 секунд и запиши предполагаемый crux.</x:v>
      </x:c>
      <x:c r="L1819" s="13" t="str">
        <x:v>☐ Не начато</x:v>
      </x:c>
      <x:c r="M1819" s="13" t="str">
        <x:v>Обязательно</x:v>
      </x:c>
      <x:c r="N1819" s="13" t="str">
        <x:v>Без нагрузки</x:v>
      </x:c>
      <x:c r="O1819" s="13" t="str"/>
      <x:c r="P1819" s="13" t="str">
        <x:v>milestone_06_transfer_and_consolidation/week_26_2027-03-01/04_THURSDAY.md</x:v>
      </x:c>
      <x:c r="Q1819" s="138" t="str">
        <x:v>Markdown</x:v>
      </x:c>
      <x:c r="R1819" s="20" t="str"/>
    </x:row>
    <x:row r="1820" ht="36" customHeight="1">
      <x:c r="A1820" s="19" t="str">
        <x:v>W26-20270304-1819</x:v>
      </x:c>
      <x:c r="B1820" s="13" t="n">
        <x:v>26</x:v>
      </x:c>
      <x:c r="C1820" s="13" t="str">
        <x:v>Этап 6 — Перенос навыков, шестёрки и закрепление</x:v>
      </x:c>
      <x:c r="D1820" s="138" t="str">
        <x:v>2027-03-04</x:v>
      </x:c>
      <x:c r="E1820" s="13" t="str">
        <x:v>Четверг</x:v>
      </x:c>
      <x:c r="F1820" s="13" t="str">
        <x:v>Тренировка B — пальцы/проект</x:v>
      </x:c>
      <x:c r="G1820" s="44" t="n">
        <x:v>0.025</x:v>
      </x:c>
      <x:c r="H1820" s="44" t="n">
        <x:v>0.02847222222222222</x:v>
      </x:c>
      <x:c r="I1820" s="32" t="n">
        <x:f>ROUND((H1820-G1820)*1440,0)</x:f>
        <x:v>5</x:v>
      </x:c>
      <x:c r="J1820" s="13" t="str">
        <x:v>Отдых</x:v>
      </x:c>
      <x:c r="K1820" s="13" t="str">
        <x:v>Полный отдых перед проектом: походи, не висни на зацепах.</x:v>
      </x:c>
      <x:c r="L1820" s="13" t="str">
        <x:v>☐ Не начато</x:v>
      </x:c>
      <x:c r="M1820" s="13" t="str">
        <x:v>Обязательно</x:v>
      </x:c>
      <x:c r="N1820" s="13" t="str">
        <x:v>Восстановление</x:v>
      </x:c>
      <x:c r="O1820" s="13" t="str"/>
      <x:c r="P1820" s="13" t="str">
        <x:v>milestone_06_transfer_and_consolidation/week_26_2027-03-01/04_THURSDAY.md</x:v>
      </x:c>
      <x:c r="Q1820" s="138" t="str">
        <x:v>Markdown</x:v>
      </x:c>
      <x:c r="R1820" s="20" t="str"/>
    </x:row>
    <x:row r="1821" ht="36" customHeight="1">
      <x:c r="A1821" s="19" t="str">
        <x:v>W26-20270304-1820</x:v>
      </x:c>
      <x:c r="B1821" s="13" t="n">
        <x:v>26</x:v>
      </x:c>
      <x:c r="C1821" s="13" t="str">
        <x:v>Этап 6 — Перенос навыков, шестёрки и закрепление</x:v>
      </x:c>
      <x:c r="D1821" s="138" t="str">
        <x:v>2027-03-04</x:v>
      </x:c>
      <x:c r="E1821" s="13" t="str">
        <x:v>Четверг</x:v>
      </x:c>
      <x:c r="F1821" s="13" t="str">
        <x:v>Тренировка B — пальцы/проект</x:v>
      </x:c>
      <x:c r="G1821" s="44" t="n">
        <x:v>0.02847222222222222</x:v>
      </x:c>
      <x:c r="H1821" s="44" t="n">
        <x:v>0.03125</x:v>
      </x:c>
      <x:c r="I1821" s="32" t="n">
        <x:f>ROUND((H1821-G1821)*1440,0)</x:f>
        <x:v>4</x:v>
      </x:c>
      <x:c r="J1821" s="13" t="str">
        <x:v>Выбор проекта</x:v>
      </x:c>
      <x:c r="K1821" s="13" t="str">
        <x:v>Выбери трассу по критериям недели: Одна основная шестёрка, максимум 5 попыток. Затем только любимые лёгкие трассы.</x:v>
      </x:c>
      <x:c r="L1821" s="13" t="str">
        <x:v>☐ Не начато</x:v>
      </x:c>
      <x:c r="M1821" s="13" t="str">
        <x:v>Обязательно</x:v>
      </x:c>
      <x:c r="N1821" s="13" t="str">
        <x:v>Без нагрузки</x:v>
      </x:c>
      <x:c r="O1821" s="13" t="str">
        <x:v>Фингерборда и тяжёлого круга нет. Не рисковать плечом/коленом ради символического финала.</x:v>
      </x:c>
      <x:c r="P1821" s="13" t="str">
        <x:v>milestone_06_transfer_and_consolidation/week_26_2027-03-01/04_THURSDAY.md</x:v>
      </x:c>
      <x:c r="Q1821" s="138" t="str">
        <x:v>Markdown</x:v>
      </x:c>
      <x:c r="R1821" s="20" t="str"/>
    </x:row>
    <x:row r="1822" ht="36" customHeight="1">
      <x:c r="A1822" s="19" t="str">
        <x:v>W26-20270304-1821</x:v>
      </x:c>
      <x:c r="B1822" s="13" t="n">
        <x:v>26</x:v>
      </x:c>
      <x:c r="C1822" s="13" t="str">
        <x:v>Этап 6 — Перенос навыков, шестёрки и закрепление</x:v>
      </x:c>
      <x:c r="D1822" s="138" t="str">
        <x:v>2027-03-04</x:v>
      </x:c>
      <x:c r="E1822" s="13" t="str">
        <x:v>Четверг</x:v>
      </x:c>
      <x:c r="F1822" s="13" t="str">
        <x:v>Тренировка B — пальцы/проект</x:v>
      </x:c>
      <x:c r="G1822" s="44" t="n">
        <x:v>0.03125</x:v>
      </x:c>
      <x:c r="H1822" s="44" t="n">
        <x:v>0.034722222222222224</x:v>
      </x:c>
      <x:c r="I1822" s="32" t="n">
        <x:f>ROUND((H1822-G1822)*1440,0)</x:f>
        <x:v>5</x:v>
      </x:c>
      <x:c r="J1822" s="13" t="str">
        <x:v>Проект — попытка 1</x:v>
      </x:c>
      <x:c r="K1822" s="13" t="str">
        <x:v>Сделай первую полную диагностическую попытку. После падения не повторяй сразу: назови точную причину.</x:v>
      </x:c>
      <x:c r="L1822" s="13" t="str">
        <x:v>☐ Не начато</x:v>
      </x:c>
      <x:c r="M1822" s="13" t="str">
        <x:v>Обязательно</x:v>
      </x:c>
      <x:c r="N1822" s="13" t="str">
        <x:v>RPE 7–8</x:v>
      </x:c>
      <x:c r="O1822" s="13" t="str">
        <x:v>Прекратить движение при боли, а не после падения.</x:v>
      </x:c>
      <x:c r="P1822" s="13" t="str">
        <x:v>milestone_06_transfer_and_consolidation/week_26_2027-03-01/04_THURSDAY.md</x:v>
      </x:c>
      <x:c r="Q1822" s="138" t="str">
        <x:v>Markdown</x:v>
      </x:c>
      <x:c r="R1822" s="20" t="str"/>
    </x:row>
    <x:row r="1823" ht="36" customHeight="1">
      <x:c r="A1823" s="19" t="str">
        <x:v>W26-20270304-1822</x:v>
      </x:c>
      <x:c r="B1823" s="13" t="n">
        <x:v>26</x:v>
      </x:c>
      <x:c r="C1823" s="13" t="str">
        <x:v>Этап 6 — Перенос навыков, шестёрки и закрепление</x:v>
      </x:c>
      <x:c r="D1823" s="138" t="str">
        <x:v>2027-03-04</x:v>
      </x:c>
      <x:c r="E1823" s="13" t="str">
        <x:v>Четверг</x:v>
      </x:c>
      <x:c r="F1823" s="13" t="str">
        <x:v>Тренировка B — пальцы/проект</x:v>
      </x:c>
      <x:c r="G1823" s="44" t="n">
        <x:v>0.034722222222222224</x:v>
      </x:c>
      <x:c r="H1823" s="44" t="n">
        <x:v>0.03819444444444445</x:v>
      </x:c>
      <x:c r="I1823" s="32" t="n">
        <x:f>ROUND((H1823-G1823)*1440,0)</x:f>
        <x:v>5</x:v>
      </x:c>
      <x:c r="J1823" s="13" t="str">
        <x:v>Отдых / гипотеза</x:v>
      </x:c>
      <x:c r="K1823" s="13" t="str">
        <x:v>Отдых 4–5 минут. Запиши одну гипотезу: стопа, положение таза, хват или темп.</x:v>
      </x:c>
      <x:c r="L1823" s="13" t="str">
        <x:v>☐ Не начато</x:v>
      </x:c>
      <x:c r="M1823" s="13" t="str">
        <x:v>Обязательно</x:v>
      </x:c>
      <x:c r="N1823" s="13" t="str">
        <x:v>Восстановление</x:v>
      </x:c>
      <x:c r="O1823" s="13" t="str"/>
      <x:c r="P1823" s="13" t="str">
        <x:v>milestone_06_transfer_and_consolidation/week_26_2027-03-01/04_THURSDAY.md</x:v>
      </x:c>
      <x:c r="Q1823" s="138" t="str">
        <x:v>Markdown</x:v>
      </x:c>
      <x:c r="R1823" s="20" t="str"/>
    </x:row>
    <x:row r="1824" ht="36" customHeight="1">
      <x:c r="A1824" s="19" t="str">
        <x:v>W26-20270304-1823</x:v>
      </x:c>
      <x:c r="B1824" s="13" t="n">
        <x:v>26</x:v>
      </x:c>
      <x:c r="C1824" s="13" t="str">
        <x:v>Этап 6 — Перенос навыков, шестёрки и закрепление</x:v>
      </x:c>
      <x:c r="D1824" s="138" t="str">
        <x:v>2027-03-04</x:v>
      </x:c>
      <x:c r="E1824" s="13" t="str">
        <x:v>Четверг</x:v>
      </x:c>
      <x:c r="F1824" s="13" t="str">
        <x:v>Тренировка B — пальцы/проект</x:v>
      </x:c>
      <x:c r="G1824" s="44" t="n">
        <x:v>0.03819444444444445</x:v>
      </x:c>
      <x:c r="H1824" s="44" t="n">
        <x:v>0.04236111111111111</x:v>
      </x:c>
      <x:c r="I1824" s="32" t="n">
        <x:f>ROUND((H1824-G1824)*1440,0)</x:f>
        <x:v>6</x:v>
      </x:c>
      <x:c r="J1824" s="13" t="str">
        <x:v>Проект — попытки 2–3</x:v>
      </x:c>
      <x:c r="K1824" s="13" t="str">
        <x:v>Сделай 1–2 попытки, меняя только выбранную переменную. После 2–3 собственных попыток разрешено посмотреть BETA7/попросить одну подсказку.</x:v>
      </x:c>
      <x:c r="L1824" s="13" t="str">
        <x:v>☐ Не начато</x:v>
      </x:c>
      <x:c r="M1824" s="13" t="str">
        <x:v>Обязательно</x:v>
      </x:c>
      <x:c r="N1824" s="13" t="str">
        <x:v>RPE 7–8, без отказа</x:v>
      </x:c>
      <x:c r="O1824" s="13" t="str">
        <x:v>Не смотреть beta заранее: сначала собственная гипотеза.</x:v>
      </x:c>
      <x:c r="P1824" s="13" t="str">
        <x:v>milestone_06_transfer_and_consolidation/week_26_2027-03-01/04_THURSDAY.md</x:v>
      </x:c>
      <x:c r="Q1824" s="138" t="str">
        <x:v>Markdown</x:v>
      </x:c>
      <x:c r="R1824" s="20" t="str"/>
    </x:row>
    <x:row r="1825" ht="36" customHeight="1">
      <x:c r="A1825" s="19" t="str">
        <x:v>W26-20270304-1824</x:v>
      </x:c>
      <x:c r="B1825" s="13" t="n">
        <x:v>26</x:v>
      </x:c>
      <x:c r="C1825" s="13" t="str">
        <x:v>Этап 6 — Перенос навыков, шестёрки и закрепление</x:v>
      </x:c>
      <x:c r="D1825" s="138" t="str">
        <x:v>2027-03-04</x:v>
      </x:c>
      <x:c r="E1825" s="13" t="str">
        <x:v>Четверг</x:v>
      </x:c>
      <x:c r="F1825" s="13" t="str">
        <x:v>Тренировка B — пальцы/проект</x:v>
      </x:c>
      <x:c r="G1825" s="44" t="n">
        <x:v>0.04236111111111111</x:v>
      </x:c>
      <x:c r="H1825" s="44" t="n">
        <x:v>0.05277777777777778</x:v>
      </x:c>
      <x:c r="I1825" s="32" t="n">
        <x:f>ROUND((H1825-G1825)*1440,0)</x:f>
        <x:v>15</x:v>
      </x:c>
      <x:c r="J1825" s="13" t="str">
        <x:v>Проект — заключительная попытка</x:v>
      </x:c>
      <x:c r="K1825" s="13" t="str">
        <x:v>Сними одну попытку целиком. Сделай последнюю качественную попытку только если пальцы и техника не хуже первой. После двух ухудшений подряд проект закончен.</x:v>
      </x:c>
      <x:c r="L1825" s="13" t="str">
        <x:v>☐ Не начато</x:v>
      </x:c>
      <x:c r="M1825" s="13" t="str">
        <x:v>Обязательно</x:v>
      </x:c>
      <x:c r="N1825" s="13" t="str">
        <x:v>RPE 8, с запасом</x:v>
      </x:c>
      <x:c r="O1825" s="13" t="str">
        <x:v>Фингерборда и тяжёлого круга нет. Не рисковать плечом/коленом ради символического финала.</x:v>
      </x:c>
      <x:c r="P1825" s="13" t="str">
        <x:v>milestone_06_transfer_and_consolidation/week_26_2027-03-01/04_THURSDAY.md</x:v>
      </x:c>
      <x:c r="Q1825" s="138" t="str">
        <x:v>Markdown</x:v>
      </x:c>
      <x:c r="R1825" s="20" t="str"/>
    </x:row>
    <x:row r="1826" ht="36" customHeight="1">
      <x:c r="A1826" s="19" t="str">
        <x:v>W26-20270304-1825</x:v>
      </x:c>
      <x:c r="B1826" s="13" t="n">
        <x:v>26</x:v>
      </x:c>
      <x:c r="C1826" s="13" t="str">
        <x:v>Этап 6 — Перенос навыков, шестёрки и закрепление</x:v>
      </x:c>
      <x:c r="D1826" s="138" t="str">
        <x:v>2027-03-04</x:v>
      </x:c>
      <x:c r="E1826" s="13" t="str">
        <x:v>Четверг</x:v>
      </x:c>
      <x:c r="F1826" s="13" t="str">
        <x:v>Тренировка B — пальцы/проект</x:v>
      </x:c>
      <x:c r="G1826" s="44" t="n">
        <x:v>0.05277777777777778</x:v>
      </x:c>
      <x:c r="H1826" s="44" t="n">
        <x:v>0.05763888888888889</x:v>
      </x:c>
      <x:c r="I1826" s="32" t="n">
        <x:f>ROUND((H1826-G1826)*1440,0)</x:f>
        <x:v>7</x:v>
      </x:c>
      <x:c r="J1826" s="13" t="str">
        <x:v>Вторичная трасса</x:v>
      </x:c>
      <x:c r="K1826" s="13" t="str">
        <x:v>Выбери одну трассу другого стиля: знакомую пятёрку или лёгкую четвёрку. Максимум 2 попытки; цель — закончить точным движением.</x:v>
      </x:c>
      <x:c r="L1826" s="13" t="str">
        <x:v>☐ Не начато</x:v>
      </x:c>
      <x:c r="M1826" s="13" t="str">
        <x:v>Обязательно</x:v>
      </x:c>
      <x:c r="N1826" s="13" t="str">
        <x:v>RPE 5–7</x:v>
      </x:c>
      <x:c r="O1826" s="13" t="str">
        <x:v>Пропустить, если хват уже просел.</x:v>
      </x:c>
      <x:c r="P1826" s="13" t="str">
        <x:v>milestone_06_transfer_and_consolidation/week_26_2027-03-01/04_THURSDAY.md</x:v>
      </x:c>
      <x:c r="Q1826" s="138" t="str">
        <x:v>Markdown</x:v>
      </x:c>
      <x:c r="R1826" s="20" t="str"/>
    </x:row>
    <x:row r="1827" ht="36" customHeight="1">
      <x:c r="A1827" s="19" t="str">
        <x:v>W26-20270304-1826</x:v>
      </x:c>
      <x:c r="B1827" s="13" t="n">
        <x:v>26</x:v>
      </x:c>
      <x:c r="C1827" s="13" t="str">
        <x:v>Этап 6 — Перенос навыков, шестёрки и закрепление</x:v>
      </x:c>
      <x:c r="D1827" s="138" t="str">
        <x:v>2027-03-04</x:v>
      </x:c>
      <x:c r="E1827" s="13" t="str">
        <x:v>Четверг</x:v>
      </x:c>
      <x:c r="F1827" s="13" t="str">
        <x:v>Тренировка B — пальцы/проект</x:v>
      </x:c>
      <x:c r="G1827" s="44" t="n">
        <x:v>0.05763888888888889</x:v>
      </x:c>
      <x:c r="H1827" s="44" t="n">
        <x:v>0.06041666666666667</x:v>
      </x:c>
      <x:c r="I1827" s="32" t="n">
        <x:f>ROUND((H1827-G1827)*1440,0)</x:f>
        <x:v>4</x:v>
      </x:c>
      <x:c r="J1827" s="13" t="str">
        <x:v>Завершение</x:v>
      </x:c>
      <x:c r="K1827" s="13" t="str">
        <x:v>Очень лёгкий спуск/ходьба, вода, никаких финишных висов.</x:v>
      </x:c>
      <x:c r="L1827" s="13" t="str">
        <x:v>☐ Не начато</x:v>
      </x:c>
      <x:c r="M1827" s="13" t="str">
        <x:v>Обязательно</x:v>
      </x:c>
      <x:c r="N1827" s="13" t="str">
        <x:v>RPE 1–2</x:v>
      </x:c>
      <x:c r="O1827" s="13" t="str"/>
      <x:c r="P1827" s="13" t="str">
        <x:v>milestone_06_transfer_and_consolidation/week_26_2027-03-01/04_THURSDAY.md</x:v>
      </x:c>
      <x:c r="Q1827" s="138" t="str">
        <x:v>Markdown</x:v>
      </x:c>
      <x:c r="R1827" s="20" t="str"/>
    </x:row>
    <x:row r="1828" ht="36" customHeight="1">
      <x:c r="A1828" s="19" t="str">
        <x:v>W26-20270304-1827</x:v>
      </x:c>
      <x:c r="B1828" s="13" t="n">
        <x:v>26</x:v>
      </x:c>
      <x:c r="C1828" s="13" t="str">
        <x:v>Этап 6 — Перенос навыков, шестёрки и закрепление</x:v>
      </x:c>
      <x:c r="D1828" s="138" t="str">
        <x:v>2027-03-04</x:v>
      </x:c>
      <x:c r="E1828" s="13" t="str">
        <x:v>Четверг</x:v>
      </x:c>
      <x:c r="F1828" s="13" t="str">
        <x:v>Тренировка B — пальцы/проект</x:v>
      </x:c>
      <x:c r="G1828" s="44" t="n">
        <x:v>0.06041666666666667</x:v>
      </x:c>
      <x:c r="H1828" s="44" t="n">
        <x:v>0.0625</x:v>
      </x:c>
      <x:c r="I1828" s="32" t="n">
        <x:f>ROUND((H1828-G1828)*1440,0)</x:f>
        <x:v>3</x:v>
      </x:c>
      <x:c r="J1828" s="13" t="str">
        <x:v>Журнал</x:v>
      </x:c>
      <x:c r="K1828" s="13" t="str">
        <x:v>Запиши попытки, лучшую связку, одну правку и benchmark: Сравнить недели 1, 12 и 26: % четвёрок/пятёрок, лучшая связка шестёрки, минута просадки хвата, качество видео.</x:v>
      </x:c>
      <x:c r="L1828" s="13" t="str">
        <x:v>☐ Не начато</x:v>
      </x:c>
      <x:c r="M1828" s="13" t="str">
        <x:v>Обязательно</x:v>
      </x:c>
      <x:c r="N1828" s="13" t="str">
        <x:v>Без нагрузки</x:v>
      </x:c>
      <x:c r="O1828" s="13" t="str"/>
      <x:c r="P1828" s="13" t="str">
        <x:v>milestone_06_transfer_and_consolidation/week_26_2027-03-01/04_THURSDAY.md</x:v>
      </x:c>
      <x:c r="Q1828" s="138" t="str">
        <x:v>Markdown</x:v>
      </x:c>
      <x:c r="R1828" s="20" t="str"/>
    </x:row>
    <x:row r="1829" ht="36" customHeight="1">
      <x:c r="A1829" s="19" t="str">
        <x:v>W26-20270305-1828</x:v>
      </x:c>
      <x:c r="B1829" s="13" t="n">
        <x:v>26</x:v>
      </x:c>
      <x:c r="C1829" s="13" t="str">
        <x:v>Этап 6 — Перенос навыков, шестёрки и закрепление</x:v>
      </x:c>
      <x:c r="D1829" s="138" t="str">
        <x:v>2027-03-05</x:v>
      </x:c>
      <x:c r="E1829" s="13" t="str">
        <x:v>Пятница</x:v>
      </x:c>
      <x:c r="F1829" s="13" t="str">
        <x:v>Дом / теория</x:v>
      </x:c>
      <x:c r="G1829" s="44" t="n">
        <x:v>0</x:v>
      </x:c>
      <x:c r="H1829" s="44" t="n">
        <x:v>0.0020833333333333333</x:v>
      </x:c>
      <x:c r="I1829" s="32" t="n">
        <x:f>ROUND((H1829-G1829)*1440,0)</x:f>
        <x:v>3</x:v>
      </x:c>
      <x:c r="J1829" s="13" t="str">
        <x:v>Самопроверка</x:v>
      </x:c>
      <x:c r="K1829" s="13" t="str">
        <x:v>Оцени утреннюю реакцию после четверга: пальцы/плечо/колено 0–10. Запиши, восстановилась ли обычная сила кисти.</x:v>
      </x:c>
      <x:c r="L1829" s="13" t="str">
        <x:v>☐ Не начато</x:v>
      </x:c>
      <x:c r="M1829" s="13" t="str">
        <x:v>Обязательно</x:v>
      </x:c>
      <x:c r="N1829" s="13" t="str">
        <x:v>Без нагрузки</x:v>
      </x:c>
      <x:c r="O1829" s="13" t="str">
        <x:v>Острая локальная боль пальца или усилившаяся боль плеча = воскресенье только восстановительное.</x:v>
      </x:c>
      <x:c r="P1829" s="13" t="str">
        <x:v>milestone_06_transfer_and_consolidation/week_26_2027-03-01/05_FRIDAY.md</x:v>
      </x:c>
      <x:c r="Q1829" s="138" t="str">
        <x:v>Markdown</x:v>
      </x:c>
      <x:c r="R1829" s="20" t="str"/>
    </x:row>
    <x:row r="1830" ht="36" customHeight="1">
      <x:c r="A1830" s="19" t="str">
        <x:v>W26-20270305-1829</x:v>
      </x:c>
      <x:c r="B1830" s="13" t="n">
        <x:v>26</x:v>
      </x:c>
      <x:c r="C1830" s="13" t="str">
        <x:v>Этап 6 — Перенос навыков, шестёрки и закрепление</x:v>
      </x:c>
      <x:c r="D1830" s="138" t="str">
        <x:v>2027-03-05</x:v>
      </x:c>
      <x:c r="E1830" s="13" t="str">
        <x:v>Пятница</x:v>
      </x:c>
      <x:c r="F1830" s="13" t="str">
        <x:v>Дом / теория</x:v>
      </x:c>
      <x:c r="G1830" s="44" t="n">
        <x:v>0.0020833333333333333</x:v>
      </x:c>
      <x:c r="H1830" s="44" t="n">
        <x:v>0.005555555555555556</x:v>
      </x:c>
      <x:c r="I1830" s="32" t="n">
        <x:f>ROUND((H1830-G1830)*1440,0)</x:f>
        <x:v>5</x:v>
      </x:c>
      <x:c r="J1830" s="13" t="str">
        <x:v>Теория</x:v>
      </x:c>
      <x:c r="K1830" s="13" t="str">
        <x:v>Посмотри/прочитай второй ресурс недели: [R21: Berta Block — индивидуальная тренировка](https://www.bertablock.de/individuelles-training). Задача: Опциональный разбор техники и плечо-/колено-дружественной беты с тренером.</x:v>
      </x:c>
      <x:c r="L1830" s="13" t="str">
        <x:v>☐ Не начато</x:v>
      </x:c>
      <x:c r="M1830" s="13" t="str">
        <x:v>Обязательно</x:v>
      </x:c>
      <x:c r="N1830" s="13" t="str">
        <x:v>Без нагрузки</x:v>
      </x:c>
      <x:c r="O1830" s="13" t="str"/>
      <x:c r="P1830" s="13" t="str">
        <x:v>milestone_06_transfer_and_consolidation/week_26_2027-03-01/05_FRIDAY.md</x:v>
      </x:c>
      <x:c r="Q1830" s="138" t="str">
        <x:v>Markdown</x:v>
      </x:c>
      <x:c r="R1830" s="20" t="str"/>
    </x:row>
    <x:row r="1831" ht="36" customHeight="1">
      <x:c r="A1831" s="19" t="str">
        <x:v>W26-20270305-1830</x:v>
      </x:c>
      <x:c r="B1831" s="13" t="n">
        <x:v>26</x:v>
      </x:c>
      <x:c r="C1831" s="13" t="str">
        <x:v>Этап 6 — Перенос навыков, шестёрки и закрепление</x:v>
      </x:c>
      <x:c r="D1831" s="138" t="str">
        <x:v>2027-03-05</x:v>
      </x:c>
      <x:c r="E1831" s="13" t="str">
        <x:v>Пятница</x:v>
      </x:c>
      <x:c r="F1831" s="13" t="str">
        <x:v>Дом / теория</x:v>
      </x:c>
      <x:c r="G1831" s="44" t="n">
        <x:v>0.005555555555555556</x:v>
      </x:c>
      <x:c r="H1831" s="44" t="n">
        <x:v>0.009722222222222222</x:v>
      </x:c>
      <x:c r="I1831" s="32" t="n">
        <x:f>ROUND((H1831-G1831)*1440,0)</x:f>
        <x:v>6</x:v>
      </x:c>
      <x:c r="J1831" s="13" t="str">
        <x:v>Ментальная репетиция</x:v>
      </x:c>
      <x:c r="K1831" s="13" t="str">
        <x:v>Закрой глаза и 3 раза мысленно пройди одну рабочую трассу: руки → ноги → положение таза → дыхание. Визуализируй cue «Оцени процесс: качество ног, понимание беты, время рабочей силы хвата и перенос навыков.».</x:v>
      </x:c>
      <x:c r="L1831" s="13" t="str">
        <x:v>☐ Не начато</x:v>
      </x:c>
      <x:c r="M1831" s="13" t="str">
        <x:v>Обязательно</x:v>
      </x:c>
      <x:c r="N1831" s="13" t="str">
        <x:v>Без нагрузки</x:v>
      </x:c>
      <x:c r="O1831" s="13" t="str"/>
      <x:c r="P1831" s="13" t="str">
        <x:v>milestone_06_transfer_and_consolidation/week_26_2027-03-01/05_FRIDAY.md</x:v>
      </x:c>
      <x:c r="Q1831" s="138" t="str">
        <x:v>Markdown</x:v>
      </x:c>
      <x:c r="R1831" s="20" t="str"/>
    </x:row>
    <x:row r="1832" ht="36" customHeight="1">
      <x:c r="A1832" s="19" t="str">
        <x:v>W26-20270305-1831</x:v>
      </x:c>
      <x:c r="B1832" s="13" t="n">
        <x:v>26</x:v>
      </x:c>
      <x:c r="C1832" s="13" t="str">
        <x:v>Этап 6 — Перенос навыков, шестёрки и закрепление</x:v>
      </x:c>
      <x:c r="D1832" s="138" t="str">
        <x:v>2027-03-05</x:v>
      </x:c>
      <x:c r="E1832" s="13" t="str">
        <x:v>Пятница</x:v>
      </x:c>
      <x:c r="F1832" s="13" t="str">
        <x:v>Дом / теория</x:v>
      </x:c>
      <x:c r="G1832" s="44" t="n">
        <x:v>0.009722222222222222</x:v>
      </x:c>
      <x:c r="H1832" s="44" t="n">
        <x:v>0.018055555555555554</x:v>
      </x:c>
      <x:c r="I1832" s="32" t="n">
        <x:f>ROUND((H1832-G1832)*1440,0)</x:f>
        <x:v>12</x:v>
      </x:c>
      <x:c r="J1832" s="13" t="str">
        <x:v>Домашняя мобильность</x:v>
      </x:c>
      <x:c r="K1832" s="13" t="str">
        <x:v>Выполни H3 «Мобильность таза и контроль корпуса» — 12 минут.</x:v>
      </x:c>
      <x:c r="L1832" s="13" t="str">
        <x:v>☐ Не начато</x:v>
      </x:c>
      <x:c r="M1832" s="13" t="str">
        <x:v>Обязательно</x:v>
      </x:c>
      <x:c r="N1832" s="13" t="str">
        <x:v>RPE 2–3</x:v>
      </x:c>
      <x:c r="O1832" s="13" t="str">
        <x:v>Никаких скручиваний через боль. Плечом не отталкивайся от стены; касание только для равновесия.</x:v>
      </x:c>
      <x:c r="P1832" s="13" t="str">
        <x:v>milestone_06_transfer_and_consolidation/week_26_2027-03-01/05_FRIDAY.md</x:v>
      </x:c>
      <x:c r="Q1832" s="138" t="str">
        <x:v>Markdown</x:v>
      </x:c>
      <x:c r="R1832" s="20" t="str"/>
    </x:row>
    <x:row r="1833" ht="36" customHeight="1">
      <x:c r="A1833" s="19" t="str">
        <x:v>W26-20270305-1832</x:v>
      </x:c>
      <x:c r="B1833" s="13" t="n">
        <x:v>26</x:v>
      </x:c>
      <x:c r="C1833" s="13" t="str">
        <x:v>Этап 6 — Перенос навыков, шестёрки и закрепление</x:v>
      </x:c>
      <x:c r="D1833" s="138" t="str">
        <x:v>2027-03-05</x:v>
      </x:c>
      <x:c r="E1833" s="13" t="str">
        <x:v>Пятница</x:v>
      </x:c>
      <x:c r="F1833" s="13" t="str">
        <x:v>Дом / теория</x:v>
      </x:c>
      <x:c r="G1833" s="44" t="n">
        <x:v>0.018055555555555554</x:v>
      </x:c>
      <x:c r="H1833" s="44" t="n">
        <x:v>0.03194444444444444</x:v>
      </x:c>
      <x:c r="I1833" s="32" t="n">
        <x:f>ROUND((H1833-G1833)*1440,0)</x:f>
        <x:v>20</x:v>
      </x:c>
      <x:c r="J1833" s="13" t="str">
        <x:v>Физиотерапия</x:v>
      </x:c>
      <x:c r="K1833" s="13" t="str">
        <x:v>Выполни свой назначенный комплекс, если пятница входит в расписание физиотерапевта.</x:v>
      </x:c>
      <x:c r="L1833" s="13" t="str">
        <x:v>☐ Не начато</x:v>
      </x:c>
      <x:c r="M1833" s="13" t="str">
        <x:v>По назначению</x:v>
      </x:c>
      <x:c r="N1833" s="13" t="str">
        <x:v>По назначению</x:v>
      </x:c>
      <x:c r="O1833" s="13" t="str">
        <x:v>Не добавляй упражнения из интернета поверх назначений.</x:v>
      </x:c>
      <x:c r="P1833" s="13" t="str">
        <x:v>milestone_06_transfer_and_consolidation/week_26_2027-03-01/05_FRIDAY.md</x:v>
      </x:c>
      <x:c r="Q1833" s="138" t="str">
        <x:v>Markdown</x:v>
      </x:c>
      <x:c r="R1833" s="20" t="str"/>
    </x:row>
    <x:row r="1834" ht="36" customHeight="1">
      <x:c r="A1834" s="19" t="str">
        <x:v>W26-20270305-1833</x:v>
      </x:c>
      <x:c r="B1834" s="13" t="n">
        <x:v>26</x:v>
      </x:c>
      <x:c r="C1834" s="13" t="str">
        <x:v>Этап 6 — Перенос навыков, шестёрки и закрепление</x:v>
      </x:c>
      <x:c r="D1834" s="138" t="str">
        <x:v>2027-03-05</x:v>
      </x:c>
      <x:c r="E1834" s="13" t="str">
        <x:v>Пятница</x:v>
      </x:c>
      <x:c r="F1834" s="13" t="str">
        <x:v>Дом / теория</x:v>
      </x:c>
      <x:c r="G1834" s="44" t="n">
        <x:v>0.03194444444444444</x:v>
      </x:c>
      <x:c r="H1834" s="44" t="n">
        <x:v>0.034722222222222224</x:v>
      </x:c>
      <x:c r="I1834" s="32" t="n">
        <x:f>ROUND((H1834-G1834)*1440,0)</x:f>
        <x:v>4</x:v>
      </x:c>
      <x:c r="J1834" s="13" t="str">
        <x:v>Журнал</x:v>
      </x:c>
      <x:c r="K1834" s="13" t="str">
        <x:v>Запиши одну вещь, которая сработала на этой неделе, и одну, которую повторишь в воскресенье на лёгкой трассе.</x:v>
      </x:c>
      <x:c r="L1834" s="13" t="str">
        <x:v>☐ Не начато</x:v>
      </x:c>
      <x:c r="M1834" s="13" t="str">
        <x:v>Обязательно</x:v>
      </x:c>
      <x:c r="N1834" s="13" t="str">
        <x:v>Без нагрузки</x:v>
      </x:c>
      <x:c r="O1834" s="13" t="str"/>
      <x:c r="P1834" s="13" t="str">
        <x:v>milestone_06_transfer_and_consolidation/week_26_2027-03-01/05_FRIDAY.md</x:v>
      </x:c>
      <x:c r="Q1834" s="138" t="str">
        <x:v>Markdown</x:v>
      </x:c>
      <x:c r="R1834" s="20" t="str"/>
    </x:row>
    <x:row r="1835" ht="36" customHeight="1">
      <x:c r="A1835" s="19" t="str">
        <x:v>W26-20270305-1834</x:v>
      </x:c>
      <x:c r="B1835" s="13" t="n">
        <x:v>26</x:v>
      </x:c>
      <x:c r="C1835" s="13" t="str">
        <x:v>Этап 6 — Перенос навыков, шестёрки и закрепление</x:v>
      </x:c>
      <x:c r="D1835" s="138" t="str">
        <x:v>2027-03-05</x:v>
      </x:c>
      <x:c r="E1835" s="13" t="str">
        <x:v>Пятница</x:v>
      </x:c>
      <x:c r="F1835" s="13" t="str">
        <x:v>Дом / теория</x:v>
      </x:c>
      <x:c r="G1835" s="44" t="n">
        <x:v>0.034722222222222224</x:v>
      </x:c>
      <x:c r="H1835" s="44" t="n">
        <x:v>0.03680555555555556</x:v>
      </x:c>
      <x:c r="I1835" s="32" t="n">
        <x:f>ROUND((H1835-G1835)*1440,0)</x:f>
        <x:v>3</x:v>
      </x:c>
      <x:c r="J1835" s="13" t="str">
        <x:v>Запрет лишней нагрузки</x:v>
      </x:c>
      <x:c r="K1835" s="13" t="str">
        <x:v>Подтверди: сегодня нет домашнего фингерборда, висов на турнике, тяжёлых подтягиваний, farmer carry или эспандера-сжимателя.</x:v>
      </x:c>
      <x:c r="L1835" s="13" t="str">
        <x:v>☐ Не начато</x:v>
      </x:c>
      <x:c r="M1835" s="13" t="str">
        <x:v>Обязательно</x:v>
      </x:c>
      <x:c r="N1835" s="13" t="str">
        <x:v>Восстановление</x:v>
      </x:c>
      <x:c r="O1835" s="13" t="str">
        <x:v>Общая пальцевая нагрузка уже получена в четверг.</x:v>
      </x:c>
      <x:c r="P1835" s="13" t="str">
        <x:v>milestone_06_transfer_and_consolidation/week_26_2027-03-01/05_FRIDAY.md</x:v>
      </x:c>
      <x:c r="Q1835" s="138" t="str">
        <x:v>Markdown</x:v>
      </x:c>
      <x:c r="R1835" s="20" t="str"/>
    </x:row>
    <x:row r="1836" ht="36" customHeight="1">
      <x:c r="A1836" s="19" t="str">
        <x:v>W26-20270306-1835</x:v>
      </x:c>
      <x:c r="B1836" s="13" t="n">
        <x:v>26</x:v>
      </x:c>
      <x:c r="C1836" s="13" t="str">
        <x:v>Этап 6 — Перенос навыков, шестёрки и закрепление</x:v>
      </x:c>
      <x:c r="D1836" s="138" t="str">
        <x:v>2027-03-06</x:v>
      </x:c>
      <x:c r="E1836" s="13" t="str">
        <x:v>Суббота</x:v>
      </x:c>
      <x:c r="F1836" s="13" t="str">
        <x:v>Отдых / подготовка</x:v>
      </x:c>
      <x:c r="G1836" s="44" t="n">
        <x:v>0</x:v>
      </x:c>
      <x:c r="H1836" s="44" t="n">
        <x:v>0.003472222222222222</x:v>
      </x:c>
      <x:c r="I1836" s="32" t="n">
        <x:f>ROUND((H1836-G1836)*1440,0)</x:f>
        <x:v>5</x:v>
      </x:c>
      <x:c r="J1836" s="13" t="str">
        <x:v>Самопроверка</x:v>
      </x:c>
      <x:c r="K1836" s="13" t="str">
        <x:v>Проверь кожу пальцев, ногти, плечо и колено. Никаких тестовых висов.</x:v>
      </x:c>
      <x:c r="L1836" s="13" t="str">
        <x:v>☐ Не начато</x:v>
      </x:c>
      <x:c r="M1836" s="13" t="str">
        <x:v>Обязательно</x:v>
      </x:c>
      <x:c r="N1836" s="13" t="str">
        <x:v>Восстановление</x:v>
      </x:c>
      <x:c r="O1836" s="13" t="str"/>
      <x:c r="P1836" s="13" t="str">
        <x:v>milestone_06_transfer_and_consolidation/week_26_2027-03-01/06_SATURDAY.md</x:v>
      </x:c>
      <x:c r="Q1836" s="138" t="str">
        <x:v>Markdown</x:v>
      </x:c>
      <x:c r="R1836" s="20" t="str"/>
    </x:row>
    <x:row r="1837" ht="36" customHeight="1">
      <x:c r="A1837" s="19" t="str">
        <x:v>W26-20270306-1836</x:v>
      </x:c>
      <x:c r="B1837" s="13" t="n">
        <x:v>26</x:v>
      </x:c>
      <x:c r="C1837" s="13" t="str">
        <x:v>Этап 6 — Перенос навыков, шестёрки и закрепление</x:v>
      </x:c>
      <x:c r="D1837" s="138" t="str">
        <x:v>2027-03-06</x:v>
      </x:c>
      <x:c r="E1837" s="13" t="str">
        <x:v>Суббота</x:v>
      </x:c>
      <x:c r="F1837" s="13" t="str">
        <x:v>Отдых / подготовка</x:v>
      </x:c>
      <x:c r="G1837" s="44" t="n">
        <x:v>0.003472222222222222</x:v>
      </x:c>
      <x:c r="H1837" s="44" t="n">
        <x:v>0.010416666666666666</x:v>
      </x:c>
      <x:c r="I1837" s="32" t="n">
        <x:f>ROUND((H1837-G1837)*1440,0)</x:f>
        <x:v>10</x:v>
      </x:c>
      <x:c r="J1837" s="13" t="str">
        <x:v>Активное восстановление</x:v>
      </x:c>
      <x:c r="K1837" s="13" t="str">
        <x:v>10 минут лёгкой прогулки или бытовой активности. Цель — восстановление, не тренировка.</x:v>
      </x:c>
      <x:c r="L1837" s="13" t="str">
        <x:v>☐ Не начато</x:v>
      </x:c>
      <x:c r="M1837" s="13" t="str">
        <x:v>Обязательно</x:v>
      </x:c>
      <x:c r="N1837" s="13" t="str">
        <x:v>RPE 1–2</x:v>
      </x:c>
      <x:c r="O1837" s="13" t="str"/>
      <x:c r="P1837" s="13" t="str">
        <x:v>milestone_06_transfer_and_consolidation/week_26_2027-03-01/06_SATURDAY.md</x:v>
      </x:c>
      <x:c r="Q1837" s="138" t="str">
        <x:v>Markdown</x:v>
      </x:c>
      <x:c r="R1837" s="20" t="str"/>
    </x:row>
    <x:row r="1838" ht="36" customHeight="1">
      <x:c r="A1838" s="19" t="str">
        <x:v>W26-20270306-1837</x:v>
      </x:c>
      <x:c r="B1838" s="13" t="n">
        <x:v>26</x:v>
      </x:c>
      <x:c r="C1838" s="13" t="str">
        <x:v>Этап 6 — Перенос навыков, шестёрки и закрепление</x:v>
      </x:c>
      <x:c r="D1838" s="138" t="str">
        <x:v>2027-03-06</x:v>
      </x:c>
      <x:c r="E1838" s="13" t="str">
        <x:v>Суббота</x:v>
      </x:c>
      <x:c r="F1838" s="13" t="str">
        <x:v>Отдых / подготовка</x:v>
      </x:c>
      <x:c r="G1838" s="44" t="n">
        <x:v>0.010416666666666666</x:v>
      </x:c>
      <x:c r="H1838" s="44" t="n">
        <x:v>0.013888888888888888</x:v>
      </x:c>
      <x:c r="I1838" s="32" t="n">
        <x:f>ROUND((H1838-G1838)*1440,0)</x:f>
        <x:v>5</x:v>
      </x:c>
      <x:c r="J1838" s="13" t="str">
        <x:v>Уход за кожей</x:v>
      </x:c>
      <x:c r="K1838" s="13" t="str">
        <x:v>При необходимости аккуратно выровняй только выступающий край мозоли после душа; не истончай кожу и не делай это прямо перед залом.</x:v>
      </x:c>
      <x:c r="L1838" s="13" t="str">
        <x:v>☐ Не начато</x:v>
      </x:c>
      <x:c r="M1838" s="13" t="str">
        <x:v>Опционально</x:v>
      </x:c>
      <x:c r="N1838" s="13" t="str">
        <x:v>Без нагрузки</x:v>
      </x:c>
      <x:c r="O1838" s="13" t="str">
        <x:v>Повреждённую/болезненную кожу не шлифовать.</x:v>
      </x:c>
      <x:c r="P1838" s="13" t="str">
        <x:v>milestone_06_transfer_and_consolidation/week_26_2027-03-01/06_SATURDAY.md</x:v>
      </x:c>
      <x:c r="Q1838" s="138" t="str">
        <x:v>Markdown</x:v>
      </x:c>
      <x:c r="R1838" s="20" t="str"/>
    </x:row>
    <x:row r="1839" ht="36" customHeight="1">
      <x:c r="A1839" s="19" t="str">
        <x:v>W26-20270306-1838</x:v>
      </x:c>
      <x:c r="B1839" s="13" t="n">
        <x:v>26</x:v>
      </x:c>
      <x:c r="C1839" s="13" t="str">
        <x:v>Этап 6 — Перенос навыков, шестёрки и закрепление</x:v>
      </x:c>
      <x:c r="D1839" s="138" t="str">
        <x:v>2027-03-06</x:v>
      </x:c>
      <x:c r="E1839" s="13" t="str">
        <x:v>Суббота</x:v>
      </x:c>
      <x:c r="F1839" s="13" t="str">
        <x:v>Отдых / подготовка</x:v>
      </x:c>
      <x:c r="G1839" s="44" t="n">
        <x:v>0.013888888888888888</x:v>
      </x:c>
      <x:c r="H1839" s="44" t="n">
        <x:v>0.016666666666666666</x:v>
      </x:c>
      <x:c r="I1839" s="32" t="n">
        <x:f>ROUND((H1839-G1839)*1440,0)</x:f>
        <x:v>4</x:v>
      </x:c>
      <x:c r="J1839" s="13" t="str">
        <x:v>Подготовка</x:v>
      </x:c>
      <x:c r="K1839" s="13" t="str">
        <x:v>Заряди телефон, освободи память для одного видео, положи щётку и магнезию.</x:v>
      </x:c>
      <x:c r="L1839" s="13" t="str">
        <x:v>☐ Не начато</x:v>
      </x:c>
      <x:c r="M1839" s="13" t="str">
        <x:v>Обязательно</x:v>
      </x:c>
      <x:c r="N1839" s="13" t="str">
        <x:v>Без нагрузки</x:v>
      </x:c>
      <x:c r="O1839" s="13" t="str"/>
      <x:c r="P1839" s="13" t="str">
        <x:v>milestone_06_transfer_and_consolidation/week_26_2027-03-01/06_SATURDAY.md</x:v>
      </x:c>
      <x:c r="Q1839" s="138" t="str">
        <x:v>Markdown</x:v>
      </x:c>
      <x:c r="R1839" s="20" t="str"/>
    </x:row>
    <x:row r="1840" ht="36" customHeight="1">
      <x:c r="A1840" s="19" t="str">
        <x:v>W26-20270306-1839</x:v>
      </x:c>
      <x:c r="B1840" s="13" t="n">
        <x:v>26</x:v>
      </x:c>
      <x:c r="C1840" s="13" t="str">
        <x:v>Этап 6 — Перенос навыков, шестёрки и закрепление</x:v>
      </x:c>
      <x:c r="D1840" s="138" t="str">
        <x:v>2027-03-06</x:v>
      </x:c>
      <x:c r="E1840" s="13" t="str">
        <x:v>Суббота</x:v>
      </x:c>
      <x:c r="F1840" s="13" t="str">
        <x:v>Отдых / подготовка</x:v>
      </x:c>
      <x:c r="G1840" s="44" t="n">
        <x:v>0.016666666666666666</x:v>
      </x:c>
      <x:c r="H1840" s="44" t="n">
        <x:v>0.01875</x:v>
      </x:c>
      <x:c r="I1840" s="32" t="n">
        <x:f>ROUND((H1840-G1840)*1440,0)</x:f>
        <x:v>3</x:v>
      </x:c>
      <x:c r="J1840" s="13" t="str">
        <x:v>План воскресенья</x:v>
      </x:c>
      <x:c r="K1840" s="13" t="str">
        <x:v>Выбери заранее одну лёгкую трассу под тему «Финальная проверка». Воскресенье остаётся развлечением, не третьим тяжёлым днём.</x:v>
      </x:c>
      <x:c r="L1840" s="13" t="str">
        <x:v>☐ Не начато</x:v>
      </x:c>
      <x:c r="M1840" s="13" t="str">
        <x:v>Обязательно</x:v>
      </x:c>
      <x:c r="N1840" s="13" t="str">
        <x:v>Без нагрузки</x:v>
      </x:c>
      <x:c r="O1840" s="13" t="str"/>
      <x:c r="P1840" s="13" t="str">
        <x:v>milestone_06_transfer_and_consolidation/week_26_2027-03-01/06_SATURDAY.md</x:v>
      </x:c>
      <x:c r="Q1840" s="138" t="str">
        <x:v>Markdown</x:v>
      </x:c>
      <x:c r="R1840" s="20" t="str"/>
    </x:row>
    <x:row r="1841" ht="36" customHeight="1">
      <x:c r="A1841" s="19" t="str">
        <x:v>W26-20270306-1840</x:v>
      </x:c>
      <x:c r="B1841" s="13" t="n">
        <x:v>26</x:v>
      </x:c>
      <x:c r="C1841" s="13" t="str">
        <x:v>Этап 6 — Перенос навыков, шестёрки и закрепление</x:v>
      </x:c>
      <x:c r="D1841" s="138" t="str">
        <x:v>2027-03-06</x:v>
      </x:c>
      <x:c r="E1841" s="13" t="str">
        <x:v>Суббота</x:v>
      </x:c>
      <x:c r="F1841" s="13" t="str">
        <x:v>Отдых / подготовка</x:v>
      </x:c>
      <x:c r="G1841" s="44" t="n">
        <x:v>0.01875</x:v>
      </x:c>
      <x:c r="H1841" s="44" t="n">
        <x:v>0.020833333333333332</x:v>
      </x:c>
      <x:c r="I1841" s="32" t="n">
        <x:f>ROUND((H1841-G1841)*1440,0)</x:f>
        <x:v>3</x:v>
      </x:c>
      <x:c r="J1841" s="13" t="str">
        <x:v>Сон / восстановление</x:v>
      </x:c>
      <x:c r="K1841" s="13" t="str">
        <x:v>Запланируй обычный сон и нормальный приём пищи; не пытайся «разбудить хват» вечером.</x:v>
      </x:c>
      <x:c r="L1841" s="13" t="str">
        <x:v>☐ Не начато</x:v>
      </x:c>
      <x:c r="M1841" s="13" t="str">
        <x:v>Обязательно</x:v>
      </x:c>
      <x:c r="N1841" s="13" t="str">
        <x:v>Восстановление</x:v>
      </x:c>
      <x:c r="O1841" s="13" t="str"/>
      <x:c r="P1841" s="13" t="str">
        <x:v>milestone_06_transfer_and_consolidation/week_26_2027-03-01/06_SATURDAY.md</x:v>
      </x:c>
      <x:c r="Q1841" s="138" t="str">
        <x:v>Markdown</x:v>
      </x:c>
      <x:c r="R1841" s="20" t="str"/>
    </x:row>
    <x:row r="1842" ht="36" customHeight="1">
      <x:c r="A1842" s="19" t="str">
        <x:v>W26-20270307-1841</x:v>
      </x:c>
      <x:c r="B1842" s="13" t="n">
        <x:v>26</x:v>
      </x:c>
      <x:c r="C1842" s="13" t="str">
        <x:v>Этап 6 — Перенос навыков, шестёрки и закрепление</x:v>
      </x:c>
      <x:c r="D1842" s="138" t="str">
        <x:v>2027-03-07</x:v>
      </x:c>
      <x:c r="E1842" s="13" t="str">
        <x:v>Воскресенье</x:v>
      </x:c>
      <x:c r="F1842" s="13" t="str">
        <x:v>Тренировка C — fun / опционально</x:v>
      </x:c>
      <x:c r="G1842" s="44" t="n">
        <x:v>0</x:v>
      </x:c>
      <x:c r="H1842" s="44" t="n">
        <x:v>0.0020833333333333333</x:v>
      </x:c>
      <x:c r="I1842" s="32" t="n">
        <x:f>ROUND((H1842-G1842)*1440,0)</x:f>
        <x:v>3</x:v>
      </x:c>
      <x:c r="J1842" s="13" t="str">
        <x:v>Выбор сценария</x:v>
      </x:c>
      <x:c r="K1842" s="13" t="str">
        <x:v>Выбери один сценарий: (A) fun-сессия 75 минут в зале или (B) восстановительный день дома 25 минут. Не выполнять оба.</x:v>
      </x:c>
      <x:c r="L1842" s="13" t="str">
        <x:v>☐ Не начато</x:v>
      </x:c>
      <x:c r="M1842" s="13" t="str">
        <x:v>Выбрать один сценарий</x:v>
      </x:c>
      <x:c r="N1842" s="13" t="str">
        <x:v>По состоянию</x:v>
      </x:c>
      <x:c r="O1842" s="13" t="str"/>
      <x:c r="P1842" s="13" t="str">
        <x:v>milestone_06_transfer_and_consolidation/week_26_2027-03-01/07_SUNDAY.md</x:v>
      </x:c>
      <x:c r="Q1842" s="138" t="str">
        <x:v>Markdown</x:v>
      </x:c>
      <x:c r="R1842" s="20" t="str"/>
    </x:row>
    <x:row r="1843" ht="36" customHeight="1">
      <x:c r="A1843" s="19" t="str">
        <x:v>W26-20270307-1842</x:v>
      </x:c>
      <x:c r="B1843" s="13" t="n">
        <x:v>26</x:v>
      </x:c>
      <x:c r="C1843" s="13" t="str">
        <x:v>Этап 6 — Перенос навыков, шестёрки и закрепление</x:v>
      </x:c>
      <x:c r="D1843" s="138" t="str">
        <x:v>2027-03-07</x:v>
      </x:c>
      <x:c r="E1843" s="13" t="str">
        <x:v>Воскресенье</x:v>
      </x:c>
      <x:c r="F1843" s="13" t="str">
        <x:v>Тренировка C — fun / опционально</x:v>
      </x:c>
      <x:c r="G1843" s="44" t="n">
        <x:v>0.0020833333333333333</x:v>
      </x:c>
      <x:c r="H1843" s="44" t="n">
        <x:v>0.005555555555555556</x:v>
      </x:c>
      <x:c r="I1843" s="32" t="n">
        <x:f>ROUND((H1843-G1843)*1440,0)</x:f>
        <x:v>5</x:v>
      </x:c>
      <x:c r="J1843" s="13" t="str">
        <x:v>Разминка A</x:v>
      </x:c>
      <x:c r="K1843" s="13" t="str">
        <x:v>Если идёшь в зал: 5 минут поднятия температуры.</x:v>
      </x:c>
      <x:c r="L1843" s="13" t="str">
        <x:v>☐ Не начато</x:v>
      </x:c>
      <x:c r="M1843" s="13" t="str">
        <x:v>Опционально</x:v>
      </x:c>
      <x:c r="N1843" s="13" t="str">
        <x:v>RPE 2–3</x:v>
      </x:c>
      <x:c r="O1843" s="13" t="str"/>
      <x:c r="P1843" s="13" t="str">
        <x:v>milestone_06_transfer_and_consolidation/week_26_2027-03-01/07_SUNDAY.md</x:v>
      </x:c>
      <x:c r="Q1843" s="138" t="str">
        <x:v>Markdown</x:v>
      </x:c>
      <x:c r="R1843" s="20" t="str"/>
    </x:row>
    <x:row r="1844" ht="36" customHeight="1">
      <x:c r="A1844" s="19" t="str">
        <x:v>W26-20270307-1843</x:v>
      </x:c>
      <x:c r="B1844" s="13" t="n">
        <x:v>26</x:v>
      </x:c>
      <x:c r="C1844" s="13" t="str">
        <x:v>Этап 6 — Перенос навыков, шестёрки и закрепление</x:v>
      </x:c>
      <x:c r="D1844" s="138" t="str">
        <x:v>2027-03-07</x:v>
      </x:c>
      <x:c r="E1844" s="13" t="str">
        <x:v>Воскресенье</x:v>
      </x:c>
      <x:c r="F1844" s="13" t="str">
        <x:v>Тренировка C — fun / опционально</x:v>
      </x:c>
      <x:c r="G1844" s="44" t="n">
        <x:v>0.005555555555555556</x:v>
      </x:c>
      <x:c r="H1844" s="44" t="n">
        <x:v>0.009027777777777777</x:v>
      </x:c>
      <x:c r="I1844" s="32" t="n">
        <x:f>ROUND((H1844-G1844)*1440,0)</x:f>
        <x:v>5</x:v>
      </x:c>
      <x:c r="J1844" s="13" t="str">
        <x:v>Разминка A</x:v>
      </x:c>
      <x:c r="K1844" s="13" t="str">
        <x:v>Динамическая суставная разминка в безболезненном диапазоне; без отжиманий/press.</x:v>
      </x:c>
      <x:c r="L1844" s="13" t="str">
        <x:v>☐ Не начато</x:v>
      </x:c>
      <x:c r="M1844" s="13" t="str">
        <x:v>Опционально</x:v>
      </x:c>
      <x:c r="N1844" s="13" t="str">
        <x:v>Очень легко</x:v>
      </x:c>
      <x:c r="O1844" s="13" t="str">
        <x:v>Фингерборда и тяжёлого круга нет. Не рисковать плечом/коленом ради символического финала.</x:v>
      </x:c>
      <x:c r="P1844" s="13" t="str">
        <x:v>milestone_06_transfer_and_consolidation/week_26_2027-03-01/07_SUNDAY.md</x:v>
      </x:c>
      <x:c r="Q1844" s="138" t="str">
        <x:v>Markdown</x:v>
      </x:c>
      <x:c r="R1844" s="20" t="str"/>
    </x:row>
    <x:row r="1845" ht="36" customHeight="1">
      <x:c r="A1845" s="19" t="str">
        <x:v>W26-20270307-1844</x:v>
      </x:c>
      <x:c r="B1845" s="13" t="n">
        <x:v>26</x:v>
      </x:c>
      <x:c r="C1845" s="13" t="str">
        <x:v>Этап 6 — Перенос навыков, шестёрки и закрепление</x:v>
      </x:c>
      <x:c r="D1845" s="138" t="str">
        <x:v>2027-03-07</x:v>
      </x:c>
      <x:c r="E1845" s="13" t="str">
        <x:v>Воскресенье</x:v>
      </x:c>
      <x:c r="F1845" s="13" t="str">
        <x:v>Тренировка C — fun / опционально</x:v>
      </x:c>
      <x:c r="G1845" s="44" t="n">
        <x:v>0.009027777777777777</x:v>
      </x:c>
      <x:c r="H1845" s="44" t="n">
        <x:v>0.013888888888888888</x:v>
      </x:c>
      <x:c r="I1845" s="32" t="n">
        <x:f>ROUND((H1845-G1845)*1440,0)</x:f>
        <x:v>7</x:v>
      </x:c>
      <x:c r="J1845" s="13" t="str">
        <x:v>Лёгкое лазание A</x:v>
      </x:c>
      <x:c r="K1845" s="13" t="str">
        <x:v>3 очень лёгкие трассы 1–3 с постепенным увеличением сложности.</x:v>
      </x:c>
      <x:c r="L1845" s="13" t="str">
        <x:v>☐ Не начато</x:v>
      </x:c>
      <x:c r="M1845" s="13" t="str">
        <x:v>Опционально</x:v>
      </x:c>
      <x:c r="N1845" s="13" t="str">
        <x:v>RPE 2–4</x:v>
      </x:c>
      <x:c r="O1845" s="13" t="str"/>
      <x:c r="P1845" s="13" t="str">
        <x:v>milestone_06_transfer_and_consolidation/week_26_2027-03-01/07_SUNDAY.md</x:v>
      </x:c>
      <x:c r="Q1845" s="138" t="str">
        <x:v>Markdown</x:v>
      </x:c>
      <x:c r="R1845" s="20" t="str"/>
    </x:row>
    <x:row r="1846" ht="36" customHeight="1">
      <x:c r="A1846" s="19" t="str">
        <x:v>W26-20270307-1845</x:v>
      </x:c>
      <x:c r="B1846" s="13" t="n">
        <x:v>26</x:v>
      </x:c>
      <x:c r="C1846" s="13" t="str">
        <x:v>Этап 6 — Перенос навыков, шестёрки и закрепление</x:v>
      </x:c>
      <x:c r="D1846" s="138" t="str">
        <x:v>2027-03-07</x:v>
      </x:c>
      <x:c r="E1846" s="13" t="str">
        <x:v>Воскресенье</x:v>
      </x:c>
      <x:c r="F1846" s="13" t="str">
        <x:v>Тренировка C — fun / опционально</x:v>
      </x:c>
      <x:c r="G1846" s="44" t="n">
        <x:v>0.013888888888888888</x:v>
      </x:c>
      <x:c r="H1846" s="44" t="n">
        <x:v>0.020833333333333332</x:v>
      </x:c>
      <x:c r="I1846" s="32" t="n">
        <x:f>ROUND((H1846-G1846)*1440,0)</x:f>
        <x:v>10</x:v>
      </x:c>
      <x:c r="J1846" s="13" t="str">
        <x:v>Технический праймер A</x:v>
      </x:c>
      <x:c r="K1846" s="13" t="str">
        <x:v>На одной лёгкой трассе дважды повтори «Финальная проверка». Критерий: Есть измеримое сравнение процесса и результата, независимо от конкретного топа.</x:v>
      </x:c>
      <x:c r="L1846" s="13" t="str">
        <x:v>☐ Не начато</x:v>
      </x:c>
      <x:c r="M1846" s="13" t="str">
        <x:v>Опционально</x:v>
      </x:c>
      <x:c r="N1846" s="13" t="str">
        <x:v>RPE 3–4</x:v>
      </x:c>
      <x:c r="O1846" s="13" t="str">
        <x:v>Нет фингерборда и тяжёлого круга.</x:v>
      </x:c>
      <x:c r="P1846" s="13" t="str">
        <x:v>milestone_06_transfer_and_consolidation/week_26_2027-03-01/07_SUNDAY.md</x:v>
      </x:c>
      <x:c r="Q1846" s="138" t="str">
        <x:v>Markdown</x:v>
      </x:c>
      <x:c r="R1846" s="20" t="str"/>
    </x:row>
    <x:row r="1847" ht="36" customHeight="1">
      <x:c r="A1847" s="19" t="str">
        <x:v>W26-20270307-1846</x:v>
      </x:c>
      <x:c r="B1847" s="13" t="n">
        <x:v>26</x:v>
      </x:c>
      <x:c r="C1847" s="13" t="str">
        <x:v>Этап 6 — Перенос навыков, шестёрки и закрепление</x:v>
      </x:c>
      <x:c r="D1847" s="138" t="str">
        <x:v>2027-03-07</x:v>
      </x:c>
      <x:c r="E1847" s="13" t="str">
        <x:v>Воскресенье</x:v>
      </x:c>
      <x:c r="F1847" s="13" t="str">
        <x:v>Тренировка C — fun / опционально</x:v>
      </x:c>
      <x:c r="G1847" s="44" t="n">
        <x:v>0.020833333333333332</x:v>
      </x:c>
      <x:c r="H1847" s="44" t="n">
        <x:v>0.03819444444444445</x:v>
      </x:c>
      <x:c r="I1847" s="32" t="n">
        <x:f>ROUND((H1847-G1847)*1440,0)</x:f>
        <x:v>25</x:v>
      </x:c>
      <x:c r="J1847" s="13" t="str">
        <x:v>Свободное лазание A</x:v>
      </x:c>
      <x:c r="K1847" s="13" t="str">
        <x:v>Лазай с девушкой по интересным трассам. Чередуйте выбор. Не более 2 попыток подряд на одной трассе; отдых обычно 2–3 минуты.</x:v>
      </x:c>
      <x:c r="L1847" s="13" t="str">
        <x:v>☐ Не начато</x:v>
      </x:c>
      <x:c r="M1847" s="13" t="str">
        <x:v>Опционально</x:v>
      </x:c>
      <x:c r="N1847" s="13" t="str">
        <x:v>RPE 4–7</x:v>
      </x:c>
      <x:c r="O1847" s="13" t="str">
        <x:v>Не превращать блок в круг на выносливость.</x:v>
      </x:c>
      <x:c r="P1847" s="13" t="str">
        <x:v>milestone_06_transfer_and_consolidation/week_26_2027-03-01/07_SUNDAY.md</x:v>
      </x:c>
      <x:c r="Q1847" s="138" t="str">
        <x:v>Markdown</x:v>
      </x:c>
      <x:c r="R1847" s="20" t="str"/>
    </x:row>
    <x:row r="1848" ht="36" customHeight="1">
      <x:c r="A1848" s="19" t="str">
        <x:v>W26-20270307-1847</x:v>
      </x:c>
      <x:c r="B1848" s="13" t="n">
        <x:v>26</x:v>
      </x:c>
      <x:c r="C1848" s="13" t="str">
        <x:v>Этап 6 — Перенос навыков, шестёрки и закрепление</x:v>
      </x:c>
      <x:c r="D1848" s="138" t="str">
        <x:v>2027-03-07</x:v>
      </x:c>
      <x:c r="E1848" s="13" t="str">
        <x:v>Воскресенье</x:v>
      </x:c>
      <x:c r="F1848" s="13" t="str">
        <x:v>Тренировка C — fun / опционально</x:v>
      </x:c>
      <x:c r="G1848" s="44" t="n">
        <x:v>0.03819444444444445</x:v>
      </x:c>
      <x:c r="H1848" s="44" t="n">
        <x:v>0.04583333333333333</x:v>
      </x:c>
      <x:c r="I1848" s="32" t="n">
        <x:f>ROUND((H1848-G1848)*1440,0)</x:f>
        <x:v>11</x:v>
      </x:c>
      <x:c r="J1848" s="13" t="str">
        <x:v>Свежая сложная попытка A</x:v>
      </x:c>
      <x:c r="K1848" s="13" t="str">
        <x:v>Только если всё зелёное: попробуй одну рабочую пятёрку или дружелюбную шестёрку по критериям недели — Одна основная шестёрка, максимум 5 попыток. Затем только любимые лёгкие трассы. Максимум 2 попытки, отдых 4 минуты.</x:v>
      </x:c>
      <x:c r="L1848" s="13" t="str">
        <x:v>☐ Не начато</x:v>
      </x:c>
      <x:c r="M1848" s="13" t="str">
        <x:v>Опционально</x:v>
      </x:c>
      <x:c r="N1848" s="13" t="str">
        <x:v>RPE 7–8, без отказа</x:v>
      </x:c>
      <x:c r="O1848" s="13" t="str">
        <x:v>Фингерборда и тяжёлого круга нет. Не рисковать плечом/коленом ради символического финала.</x:v>
      </x:c>
      <x:c r="P1848" s="13" t="str">
        <x:v>milestone_06_transfer_and_consolidation/week_26_2027-03-01/07_SUNDAY.md</x:v>
      </x:c>
      <x:c r="Q1848" s="138" t="str">
        <x:v>Markdown</x:v>
      </x:c>
      <x:c r="R1848" s="20" t="str"/>
    </x:row>
    <x:row r="1849" ht="36" customHeight="1">
      <x:c r="A1849" s="19" t="str">
        <x:v>W26-20270307-1848</x:v>
      </x:c>
      <x:c r="B1849" s="13" t="n">
        <x:v>26</x:v>
      </x:c>
      <x:c r="C1849" s="13" t="str">
        <x:v>Этап 6 — Перенос навыков, шестёрки и закрепление</x:v>
      </x:c>
      <x:c r="D1849" s="138" t="str">
        <x:v>2027-03-07</x:v>
      </x:c>
      <x:c r="E1849" s="13" t="str">
        <x:v>Воскресенье</x:v>
      </x:c>
      <x:c r="F1849" s="13" t="str">
        <x:v>Тренировка C — fun / опционально</x:v>
      </x:c>
      <x:c r="G1849" s="44" t="n">
        <x:v>0.04583333333333333</x:v>
      </x:c>
      <x:c r="H1849" s="44" t="n">
        <x:v>0.05</x:v>
      </x:c>
      <x:c r="I1849" s="32" t="n">
        <x:f>ROUND((H1849-G1849)*1440,0)</x:f>
        <x:v>6</x:v>
      </x:c>
      <x:c r="J1849" s="13" t="str">
        <x:v>Лёгкий финал A</x:v>
      </x:c>
      <x:c r="K1849" s="13" t="str">
        <x:v>Одна любимая лёгкая трасса или спокойный спуск. Фингерборда и capacity-круга нет.</x:v>
      </x:c>
      <x:c r="L1849" s="13" t="str">
        <x:v>☐ Не начато</x:v>
      </x:c>
      <x:c r="M1849" s="13" t="str">
        <x:v>Опционально</x:v>
      </x:c>
      <x:c r="N1849" s="13" t="str">
        <x:v>RPE 2–3</x:v>
      </x:c>
      <x:c r="O1849" s="13" t="str"/>
      <x:c r="P1849" s="13" t="str">
        <x:v>milestone_06_transfer_and_consolidation/week_26_2027-03-01/07_SUNDAY.md</x:v>
      </x:c>
      <x:c r="Q1849" s="138" t="str">
        <x:v>Markdown</x:v>
      </x:c>
      <x:c r="R1849" s="20" t="str"/>
    </x:row>
    <x:row r="1850" ht="36" customHeight="1">
      <x:c r="A1850" s="19" t="str">
        <x:v>W26-20270307-1849</x:v>
      </x:c>
      <x:c r="B1850" s="13" t="n">
        <x:v>26</x:v>
      </x:c>
      <x:c r="C1850" s="13" t="str">
        <x:v>Этап 6 — Перенос навыков, шестёрки и закрепление</x:v>
      </x:c>
      <x:c r="D1850" s="138" t="str">
        <x:v>2027-03-07</x:v>
      </x:c>
      <x:c r="E1850" s="13" t="str">
        <x:v>Воскресенье</x:v>
      </x:c>
      <x:c r="F1850" s="13" t="str">
        <x:v>Тренировка C — fun / опционально</x:v>
      </x:c>
      <x:c r="G1850" s="44" t="n">
        <x:v>0.05</x:v>
      </x:c>
      <x:c r="H1850" s="44" t="n">
        <x:v>0.052083333333333336</x:v>
      </x:c>
      <x:c r="I1850" s="32" t="n">
        <x:f>ROUND((H1850-G1850)*1440,0)</x:f>
        <x:v>3</x:v>
      </x:c>
      <x:c r="J1850" s="13" t="str">
        <x:v>Журнал A</x:v>
      </x:c>
      <x:c r="K1850" s="13" t="str">
        <x:v>Запиши только 3 вещи: что было весело, один удачный технический момент, состояние пальцев после сессии.</x:v>
      </x:c>
      <x:c r="L1850" s="13" t="str">
        <x:v>☐ Не начато</x:v>
      </x:c>
      <x:c r="M1850" s="13" t="str">
        <x:v>Опционально</x:v>
      </x:c>
      <x:c r="N1850" s="13" t="str">
        <x:v>Без нагрузки</x:v>
      </x:c>
      <x:c r="O1850" s="13" t="str"/>
      <x:c r="P1850" s="13" t="str">
        <x:v>milestone_06_transfer_and_consolidation/week_26_2027-03-01/07_SUNDAY.md</x:v>
      </x:c>
      <x:c r="Q1850" s="138" t="str">
        <x:v>Markdown</x:v>
      </x:c>
      <x:c r="R1850" s="20" t="str"/>
    </x:row>
    <x:row r="1851" ht="36" customHeight="1">
      <x:c r="A1851" s="19" t="str">
        <x:v>W26-20270307-1850</x:v>
      </x:c>
      <x:c r="B1851" s="13" t="n">
        <x:v>26</x:v>
      </x:c>
      <x:c r="C1851" s="13" t="str">
        <x:v>Этап 6 — Перенос навыков, шестёрки и закрепление</x:v>
      </x:c>
      <x:c r="D1851" s="138" t="str">
        <x:v>2027-03-07</x:v>
      </x:c>
      <x:c r="E1851" s="13" t="str">
        <x:v>Воскресенье</x:v>
      </x:c>
      <x:c r="F1851" s="13" t="str">
        <x:v>Восстановление B — дома</x:v>
      </x:c>
      <x:c r="G1851" s="44" t="n">
        <x:v>0</x:v>
      </x:c>
      <x:c r="H1851" s="44" t="n">
        <x:v>0.010416666666666666</x:v>
      </x:c>
      <x:c r="I1851" s="32" t="n">
        <x:f>ROUND((H1851-G1851)*1440,0)</x:f>
        <x:v>15</x:v>
      </x:c>
      <x:c r="J1851" s="13" t="str">
        <x:v>Прогулка B</x:v>
      </x:c>
      <x:c r="K1851" s="13" t="str">
        <x:v>Если не идёшь в зал: 15 минут спокойной прогулки.</x:v>
      </x:c>
      <x:c r="L1851" s="13" t="str">
        <x:v>☐ Не начато</x:v>
      </x:c>
      <x:c r="M1851" s="13" t="str">
        <x:v>Опционально</x:v>
      </x:c>
      <x:c r="N1851" s="13" t="str">
        <x:v>RPE 1–2</x:v>
      </x:c>
      <x:c r="O1851" s="13" t="str"/>
      <x:c r="P1851" s="13" t="str">
        <x:v>milestone_06_transfer_and_consolidation/week_26_2027-03-01/07_SUNDAY.md</x:v>
      </x:c>
      <x:c r="Q1851" s="138" t="str">
        <x:v>Markdown</x:v>
      </x:c>
      <x:c r="R1851" s="20" t="str"/>
    </x:row>
    <x:row r="1852" ht="36" customHeight="1">
      <x:c r="A1852" s="19" t="str">
        <x:v>W26-20270307-1851</x:v>
      </x:c>
      <x:c r="B1852" s="13" t="n">
        <x:v>26</x:v>
      </x:c>
      <x:c r="C1852" s="13" t="str">
        <x:v>Этап 6 — Перенос навыков, шестёрки и закрепление</x:v>
      </x:c>
      <x:c r="D1852" s="138" t="str">
        <x:v>2027-03-07</x:v>
      </x:c>
      <x:c r="E1852" s="13" t="str">
        <x:v>Воскресенье</x:v>
      </x:c>
      <x:c r="F1852" s="13" t="str">
        <x:v>Восстановление B — дома</x:v>
      </x:c>
      <x:c r="G1852" s="44" t="n">
        <x:v>0.010416666666666666</x:v>
      </x:c>
      <x:c r="H1852" s="44" t="n">
        <x:v>0.015277777777777777</x:v>
      </x:c>
      <x:c r="I1852" s="32" t="n">
        <x:f>ROUND((H1852-G1852)*1440,0)</x:f>
        <x:v>7</x:v>
      </x:c>
      <x:c r="J1852" s="13" t="str">
        <x:v>Визуализация B</x:v>
      </x:c>
      <x:c r="K1852" s="13" t="str">
        <x:v>7 минут: мысленно повтори тему недели «Финальная проверка» и одну трассу четверга.</x:v>
      </x:c>
      <x:c r="L1852" s="13" t="str">
        <x:v>☐ Не начато</x:v>
      </x:c>
      <x:c r="M1852" s="13" t="str">
        <x:v>Опционально</x:v>
      </x:c>
      <x:c r="N1852" s="13" t="str">
        <x:v>Без нагрузки</x:v>
      </x:c>
      <x:c r="O1852" s="13" t="str"/>
      <x:c r="P1852" s="13" t="str">
        <x:v>milestone_06_transfer_and_consolidation/week_26_2027-03-01/07_SUNDAY.md</x:v>
      </x:c>
      <x:c r="Q1852" s="138" t="str">
        <x:v>Markdown</x:v>
      </x:c>
      <x:c r="R1852" s="20" t="str"/>
    </x:row>
    <x:row r="1853" ht="36" customHeight="1">
      <x:c r="A1853" s="21" t="str">
        <x:v>W26-20270307-1852</x:v>
      </x:c>
      <x:c r="B1853" s="22" t="n">
        <x:v>26</x:v>
      </x:c>
      <x:c r="C1853" s="22" t="str">
        <x:v>Этап 6 — Перенос навыков, шестёрки и закрепление</x:v>
      </x:c>
      <x:c r="D1853" s="136" t="str">
        <x:v>2027-03-07</x:v>
      </x:c>
      <x:c r="E1853" s="22" t="str">
        <x:v>Воскресенье</x:v>
      </x:c>
      <x:c r="F1853" s="22" t="str">
        <x:v>Восстановление B — дома</x:v>
      </x:c>
      <x:c r="G1853" s="45" t="n">
        <x:v>0.015277777777777777</x:v>
      </x:c>
      <x:c r="H1853" s="45" t="n">
        <x:v>0.017361111111111112</x:v>
      </x:c>
      <x:c r="I1853" s="33" t="n">
        <x:f>ROUND((H1853-G1853)*1440,0)</x:f>
        <x:v>3</x:v>
      </x:c>
      <x:c r="J1853" s="22" t="str">
        <x:v>Итог недели B</x:v>
      </x:c>
      <x:c r="K1853" s="22" t="str">
        <x:v>Заполни итог недели в Excel: выполненные обязательные задачи, лучшая пятёрка/шестёрка, минута просадки хвата, реакции плеча/пальцев/колена.</x:v>
      </x:c>
      <x:c r="L1853" s="22" t="str">
        <x:v>☐ Не начато</x:v>
      </x:c>
      <x:c r="M1853" s="22" t="str">
        <x:v>Опционально</x:v>
      </x:c>
      <x:c r="N1853" s="22" t="str">
        <x:v>Без нагрузки</x:v>
      </x:c>
      <x:c r="O1853" s="22" t="str"/>
      <x:c r="P1853" s="22" t="str">
        <x:v>milestone_06_transfer_and_consolidation/week_26_2027-03-01/07_SUNDAY.md</x:v>
      </x:c>
      <x:c r="Q1853" s="136" t="str">
        <x:v>Markdown</x:v>
      </x:c>
      <x:c r="R1853" s="23" t="str"/>
    </x:row>
  </x:sheetData>
  <x:conditionalFormatting sqref="L2:L1853">
    <x:cfRule type="expression" dxfId="3" priority="1">
      <x:formula>$L2="☑ Готово"</x:formula>
    </x:cfRule>
    <x:cfRule type="expression" dxfId="4" priority="2">
      <x:formula>$L2="↺ Перенесено"</x:formula>
    </x:cfRule>
    <x:cfRule type="expression" dxfId="5" priority="3">
      <x:formula>$L2="— Пропущено по плану"</x:formula>
    </x:cfRule>
    <x:cfRule type="expression" dxfId="6" priority="4">
      <x:formula>$L2="☐ Не начато"</x:formula>
    </x:cfRule>
  </x:conditionalFormatting>
  <x:conditionalFormatting sqref="M2:M1853">
    <x:cfRule type="expression" dxfId="7" priority="5">
      <x:formula>$M2="Обязательно"</x:formula>
    </x:cfRule>
  </x:conditionalFormatting>
  <x:conditionalFormatting sqref="O2:O1853">
    <x:cfRule type="expression" dxfId="8" priority="6">
      <x:formula>LEN($O2)&gt;0</x:formula>
    </x:cfRule>
  </x:conditionalFormatting>
  <x:dataValidations count="1">
    <x:dataValidation type="list" sqref="L2:L1853">
      <x:formula1>"☐ Не начато,☑ Готово,↺ Перенесено,— Пропущено по плану"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71ec2b92844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1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44" hidden="0" customWidth="1"/>
    <x:col min="10" max="10" width="18" hidden="0" customWidth="1"/>
    <x:col min="11" max="11" width="13" hidden="0" customWidth="1"/>
    <x:col min="12" max="12" width="13" hidden="0" customWidth="1"/>
    <x:col min="13" max="13" width="17" hidden="0" customWidth="1"/>
    <x:col min="14" max="14" width="12" hidden="0" customWidth="1"/>
    <x:col min="15" max="15" width="24" hidden="0" customWidth="1"/>
    <x:col min="16" max="16" width="22" hidden="0" customWidth="1"/>
    <x:col min="17" max="17" width="48" hidden="0" customWidth="1"/>
  </x:cols>
  <x:sheetData>
    <x:row r="1" ht="34" customHeight="1">
      <x:c r="A1" s="16" t="str">
        <x:v>Неделя</x:v>
      </x:c>
      <x:c r="B1" s="17" t="str">
        <x:v>Начало недели</x:v>
      </x:c>
      <x:c r="C1" s="17" t="str">
        <x:v>4: попытки</x:v>
      </x:c>
      <x:c r="D1" s="17" t="str">
        <x:v>4: топы</x:v>
      </x:c>
      <x:c r="E1" s="17" t="str">
        <x:v>4: %</x:v>
      </x:c>
      <x:c r="F1" s="17" t="str">
        <x:v>5: попытки</x:v>
      </x:c>
      <x:c r="G1" s="17" t="str">
        <x:v>5: топы</x:v>
      </x:c>
      <x:c r="H1" s="17" t="str">
        <x:v>5: %</x:v>
      </x:c>
      <x:c r="I1" s="17" t="str">
        <x:v>6: лучшая связка / результат</x:v>
      </x:c>
      <x:c r="J1" s="17" t="str">
        <x:v>Просадка хвата, мин</x:v>
      </x:c>
      <x:c r="K1" s="17" t="str">
        <x:v>Плечо 0–10</x:v>
      </x:c>
      <x:c r="L1" s="17" t="str">
        <x:v>Пальцы 0–10</x:v>
      </x:c>
      <x:c r="M1" s="17" t="str">
        <x:v>Правое колено 0–10</x:v>
      </x:c>
      <x:c r="N1" s="17" t="str">
        <x:v>Энергия 1–5</x:v>
      </x:c>
      <x:c r="O1" s="17" t="str">
        <x:v>Лишние перестановки стоп</x:v>
      </x:c>
      <x:c r="P1" s="17" t="str">
        <x:v>Ранние сгибания рук</x:v>
      </x:c>
      <x:c r="Q1" s="18" t="str">
        <x:v>Заметки</x:v>
      </x:c>
    </x:row>
    <x:row r="2" ht="36" customHeight="1">
      <x:c r="A2" s="19" t="n">
        <x:v>1</x:v>
      </x:c>
      <x:c r="B2" s="138" t="str">
        <x:v>2026-09-07</x:v>
      </x:c>
      <x:c r="C2" s="13" t="str"/>
      <x:c r="D2" s="13" t="str"/>
      <x:c r="E2" s="48" t="str">
        <x:f>IF(OR(C2="",C2=0),"",D2/C2)</x:f>
      </x:c>
      <x:c r="F2" s="13" t="str"/>
      <x:c r="G2" s="13" t="str"/>
      <x:c r="H2" s="48" t="str">
        <x:f>IF(OR(F2="",F2=0),"",G2/F2)</x:f>
      </x:c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20" t="str"/>
    </x:row>
    <x:row r="3" ht="36" customHeight="1">
      <x:c r="A3" s="19" t="n">
        <x:v>2</x:v>
      </x:c>
      <x:c r="B3" s="138" t="str">
        <x:v>2026-09-14</x:v>
      </x:c>
      <x:c r="C3" s="13" t="str"/>
      <x:c r="D3" s="13" t="str"/>
      <x:c r="E3" s="48" t="str">
        <x:f>IF(OR(C3="",C3=0),"",D3/C3)</x:f>
      </x:c>
      <x:c r="F3" s="13" t="str"/>
      <x:c r="G3" s="13" t="str"/>
      <x:c r="H3" s="48" t="str">
        <x:f>IF(OR(F3="",F3=0),"",G3/F3)</x:f>
      </x:c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20" t="str"/>
    </x:row>
    <x:row r="4" ht="36" customHeight="1">
      <x:c r="A4" s="19" t="n">
        <x:v>3</x:v>
      </x:c>
      <x:c r="B4" s="138" t="str">
        <x:v>2026-09-21</x:v>
      </x:c>
      <x:c r="C4" s="13" t="str"/>
      <x:c r="D4" s="13" t="str"/>
      <x:c r="E4" s="48" t="str">
        <x:f>IF(OR(C4="",C4=0),"",D4/C4)</x:f>
      </x:c>
      <x:c r="F4" s="13" t="str"/>
      <x:c r="G4" s="13" t="str"/>
      <x:c r="H4" s="48" t="str">
        <x:f>IF(OR(F4="",F4=0),"",G4/F4)</x:f>
      </x:c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20" t="str"/>
    </x:row>
    <x:row r="5" ht="36" customHeight="1">
      <x:c r="A5" s="19" t="n">
        <x:v>4</x:v>
      </x:c>
      <x:c r="B5" s="138" t="str">
        <x:v>2026-09-28</x:v>
      </x:c>
      <x:c r="C5" s="13" t="str"/>
      <x:c r="D5" s="13" t="str"/>
      <x:c r="E5" s="48" t="str">
        <x:f>IF(OR(C5="",C5=0),"",D5/C5)</x:f>
      </x:c>
      <x:c r="F5" s="13" t="str"/>
      <x:c r="G5" s="13" t="str"/>
      <x:c r="H5" s="48" t="str">
        <x:f>IF(OR(F5="",F5=0),"",G5/F5)</x:f>
      </x:c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20" t="str"/>
    </x:row>
    <x:row r="6" ht="36" customHeight="1">
      <x:c r="A6" s="19" t="n">
        <x:v>5</x:v>
      </x:c>
      <x:c r="B6" s="138" t="str">
        <x:v>2026-10-05</x:v>
      </x:c>
      <x:c r="C6" s="13" t="str"/>
      <x:c r="D6" s="13" t="str"/>
      <x:c r="E6" s="48" t="str">
        <x:f>IF(OR(C6="",C6=0),"",D6/C6)</x:f>
      </x:c>
      <x:c r="F6" s="13" t="str"/>
      <x:c r="G6" s="13" t="str"/>
      <x:c r="H6" s="48" t="str">
        <x:f>IF(OR(F6="",F6=0),"",G6/F6)</x:f>
      </x:c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20" t="str"/>
    </x:row>
    <x:row r="7" ht="36" customHeight="1">
      <x:c r="A7" s="19" t="n">
        <x:v>6</x:v>
      </x:c>
      <x:c r="B7" s="138" t="str">
        <x:v>2026-10-12</x:v>
      </x:c>
      <x:c r="C7" s="13" t="str"/>
      <x:c r="D7" s="13" t="str"/>
      <x:c r="E7" s="48" t="str">
        <x:f>IF(OR(C7="",C7=0),"",D7/C7)</x:f>
      </x:c>
      <x:c r="F7" s="13" t="str"/>
      <x:c r="G7" s="13" t="str"/>
      <x:c r="H7" s="48" t="str">
        <x:f>IF(OR(F7="",F7=0),"",G7/F7)</x:f>
      </x:c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20" t="str"/>
    </x:row>
    <x:row r="8" ht="36" customHeight="1">
      <x:c r="A8" s="19" t="n">
        <x:v>7</x:v>
      </x:c>
      <x:c r="B8" s="138" t="str">
        <x:v>2026-10-19</x:v>
      </x:c>
      <x:c r="C8" s="13" t="str"/>
      <x:c r="D8" s="13" t="str"/>
      <x:c r="E8" s="48" t="str">
        <x:f>IF(OR(C8="",C8=0),"",D8/C8)</x:f>
      </x:c>
      <x:c r="F8" s="13" t="str"/>
      <x:c r="G8" s="13" t="str"/>
      <x:c r="H8" s="48" t="str">
        <x:f>IF(OR(F8="",F8=0),"",G8/F8)</x:f>
      </x:c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20" t="str"/>
    </x:row>
    <x:row r="9" ht="36" customHeight="1">
      <x:c r="A9" s="19" t="n">
        <x:v>8</x:v>
      </x:c>
      <x:c r="B9" s="138" t="str">
        <x:v>2026-10-26</x:v>
      </x:c>
      <x:c r="C9" s="13" t="str"/>
      <x:c r="D9" s="13" t="str"/>
      <x:c r="E9" s="48" t="str">
        <x:f>IF(OR(C9="",C9=0),"",D9/C9)</x:f>
      </x:c>
      <x:c r="F9" s="13" t="str"/>
      <x:c r="G9" s="13" t="str"/>
      <x:c r="H9" s="48" t="str">
        <x:f>IF(OR(F9="",F9=0),"",G9/F9)</x:f>
      </x:c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20" t="str"/>
    </x:row>
    <x:row r="10" ht="36" customHeight="1">
      <x:c r="A10" s="19" t="n">
        <x:v>9</x:v>
      </x:c>
      <x:c r="B10" s="138" t="str">
        <x:v>2026-11-02</x:v>
      </x:c>
      <x:c r="C10" s="13" t="str"/>
      <x:c r="D10" s="13" t="str"/>
      <x:c r="E10" s="48" t="str">
        <x:f>IF(OR(C10="",C10=0),"",D10/C10)</x:f>
      </x:c>
      <x:c r="F10" s="13" t="str"/>
      <x:c r="G10" s="13" t="str"/>
      <x:c r="H10" s="48" t="str">
        <x:f>IF(OR(F10="",F10=0),"",G10/F10)</x:f>
      </x:c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20" t="str"/>
    </x:row>
    <x:row r="11" ht="36" customHeight="1">
      <x:c r="A11" s="19" t="n">
        <x:v>10</x:v>
      </x:c>
      <x:c r="B11" s="138" t="str">
        <x:v>2026-11-09</x:v>
      </x:c>
      <x:c r="C11" s="13" t="str"/>
      <x:c r="D11" s="13" t="str"/>
      <x:c r="E11" s="48" t="str">
        <x:f>IF(OR(C11="",C11=0),"",D11/C11)</x:f>
      </x:c>
      <x:c r="F11" s="13" t="str"/>
      <x:c r="G11" s="13" t="str"/>
      <x:c r="H11" s="48" t="str">
        <x:f>IF(OR(F11="",F11=0),"",G11/F11)</x:f>
      </x:c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20" t="str"/>
    </x:row>
    <x:row r="12" ht="36" customHeight="1">
      <x:c r="A12" s="19" t="n">
        <x:v>11</x:v>
      </x:c>
      <x:c r="B12" s="138" t="str">
        <x:v>2026-11-16</x:v>
      </x:c>
      <x:c r="C12" s="13" t="str"/>
      <x:c r="D12" s="13" t="str"/>
      <x:c r="E12" s="48" t="str">
        <x:f>IF(OR(C12="",C12=0),"",D12/C12)</x:f>
      </x:c>
      <x:c r="F12" s="13" t="str"/>
      <x:c r="G12" s="13" t="str"/>
      <x:c r="H12" s="48" t="str">
        <x:f>IF(OR(F12="",F12=0),"",G12/F12)</x:f>
      </x:c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20" t="str"/>
    </x:row>
    <x:row r="13" ht="36" customHeight="1">
      <x:c r="A13" s="19" t="n">
        <x:v>12</x:v>
      </x:c>
      <x:c r="B13" s="138" t="str">
        <x:v>2026-11-23</x:v>
      </x:c>
      <x:c r="C13" s="13" t="str"/>
      <x:c r="D13" s="13" t="str"/>
      <x:c r="E13" s="48" t="str">
        <x:f>IF(OR(C13="",C13=0),"",D13/C13)</x:f>
      </x:c>
      <x:c r="F13" s="13" t="str"/>
      <x:c r="G13" s="13" t="str"/>
      <x:c r="H13" s="48" t="str">
        <x:f>IF(OR(F13="",F13=0),"",G13/F13)</x:f>
      </x:c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20" t="str"/>
    </x:row>
    <x:row r="14" ht="36" customHeight="1">
      <x:c r="A14" s="19" t="n">
        <x:v>13</x:v>
      </x:c>
      <x:c r="B14" s="138" t="str">
        <x:v>2026-11-30</x:v>
      </x:c>
      <x:c r="C14" s="13" t="str"/>
      <x:c r="D14" s="13" t="str"/>
      <x:c r="E14" s="48" t="str">
        <x:f>IF(OR(C14="",C14=0),"",D14/C14)</x:f>
      </x:c>
      <x:c r="F14" s="13" t="str"/>
      <x:c r="G14" s="13" t="str"/>
      <x:c r="H14" s="48" t="str">
        <x:f>IF(OR(F14="",F14=0),"",G14/F14)</x:f>
      </x:c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20" t="str"/>
    </x:row>
    <x:row r="15" ht="36" customHeight="1">
      <x:c r="A15" s="19" t="n">
        <x:v>14</x:v>
      </x:c>
      <x:c r="B15" s="138" t="str">
        <x:v>2026-12-07</x:v>
      </x:c>
      <x:c r="C15" s="13" t="str"/>
      <x:c r="D15" s="13" t="str"/>
      <x:c r="E15" s="48" t="str">
        <x:f>IF(OR(C15="",C15=0),"",D15/C15)</x:f>
      </x:c>
      <x:c r="F15" s="13" t="str"/>
      <x:c r="G15" s="13" t="str"/>
      <x:c r="H15" s="48" t="str">
        <x:f>IF(OR(F15="",F15=0),"",G15/F15)</x:f>
      </x:c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20" t="str"/>
    </x:row>
    <x:row r="16" ht="36" customHeight="1">
      <x:c r="A16" s="19" t="n">
        <x:v>15</x:v>
      </x:c>
      <x:c r="B16" s="138" t="str">
        <x:v>2026-12-14</x:v>
      </x:c>
      <x:c r="C16" s="13" t="str"/>
      <x:c r="D16" s="13" t="str"/>
      <x:c r="E16" s="48" t="str">
        <x:f>IF(OR(C16="",C16=0),"",D16/C16)</x:f>
      </x:c>
      <x:c r="F16" s="13" t="str"/>
      <x:c r="G16" s="13" t="str"/>
      <x:c r="H16" s="48" t="str">
        <x:f>IF(OR(F16="",F16=0),"",G16/F16)</x:f>
      </x:c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20" t="str"/>
    </x:row>
    <x:row r="17" ht="36" customHeight="1">
      <x:c r="A17" s="19" t="n">
        <x:v>16</x:v>
      </x:c>
      <x:c r="B17" s="138" t="str">
        <x:v>2026-12-21</x:v>
      </x:c>
      <x:c r="C17" s="13" t="str"/>
      <x:c r="D17" s="13" t="str"/>
      <x:c r="E17" s="48" t="str">
        <x:f>IF(OR(C17="",C17=0),"",D17/C17)</x:f>
      </x:c>
      <x:c r="F17" s="13" t="str"/>
      <x:c r="G17" s="13" t="str"/>
      <x:c r="H17" s="48" t="str">
        <x:f>IF(OR(F17="",F17=0),"",G17/F17)</x:f>
      </x:c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20" t="str"/>
    </x:row>
    <x:row r="18" ht="36" customHeight="1">
      <x:c r="A18" s="19" t="n">
        <x:v>17</x:v>
      </x:c>
      <x:c r="B18" s="138" t="str">
        <x:v>2026-12-28</x:v>
      </x:c>
      <x:c r="C18" s="13" t="str"/>
      <x:c r="D18" s="13" t="str"/>
      <x:c r="E18" s="48" t="str">
        <x:f>IF(OR(C18="",C18=0),"",D18/C18)</x:f>
      </x:c>
      <x:c r="F18" s="13" t="str"/>
      <x:c r="G18" s="13" t="str"/>
      <x:c r="H18" s="48" t="str">
        <x:f>IF(OR(F18="",F18=0),"",G18/F18)</x:f>
      </x:c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20" t="str"/>
    </x:row>
    <x:row r="19" ht="36" customHeight="1">
      <x:c r="A19" s="19" t="n">
        <x:v>18</x:v>
      </x:c>
      <x:c r="B19" s="138" t="str">
        <x:v>2027-01-04</x:v>
      </x:c>
      <x:c r="C19" s="13" t="str"/>
      <x:c r="D19" s="13" t="str"/>
      <x:c r="E19" s="48" t="str">
        <x:f>IF(OR(C19="",C19=0),"",D19/C19)</x:f>
      </x:c>
      <x:c r="F19" s="13" t="str"/>
      <x:c r="G19" s="13" t="str"/>
      <x:c r="H19" s="48" t="str">
        <x:f>IF(OR(F19="",F19=0),"",G19/F19)</x:f>
      </x:c>
      <x:c r="I19" s="13" t="str"/>
      <x:c r="J19" s="13" t="str"/>
      <x:c r="K19" s="13" t="str"/>
      <x:c r="L19" s="13" t="str"/>
      <x:c r="M19" s="13" t="str"/>
      <x:c r="N19" s="13" t="str"/>
      <x:c r="O19" s="13" t="str"/>
      <x:c r="P19" s="13" t="str"/>
      <x:c r="Q19" s="20" t="str"/>
    </x:row>
    <x:row r="20" ht="36" customHeight="1">
      <x:c r="A20" s="19" t="n">
        <x:v>19</x:v>
      </x:c>
      <x:c r="B20" s="138" t="str">
        <x:v>2027-01-11</x:v>
      </x:c>
      <x:c r="C20" s="13" t="str"/>
      <x:c r="D20" s="13" t="str"/>
      <x:c r="E20" s="48" t="str">
        <x:f>IF(OR(C20="",C20=0),"",D20/C20)</x:f>
      </x:c>
      <x:c r="F20" s="13" t="str"/>
      <x:c r="G20" s="13" t="str"/>
      <x:c r="H20" s="48" t="str">
        <x:f>IF(OR(F20="",F20=0),"",G20/F20)</x:f>
      </x:c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20" t="str"/>
    </x:row>
    <x:row r="21" ht="36" customHeight="1">
      <x:c r="A21" s="19" t="n">
        <x:v>20</x:v>
      </x:c>
      <x:c r="B21" s="138" t="str">
        <x:v>2027-01-18</x:v>
      </x:c>
      <x:c r="C21" s="13" t="str"/>
      <x:c r="D21" s="13" t="str"/>
      <x:c r="E21" s="48" t="str">
        <x:f>IF(OR(C21="",C21=0),"",D21/C21)</x:f>
      </x:c>
      <x:c r="F21" s="13" t="str"/>
      <x:c r="G21" s="13" t="str"/>
      <x:c r="H21" s="48" t="str">
        <x:f>IF(OR(F21="",F21=0),"",G21/F21)</x:f>
      </x:c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20" t="str"/>
    </x:row>
    <x:row r="22" ht="36" customHeight="1">
      <x:c r="A22" s="19" t="n">
        <x:v>21</x:v>
      </x:c>
      <x:c r="B22" s="138" t="str">
        <x:v>2027-01-25</x:v>
      </x:c>
      <x:c r="C22" s="13" t="str"/>
      <x:c r="D22" s="13" t="str"/>
      <x:c r="E22" s="48" t="str">
        <x:f>IF(OR(C22="",C22=0),"",D22/C22)</x:f>
      </x:c>
      <x:c r="F22" s="13" t="str"/>
      <x:c r="G22" s="13" t="str"/>
      <x:c r="H22" s="48" t="str">
        <x:f>IF(OR(F22="",F22=0),"",G22/F22)</x:f>
      </x:c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20" t="str"/>
    </x:row>
    <x:row r="23" ht="36" customHeight="1">
      <x:c r="A23" s="19" t="n">
        <x:v>22</x:v>
      </x:c>
      <x:c r="B23" s="138" t="str">
        <x:v>2027-02-01</x:v>
      </x:c>
      <x:c r="C23" s="13" t="str"/>
      <x:c r="D23" s="13" t="str"/>
      <x:c r="E23" s="48" t="str">
        <x:f>IF(OR(C23="",C23=0),"",D23/C23)</x:f>
      </x:c>
      <x:c r="F23" s="13" t="str"/>
      <x:c r="G23" s="13" t="str"/>
      <x:c r="H23" s="48" t="str">
        <x:f>IF(OR(F23="",F23=0),"",G23/F23)</x:f>
      </x:c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20" t="str"/>
    </x:row>
    <x:row r="24" ht="36" customHeight="1">
      <x:c r="A24" s="19" t="n">
        <x:v>23</x:v>
      </x:c>
      <x:c r="B24" s="138" t="str">
        <x:v>2027-02-08</x:v>
      </x:c>
      <x:c r="C24" s="13" t="str"/>
      <x:c r="D24" s="13" t="str"/>
      <x:c r="E24" s="48" t="str">
        <x:f>IF(OR(C24="",C24=0),"",D24/C24)</x:f>
      </x:c>
      <x:c r="F24" s="13" t="str"/>
      <x:c r="G24" s="13" t="str"/>
      <x:c r="H24" s="48" t="str">
        <x:f>IF(OR(F24="",F24=0),"",G24/F24)</x:f>
      </x:c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20" t="str"/>
    </x:row>
    <x:row r="25" ht="36" customHeight="1">
      <x:c r="A25" s="19" t="n">
        <x:v>24</x:v>
      </x:c>
      <x:c r="B25" s="138" t="str">
        <x:v>2027-02-15</x:v>
      </x:c>
      <x:c r="C25" s="13" t="str"/>
      <x:c r="D25" s="13" t="str"/>
      <x:c r="E25" s="48" t="str">
        <x:f>IF(OR(C25="",C25=0),"",D25/C25)</x:f>
      </x:c>
      <x:c r="F25" s="13" t="str"/>
      <x:c r="G25" s="13" t="str"/>
      <x:c r="H25" s="48" t="str">
        <x:f>IF(OR(F25="",F25=0),"",G25/F25)</x:f>
      </x:c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20" t="str"/>
    </x:row>
    <x:row r="26" ht="36" customHeight="1">
      <x:c r="A26" s="19" t="n">
        <x:v>25</x:v>
      </x:c>
      <x:c r="B26" s="138" t="str">
        <x:v>2027-02-22</x:v>
      </x:c>
      <x:c r="C26" s="13" t="str"/>
      <x:c r="D26" s="13" t="str"/>
      <x:c r="E26" s="48" t="str">
        <x:f>IF(OR(C26="",C26=0),"",D26/C26)</x:f>
      </x:c>
      <x:c r="F26" s="13" t="str"/>
      <x:c r="G26" s="13" t="str"/>
      <x:c r="H26" s="48" t="str">
        <x:f>IF(OR(F26="",F26=0),"",G26/F26)</x:f>
      </x:c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20" t="str"/>
    </x:row>
    <x:row r="27" ht="36" customHeight="1">
      <x:c r="A27" s="21" t="n">
        <x:v>26</x:v>
      </x:c>
      <x:c r="B27" s="136" t="str">
        <x:v>2027-03-01</x:v>
      </x:c>
      <x:c r="C27" s="22" t="str"/>
      <x:c r="D27" s="22" t="str"/>
      <x:c r="E27" s="49" t="str">
        <x:f>IF(OR(C27="",C27=0),"",D27/C27)</x:f>
      </x:c>
      <x:c r="F27" s="22" t="str"/>
      <x:c r="G27" s="22" t="str"/>
      <x:c r="H27" s="49" t="str">
        <x:f>IF(OR(F27="",F27=0),"",G27/F27)</x:f>
      </x:c>
      <x:c r="I27" s="22" t="str"/>
      <x:c r="J27" s="22" t="str"/>
      <x:c r="K27" s="22" t="str"/>
      <x:c r="L27" s="22" t="str"/>
      <x:c r="M27" s="22" t="str"/>
      <x:c r="N27" s="22" t="str"/>
      <x:c r="O27" s="22" t="str"/>
      <x:c r="P27" s="22" t="str"/>
      <x:c r="Q27" s="23" t="str"/>
    </x:row>
  </x:sheetData>
  <x:conditionalFormatting sqref="E2:E2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{11D561C9-E2C7-F89A-8177-994C876D5331}</x14:id>
        </x:ext>
      </x:extLst>
    </x:cfRule>
  </x:conditionalFormatting>
  <x:conditionalFormatting sqref="H2:H27">
    <x:cfRule type="dataBar" priority="2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{7B36DE28-9E78-91F1-21B8-4FBB43656377}</x14:id>
        </x:ext>
      </x:extLst>
    </x:cfRule>
  </x:conditionalFormatting>
  <x:conditionalFormatting sqref="K2:M27">
    <x:cfRule type="colorScale" priority="3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2">
    <x:dataValidation type="list" sqref="K2:M27">
      <x:formula1>"0,1,2,3,4,5,6,7,8,9,10"</x:formula1>
    </x:dataValidation>
    <x:dataValidation type="list" sqref="N2:N27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be10961ce24e9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1D561C9-E2C7-F89A-8177-994C876D5331}">
            <x14:dataBar gradient="1">
              <x14:cfvo type="min"/>
              <x14:cfvo type="max"/>
              <x14:fillColor rgb="FFA02B93"/>
            </x14:dataBar>
          </x14:cfRule>
          <xm:sqref>E2:E27</xm:sqref>
        </x14:conditionalFormatting>
        <x14:conditionalFormatting>
          <x14:cfRule type="dataBar" priority="2" id="{7B36DE28-9E78-91F1-21B8-4FBB43656377}">
            <x14:dataBar gradient="1">
              <x14:cfvo type="min"/>
              <x14:cfvo type="max"/>
              <x14:fillColor rgb="FF4EA72E"/>
            </x14:dataBar>
          </x14:cfRule>
          <xm:sqref>H2:H27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0" hidden="0" customWidth="1"/>
    <x:col min="5" max="5" width="16" hidden="0" customWidth="1"/>
    <x:col min="6" max="6" width="24" hidden="0" customWidth="1"/>
    <x:col min="7" max="7" width="24" hidden="0" customWidth="1"/>
    <x:col min="8" max="8" width="10" hidden="0" customWidth="1"/>
    <x:col min="9" max="9" width="10" hidden="0" customWidth="1"/>
    <x:col min="10" max="10" width="44" hidden="0" customWidth="1"/>
    <x:col min="11" max="11" width="52" hidden="0" customWidth="1"/>
    <x:col min="12" max="12" width="13" hidden="0" customWidth="1"/>
    <x:col min="13" max="13" width="13" hidden="0" customWidth="1"/>
    <x:col min="14" max="14" width="13" hidden="0" customWidth="1"/>
    <x:col min="15" max="15" width="34" hidden="0" customWidth="1"/>
    <x:col min="16" max="16" width="44" hidden="0" customWidth="1"/>
  </x:cols>
  <x:sheetData>
    <x:row r="1" ht="34" customHeight="1">
      <x:c r="A1" s="16" t="str">
        <x:v>Дата</x:v>
      </x:c>
      <x:c r="B1" s="17" t="str">
        <x:v>Зал</x:v>
      </x:c>
      <x:c r="C1" s="17" t="str">
        <x:v>Трасса / сектор / цвет</x:v>
      </x:c>
      <x:c r="D1" s="17" t="str">
        <x:v>Грейд</x:v>
      </x:c>
      <x:c r="E1" s="17" t="str">
        <x:v>Роль</x:v>
      </x:c>
      <x:c r="F1" s="17" t="str">
        <x:v>Стиль / угол</x:v>
      </x:c>
      <x:c r="G1" s="17" t="str">
        <x:v>Тип зацепов</x:v>
      </x:c>
      <x:c r="H1" s="17" t="str">
        <x:v>Попытки</x:v>
      </x:c>
      <x:c r="I1" s="17" t="str">
        <x:v>Топ</x:v>
      </x:c>
      <x:c r="J1" s="17" t="str">
        <x:v>Crux / причина срыва</x:v>
      </x:c>
      <x:c r="K1" s="17" t="str">
        <x:v>Изменение beta</x:v>
      </x:c>
      <x:c r="L1" s="17" t="str">
        <x:v>Плечо 0–10</x:v>
      </x:c>
      <x:c r="M1" s="17" t="str">
        <x:v>Пальцы 0–10</x:v>
      </x:c>
      <x:c r="N1" s="17" t="str">
        <x:v>Колено 0–10</x:v>
      </x:c>
      <x:c r="O1" s="17" t="str">
        <x:v>Видео / файл</x:v>
      </x:c>
      <x:c r="P1" s="18" t="str">
        <x:v>Заметки</x:v>
      </x:c>
    </x:row>
    <x:row r="2" ht="36" customHeight="1">
      <x:c r="A2" s="52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>
        <x:v>☐</x:v>
      </x:c>
      <x:c r="J2" s="13" t="str"/>
      <x:c r="K2" s="13" t="str"/>
      <x:c r="L2" s="13" t="str"/>
      <x:c r="M2" s="13" t="str"/>
      <x:c r="N2" s="13" t="str"/>
      <x:c r="O2" s="13" t="str"/>
      <x:c r="P2" s="20" t="str"/>
    </x:row>
    <x:row r="3" ht="36" customHeight="1">
      <x:c r="A3" s="52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>
        <x:v>☐</x:v>
      </x:c>
      <x:c r="J3" s="13" t="str"/>
      <x:c r="K3" s="13" t="str"/>
      <x:c r="L3" s="13" t="str"/>
      <x:c r="M3" s="13" t="str"/>
      <x:c r="N3" s="13" t="str"/>
      <x:c r="O3" s="13" t="str"/>
      <x:c r="P3" s="20" t="str"/>
    </x:row>
    <x:row r="4" ht="36" customHeight="1">
      <x:c r="A4" s="52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>
        <x:v>☐</x:v>
      </x:c>
      <x:c r="J4" s="13" t="str"/>
      <x:c r="K4" s="13" t="str"/>
      <x:c r="L4" s="13" t="str"/>
      <x:c r="M4" s="13" t="str"/>
      <x:c r="N4" s="13" t="str"/>
      <x:c r="O4" s="13" t="str"/>
      <x:c r="P4" s="20" t="str"/>
    </x:row>
    <x:row r="5" ht="36" customHeight="1">
      <x:c r="A5" s="52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>
        <x:v>☐</x:v>
      </x:c>
      <x:c r="J5" s="13" t="str"/>
      <x:c r="K5" s="13" t="str"/>
      <x:c r="L5" s="13" t="str"/>
      <x:c r="M5" s="13" t="str"/>
      <x:c r="N5" s="13" t="str"/>
      <x:c r="O5" s="13" t="str"/>
      <x:c r="P5" s="20" t="str"/>
    </x:row>
    <x:row r="6" ht="36" customHeight="1">
      <x:c r="A6" s="52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>
        <x:v>☐</x:v>
      </x:c>
      <x:c r="J6" s="13" t="str"/>
      <x:c r="K6" s="13" t="str"/>
      <x:c r="L6" s="13" t="str"/>
      <x:c r="M6" s="13" t="str"/>
      <x:c r="N6" s="13" t="str"/>
      <x:c r="O6" s="13" t="str"/>
      <x:c r="P6" s="20" t="str"/>
    </x:row>
    <x:row r="7" ht="36" customHeight="1">
      <x:c r="A7" s="52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>
        <x:v>☐</x:v>
      </x:c>
      <x:c r="J7" s="13" t="str"/>
      <x:c r="K7" s="13" t="str"/>
      <x:c r="L7" s="13" t="str"/>
      <x:c r="M7" s="13" t="str"/>
      <x:c r="N7" s="13" t="str"/>
      <x:c r="O7" s="13" t="str"/>
      <x:c r="P7" s="20" t="str"/>
    </x:row>
    <x:row r="8" ht="36" customHeight="1">
      <x:c r="A8" s="52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>
        <x:v>☐</x:v>
      </x:c>
      <x:c r="J8" s="13" t="str"/>
      <x:c r="K8" s="13" t="str"/>
      <x:c r="L8" s="13" t="str"/>
      <x:c r="M8" s="13" t="str"/>
      <x:c r="N8" s="13" t="str"/>
      <x:c r="O8" s="13" t="str"/>
      <x:c r="P8" s="20" t="str"/>
    </x:row>
    <x:row r="9" ht="36" customHeight="1">
      <x:c r="A9" s="52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>
        <x:v>☐</x:v>
      </x:c>
      <x:c r="J9" s="13" t="str"/>
      <x:c r="K9" s="13" t="str"/>
      <x:c r="L9" s="13" t="str"/>
      <x:c r="M9" s="13" t="str"/>
      <x:c r="N9" s="13" t="str"/>
      <x:c r="O9" s="13" t="str"/>
      <x:c r="P9" s="20" t="str"/>
    </x:row>
    <x:row r="10" ht="36" customHeight="1">
      <x:c r="A10" s="52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>
        <x:v>☐</x:v>
      </x:c>
      <x:c r="J10" s="13" t="str"/>
      <x:c r="K10" s="13" t="str"/>
      <x:c r="L10" s="13" t="str"/>
      <x:c r="M10" s="13" t="str"/>
      <x:c r="N10" s="13" t="str"/>
      <x:c r="O10" s="13" t="str"/>
      <x:c r="P10" s="20" t="str"/>
    </x:row>
    <x:row r="11" ht="36" customHeight="1">
      <x:c r="A11" s="52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>
        <x:v>☐</x:v>
      </x:c>
      <x:c r="J11" s="13" t="str"/>
      <x:c r="K11" s="13" t="str"/>
      <x:c r="L11" s="13" t="str"/>
      <x:c r="M11" s="13" t="str"/>
      <x:c r="N11" s="13" t="str"/>
      <x:c r="O11" s="13" t="str"/>
      <x:c r="P11" s="20" t="str"/>
    </x:row>
    <x:row r="12" ht="36" customHeight="1">
      <x:c r="A12" s="52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>
        <x:v>☐</x:v>
      </x:c>
      <x:c r="J12" s="13" t="str"/>
      <x:c r="K12" s="13" t="str"/>
      <x:c r="L12" s="13" t="str"/>
      <x:c r="M12" s="13" t="str"/>
      <x:c r="N12" s="13" t="str"/>
      <x:c r="O12" s="13" t="str"/>
      <x:c r="P12" s="20" t="str"/>
    </x:row>
    <x:row r="13" ht="36" customHeight="1">
      <x:c r="A13" s="52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>
        <x:v>☐</x:v>
      </x:c>
      <x:c r="J13" s="13" t="str"/>
      <x:c r="K13" s="13" t="str"/>
      <x:c r="L13" s="13" t="str"/>
      <x:c r="M13" s="13" t="str"/>
      <x:c r="N13" s="13" t="str"/>
      <x:c r="O13" s="13" t="str"/>
      <x:c r="P13" s="20" t="str"/>
    </x:row>
    <x:row r="14" ht="36" customHeight="1">
      <x:c r="A14" s="52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>
        <x:v>☐</x:v>
      </x:c>
      <x:c r="J14" s="13" t="str"/>
      <x:c r="K14" s="13" t="str"/>
      <x:c r="L14" s="13" t="str"/>
      <x:c r="M14" s="13" t="str"/>
      <x:c r="N14" s="13" t="str"/>
      <x:c r="O14" s="13" t="str"/>
      <x:c r="P14" s="20" t="str"/>
    </x:row>
    <x:row r="15" ht="36" customHeight="1">
      <x:c r="A15" s="52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>
        <x:v>☐</x:v>
      </x:c>
      <x:c r="J15" s="13" t="str"/>
      <x:c r="K15" s="13" t="str"/>
      <x:c r="L15" s="13" t="str"/>
      <x:c r="M15" s="13" t="str"/>
      <x:c r="N15" s="13" t="str"/>
      <x:c r="O15" s="13" t="str"/>
      <x:c r="P15" s="20" t="str"/>
    </x:row>
    <x:row r="16" ht="36" customHeight="1">
      <x:c r="A16" s="52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>
        <x:v>☐</x:v>
      </x:c>
      <x:c r="J16" s="13" t="str"/>
      <x:c r="K16" s="13" t="str"/>
      <x:c r="L16" s="13" t="str"/>
      <x:c r="M16" s="13" t="str"/>
      <x:c r="N16" s="13" t="str"/>
      <x:c r="O16" s="13" t="str"/>
      <x:c r="P16" s="20" t="str"/>
    </x:row>
    <x:row r="17" ht="36" customHeight="1">
      <x:c r="A17" s="52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>
        <x:v>☐</x:v>
      </x:c>
      <x:c r="J17" s="13" t="str"/>
      <x:c r="K17" s="13" t="str"/>
      <x:c r="L17" s="13" t="str"/>
      <x:c r="M17" s="13" t="str"/>
      <x:c r="N17" s="13" t="str"/>
      <x:c r="O17" s="13" t="str"/>
      <x:c r="P17" s="20" t="str"/>
    </x:row>
    <x:row r="18" ht="36" customHeight="1">
      <x:c r="A18" s="52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>
        <x:v>☐</x:v>
      </x:c>
      <x:c r="J18" s="13" t="str"/>
      <x:c r="K18" s="13" t="str"/>
      <x:c r="L18" s="13" t="str"/>
      <x:c r="M18" s="13" t="str"/>
      <x:c r="N18" s="13" t="str"/>
      <x:c r="O18" s="13" t="str"/>
      <x:c r="P18" s="20" t="str"/>
    </x:row>
    <x:row r="19" ht="36" customHeight="1">
      <x:c r="A19" s="52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>
        <x:v>☐</x:v>
      </x:c>
      <x:c r="J19" s="13" t="str"/>
      <x:c r="K19" s="13" t="str"/>
      <x:c r="L19" s="13" t="str"/>
      <x:c r="M19" s="13" t="str"/>
      <x:c r="N19" s="13" t="str"/>
      <x:c r="O19" s="13" t="str"/>
      <x:c r="P19" s="20" t="str"/>
    </x:row>
    <x:row r="20" ht="36" customHeight="1">
      <x:c r="A20" s="52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>
        <x:v>☐</x:v>
      </x:c>
      <x:c r="J20" s="13" t="str"/>
      <x:c r="K20" s="13" t="str"/>
      <x:c r="L20" s="13" t="str"/>
      <x:c r="M20" s="13" t="str"/>
      <x:c r="N20" s="13" t="str"/>
      <x:c r="O20" s="13" t="str"/>
      <x:c r="P20" s="20" t="str"/>
    </x:row>
    <x:row r="21" ht="36" customHeight="1">
      <x:c r="A21" s="52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>
        <x:v>☐</x:v>
      </x:c>
      <x:c r="J21" s="13" t="str"/>
      <x:c r="K21" s="13" t="str"/>
      <x:c r="L21" s="13" t="str"/>
      <x:c r="M21" s="13" t="str"/>
      <x:c r="N21" s="13" t="str"/>
      <x:c r="O21" s="13" t="str"/>
      <x:c r="P21" s="20" t="str"/>
    </x:row>
    <x:row r="22" ht="36" customHeight="1">
      <x:c r="A22" s="52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>
        <x:v>☐</x:v>
      </x:c>
      <x:c r="J22" s="13" t="str"/>
      <x:c r="K22" s="13" t="str"/>
      <x:c r="L22" s="13" t="str"/>
      <x:c r="M22" s="13" t="str"/>
      <x:c r="N22" s="13" t="str"/>
      <x:c r="O22" s="13" t="str"/>
      <x:c r="P22" s="20" t="str"/>
    </x:row>
    <x:row r="23" ht="36" customHeight="1">
      <x:c r="A23" s="52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>
        <x:v>☐</x:v>
      </x:c>
      <x:c r="J23" s="13" t="str"/>
      <x:c r="K23" s="13" t="str"/>
      <x:c r="L23" s="13" t="str"/>
      <x:c r="M23" s="13" t="str"/>
      <x:c r="N23" s="13" t="str"/>
      <x:c r="O23" s="13" t="str"/>
      <x:c r="P23" s="20" t="str"/>
    </x:row>
    <x:row r="24" ht="36" customHeight="1">
      <x:c r="A24" s="52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>
        <x:v>☐</x:v>
      </x:c>
      <x:c r="J24" s="13" t="str"/>
      <x:c r="K24" s="13" t="str"/>
      <x:c r="L24" s="13" t="str"/>
      <x:c r="M24" s="13" t="str"/>
      <x:c r="N24" s="13" t="str"/>
      <x:c r="O24" s="13" t="str"/>
      <x:c r="P24" s="20" t="str"/>
    </x:row>
    <x:row r="25" ht="36" customHeight="1">
      <x:c r="A25" s="52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>
        <x:v>☐</x:v>
      </x:c>
      <x:c r="J25" s="13" t="str"/>
      <x:c r="K25" s="13" t="str"/>
      <x:c r="L25" s="13" t="str"/>
      <x:c r="M25" s="13" t="str"/>
      <x:c r="N25" s="13" t="str"/>
      <x:c r="O25" s="13" t="str"/>
      <x:c r="P25" s="20" t="str"/>
    </x:row>
    <x:row r="26" ht="36" customHeight="1">
      <x:c r="A26" s="52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>
        <x:v>☐</x:v>
      </x:c>
      <x:c r="J26" s="13" t="str"/>
      <x:c r="K26" s="13" t="str"/>
      <x:c r="L26" s="13" t="str"/>
      <x:c r="M26" s="13" t="str"/>
      <x:c r="N26" s="13" t="str"/>
      <x:c r="O26" s="13" t="str"/>
      <x:c r="P26" s="20" t="str"/>
    </x:row>
    <x:row r="27" ht="36" customHeight="1">
      <x:c r="A27" s="52" t="str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>
        <x:v>☐</x:v>
      </x:c>
      <x:c r="J27" s="13" t="str"/>
      <x:c r="K27" s="13" t="str"/>
      <x:c r="L27" s="13" t="str"/>
      <x:c r="M27" s="13" t="str"/>
      <x:c r="N27" s="13" t="str"/>
      <x:c r="O27" s="13" t="str"/>
      <x:c r="P27" s="20" t="str"/>
    </x:row>
    <x:row r="28" ht="36" customHeight="1">
      <x:c r="A28" s="52" t="str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>
        <x:v>☐</x:v>
      </x:c>
      <x:c r="J28" s="13" t="str"/>
      <x:c r="K28" s="13" t="str"/>
      <x:c r="L28" s="13" t="str"/>
      <x:c r="M28" s="13" t="str"/>
      <x:c r="N28" s="13" t="str"/>
      <x:c r="O28" s="13" t="str"/>
      <x:c r="P28" s="20" t="str"/>
    </x:row>
    <x:row r="29" ht="36" customHeight="1">
      <x:c r="A29" s="52" t="str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>
        <x:v>☐</x:v>
      </x:c>
      <x:c r="J29" s="13" t="str"/>
      <x:c r="K29" s="13" t="str"/>
      <x:c r="L29" s="13" t="str"/>
      <x:c r="M29" s="13" t="str"/>
      <x:c r="N29" s="13" t="str"/>
      <x:c r="O29" s="13" t="str"/>
      <x:c r="P29" s="20" t="str"/>
    </x:row>
    <x:row r="30" ht="36" customHeight="1">
      <x:c r="A30" s="52" t="str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>
        <x:v>☐</x:v>
      </x:c>
      <x:c r="J30" s="13" t="str"/>
      <x:c r="K30" s="13" t="str"/>
      <x:c r="L30" s="13" t="str"/>
      <x:c r="M30" s="13" t="str"/>
      <x:c r="N30" s="13" t="str"/>
      <x:c r="O30" s="13" t="str"/>
      <x:c r="P30" s="20" t="str"/>
    </x:row>
    <x:row r="31" ht="36" customHeight="1">
      <x:c r="A31" s="52" t="str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>
        <x:v>☐</x:v>
      </x:c>
      <x:c r="J31" s="13" t="str"/>
      <x:c r="K31" s="13" t="str"/>
      <x:c r="L31" s="13" t="str"/>
      <x:c r="M31" s="13" t="str"/>
      <x:c r="N31" s="13" t="str"/>
      <x:c r="O31" s="13" t="str"/>
      <x:c r="P31" s="20" t="str"/>
    </x:row>
    <x:row r="32" ht="36" customHeight="1">
      <x:c r="A32" s="52" t="str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>
        <x:v>☐</x:v>
      </x:c>
      <x:c r="J32" s="13" t="str"/>
      <x:c r="K32" s="13" t="str"/>
      <x:c r="L32" s="13" t="str"/>
      <x:c r="M32" s="13" t="str"/>
      <x:c r="N32" s="13" t="str"/>
      <x:c r="O32" s="13" t="str"/>
      <x:c r="P32" s="20" t="str"/>
    </x:row>
    <x:row r="33" ht="36" customHeight="1">
      <x:c r="A33" s="52" t="str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>
        <x:v>☐</x:v>
      </x:c>
      <x:c r="J33" s="13" t="str"/>
      <x:c r="K33" s="13" t="str"/>
      <x:c r="L33" s="13" t="str"/>
      <x:c r="M33" s="13" t="str"/>
      <x:c r="N33" s="13" t="str"/>
      <x:c r="O33" s="13" t="str"/>
      <x:c r="P33" s="20" t="str"/>
    </x:row>
    <x:row r="34" ht="36" customHeight="1">
      <x:c r="A34" s="52" t="str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>
        <x:v>☐</x:v>
      </x:c>
      <x:c r="J34" s="13" t="str"/>
      <x:c r="K34" s="13" t="str"/>
      <x:c r="L34" s="13" t="str"/>
      <x:c r="M34" s="13" t="str"/>
      <x:c r="N34" s="13" t="str"/>
      <x:c r="O34" s="13" t="str"/>
      <x:c r="P34" s="20" t="str"/>
    </x:row>
    <x:row r="35" ht="36" customHeight="1">
      <x:c r="A35" s="52" t="str"/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>
        <x:v>☐</x:v>
      </x:c>
      <x:c r="J35" s="13" t="str"/>
      <x:c r="K35" s="13" t="str"/>
      <x:c r="L35" s="13" t="str"/>
      <x:c r="M35" s="13" t="str"/>
      <x:c r="N35" s="13" t="str"/>
      <x:c r="O35" s="13" t="str"/>
      <x:c r="P35" s="20" t="str"/>
    </x:row>
    <x:row r="36" ht="36" customHeight="1">
      <x:c r="A36" s="52" t="str"/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>
        <x:v>☐</x:v>
      </x:c>
      <x:c r="J36" s="13" t="str"/>
      <x:c r="K36" s="13" t="str"/>
      <x:c r="L36" s="13" t="str"/>
      <x:c r="M36" s="13" t="str"/>
      <x:c r="N36" s="13" t="str"/>
      <x:c r="O36" s="13" t="str"/>
      <x:c r="P36" s="20" t="str"/>
    </x:row>
    <x:row r="37" ht="36" customHeight="1">
      <x:c r="A37" s="52" t="str"/>
      <x:c r="B37" s="13" t="str"/>
      <x:c r="C37" s="13" t="str"/>
      <x:c r="D37" s="13" t="str"/>
      <x:c r="E37" s="13" t="str"/>
      <x:c r="F37" s="13" t="str"/>
      <x:c r="G37" s="13" t="str"/>
      <x:c r="H37" s="13" t="str"/>
      <x:c r="I37" s="13" t="str">
        <x:v>☐</x:v>
      </x:c>
      <x:c r="J37" s="13" t="str"/>
      <x:c r="K37" s="13" t="str"/>
      <x:c r="L37" s="13" t="str"/>
      <x:c r="M37" s="13" t="str"/>
      <x:c r="N37" s="13" t="str"/>
      <x:c r="O37" s="13" t="str"/>
      <x:c r="P37" s="20" t="str"/>
    </x:row>
    <x:row r="38" ht="36" customHeight="1">
      <x:c r="A38" s="52" t="str"/>
      <x:c r="B38" s="13" t="str"/>
      <x:c r="C38" s="13" t="str"/>
      <x:c r="D38" s="13" t="str"/>
      <x:c r="E38" s="13" t="str"/>
      <x:c r="F38" s="13" t="str"/>
      <x:c r="G38" s="13" t="str"/>
      <x:c r="H38" s="13" t="str"/>
      <x:c r="I38" s="13" t="str">
        <x:v>☐</x:v>
      </x:c>
      <x:c r="J38" s="13" t="str"/>
      <x:c r="K38" s="13" t="str"/>
      <x:c r="L38" s="13" t="str"/>
      <x:c r="M38" s="13" t="str"/>
      <x:c r="N38" s="13" t="str"/>
      <x:c r="O38" s="13" t="str"/>
      <x:c r="P38" s="20" t="str"/>
    </x:row>
    <x:row r="39" ht="36" customHeight="1">
      <x:c r="A39" s="52" t="str"/>
      <x:c r="B39" s="13" t="str"/>
      <x:c r="C39" s="13" t="str"/>
      <x:c r="D39" s="13" t="str"/>
      <x:c r="E39" s="13" t="str"/>
      <x:c r="F39" s="13" t="str"/>
      <x:c r="G39" s="13" t="str"/>
      <x:c r="H39" s="13" t="str"/>
      <x:c r="I39" s="13" t="str">
        <x:v>☐</x:v>
      </x:c>
      <x:c r="J39" s="13" t="str"/>
      <x:c r="K39" s="13" t="str"/>
      <x:c r="L39" s="13" t="str"/>
      <x:c r="M39" s="13" t="str"/>
      <x:c r="N39" s="13" t="str"/>
      <x:c r="O39" s="13" t="str"/>
      <x:c r="P39" s="20" t="str"/>
    </x:row>
    <x:row r="40" ht="36" customHeight="1">
      <x:c r="A40" s="52" t="str"/>
      <x:c r="B40" s="13" t="str"/>
      <x:c r="C40" s="13" t="str"/>
      <x:c r="D40" s="13" t="str"/>
      <x:c r="E40" s="13" t="str"/>
      <x:c r="F40" s="13" t="str"/>
      <x:c r="G40" s="13" t="str"/>
      <x:c r="H40" s="13" t="str"/>
      <x:c r="I40" s="13" t="str">
        <x:v>☐</x:v>
      </x:c>
      <x:c r="J40" s="13" t="str"/>
      <x:c r="K40" s="13" t="str"/>
      <x:c r="L40" s="13" t="str"/>
      <x:c r="M40" s="13" t="str"/>
      <x:c r="N40" s="13" t="str"/>
      <x:c r="O40" s="13" t="str"/>
      <x:c r="P40" s="20" t="str"/>
    </x:row>
    <x:row r="41" ht="36" customHeight="1">
      <x:c r="A41" s="52" t="str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>
        <x:v>☐</x:v>
      </x:c>
      <x:c r="J41" s="13" t="str"/>
      <x:c r="K41" s="13" t="str"/>
      <x:c r="L41" s="13" t="str"/>
      <x:c r="M41" s="13" t="str"/>
      <x:c r="N41" s="13" t="str"/>
      <x:c r="O41" s="13" t="str"/>
      <x:c r="P41" s="20" t="str"/>
    </x:row>
    <x:row r="42" ht="36" customHeight="1">
      <x:c r="A42" s="52" t="str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>
        <x:v>☐</x:v>
      </x:c>
      <x:c r="J42" s="13" t="str"/>
      <x:c r="K42" s="13" t="str"/>
      <x:c r="L42" s="13" t="str"/>
      <x:c r="M42" s="13" t="str"/>
      <x:c r="N42" s="13" t="str"/>
      <x:c r="O42" s="13" t="str"/>
      <x:c r="P42" s="20" t="str"/>
    </x:row>
    <x:row r="43" ht="36" customHeight="1">
      <x:c r="A43" s="52" t="str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>
        <x:v>☐</x:v>
      </x:c>
      <x:c r="J43" s="13" t="str"/>
      <x:c r="K43" s="13" t="str"/>
      <x:c r="L43" s="13" t="str"/>
      <x:c r="M43" s="13" t="str"/>
      <x:c r="N43" s="13" t="str"/>
      <x:c r="O43" s="13" t="str"/>
      <x:c r="P43" s="20" t="str"/>
    </x:row>
    <x:row r="44" ht="36" customHeight="1">
      <x:c r="A44" s="52" t="str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>
        <x:v>☐</x:v>
      </x:c>
      <x:c r="J44" s="13" t="str"/>
      <x:c r="K44" s="13" t="str"/>
      <x:c r="L44" s="13" t="str"/>
      <x:c r="M44" s="13" t="str"/>
      <x:c r="N44" s="13" t="str"/>
      <x:c r="O44" s="13" t="str"/>
      <x:c r="P44" s="20" t="str"/>
    </x:row>
    <x:row r="45" ht="36" customHeight="1">
      <x:c r="A45" s="52" t="str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>
        <x:v>☐</x:v>
      </x:c>
      <x:c r="J45" s="13" t="str"/>
      <x:c r="K45" s="13" t="str"/>
      <x:c r="L45" s="13" t="str"/>
      <x:c r="M45" s="13" t="str"/>
      <x:c r="N45" s="13" t="str"/>
      <x:c r="O45" s="13" t="str"/>
      <x:c r="P45" s="20" t="str"/>
    </x:row>
    <x:row r="46" ht="36" customHeight="1">
      <x:c r="A46" s="52" t="str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>
        <x:v>☐</x:v>
      </x:c>
      <x:c r="J46" s="13" t="str"/>
      <x:c r="K46" s="13" t="str"/>
      <x:c r="L46" s="13" t="str"/>
      <x:c r="M46" s="13" t="str"/>
      <x:c r="N46" s="13" t="str"/>
      <x:c r="O46" s="13" t="str"/>
      <x:c r="P46" s="20" t="str"/>
    </x:row>
    <x:row r="47" ht="36" customHeight="1">
      <x:c r="A47" s="52" t="str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>
        <x:v>☐</x:v>
      </x:c>
      <x:c r="J47" s="13" t="str"/>
      <x:c r="K47" s="13" t="str"/>
      <x:c r="L47" s="13" t="str"/>
      <x:c r="M47" s="13" t="str"/>
      <x:c r="N47" s="13" t="str"/>
      <x:c r="O47" s="13" t="str"/>
      <x:c r="P47" s="20" t="str"/>
    </x:row>
    <x:row r="48" ht="36" customHeight="1">
      <x:c r="A48" s="52" t="str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>
        <x:v>☐</x:v>
      </x:c>
      <x:c r="J48" s="13" t="str"/>
      <x:c r="K48" s="13" t="str"/>
      <x:c r="L48" s="13" t="str"/>
      <x:c r="M48" s="13" t="str"/>
      <x:c r="N48" s="13" t="str"/>
      <x:c r="O48" s="13" t="str"/>
      <x:c r="P48" s="20" t="str"/>
    </x:row>
    <x:row r="49" ht="36" customHeight="1">
      <x:c r="A49" s="52" t="str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>
        <x:v>☐</x:v>
      </x:c>
      <x:c r="J49" s="13" t="str"/>
      <x:c r="K49" s="13" t="str"/>
      <x:c r="L49" s="13" t="str"/>
      <x:c r="M49" s="13" t="str"/>
      <x:c r="N49" s="13" t="str"/>
      <x:c r="O49" s="13" t="str"/>
      <x:c r="P49" s="20" t="str"/>
    </x:row>
    <x:row r="50" ht="36" customHeight="1">
      <x:c r="A50" s="52" t="str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>
        <x:v>☐</x:v>
      </x:c>
      <x:c r="J50" s="13" t="str"/>
      <x:c r="K50" s="13" t="str"/>
      <x:c r="L50" s="13" t="str"/>
      <x:c r="M50" s="13" t="str"/>
      <x:c r="N50" s="13" t="str"/>
      <x:c r="O50" s="13" t="str"/>
      <x:c r="P50" s="20" t="str"/>
    </x:row>
    <x:row r="51" ht="36" customHeight="1">
      <x:c r="A51" s="52" t="str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>
        <x:v>☐</x:v>
      </x:c>
      <x:c r="J51" s="13" t="str"/>
      <x:c r="K51" s="13" t="str"/>
      <x:c r="L51" s="13" t="str"/>
      <x:c r="M51" s="13" t="str"/>
      <x:c r="N51" s="13" t="str"/>
      <x:c r="O51" s="13" t="str"/>
      <x:c r="P51" s="20" t="str"/>
    </x:row>
    <x:row r="52" ht="36" customHeight="1">
      <x:c r="A52" s="52" t="str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>
        <x:v>☐</x:v>
      </x:c>
      <x:c r="J52" s="13" t="str"/>
      <x:c r="K52" s="13" t="str"/>
      <x:c r="L52" s="13" t="str"/>
      <x:c r="M52" s="13" t="str"/>
      <x:c r="N52" s="13" t="str"/>
      <x:c r="O52" s="13" t="str"/>
      <x:c r="P52" s="20" t="str"/>
    </x:row>
    <x:row r="53" ht="36" customHeight="1">
      <x:c r="A53" s="52" t="str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>
        <x:v>☐</x:v>
      </x:c>
      <x:c r="J53" s="13" t="str"/>
      <x:c r="K53" s="13" t="str"/>
      <x:c r="L53" s="13" t="str"/>
      <x:c r="M53" s="13" t="str"/>
      <x:c r="N53" s="13" t="str"/>
      <x:c r="O53" s="13" t="str"/>
      <x:c r="P53" s="20" t="str"/>
    </x:row>
    <x:row r="54" ht="36" customHeight="1">
      <x:c r="A54" s="52" t="str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>
        <x:v>☐</x:v>
      </x:c>
      <x:c r="J54" s="13" t="str"/>
      <x:c r="K54" s="13" t="str"/>
      <x:c r="L54" s="13" t="str"/>
      <x:c r="M54" s="13" t="str"/>
      <x:c r="N54" s="13" t="str"/>
      <x:c r="O54" s="13" t="str"/>
      <x:c r="P54" s="20" t="str"/>
    </x:row>
    <x:row r="55" ht="36" customHeight="1">
      <x:c r="A55" s="52" t="str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>
        <x:v>☐</x:v>
      </x:c>
      <x:c r="J55" s="13" t="str"/>
      <x:c r="K55" s="13" t="str"/>
      <x:c r="L55" s="13" t="str"/>
      <x:c r="M55" s="13" t="str"/>
      <x:c r="N55" s="13" t="str"/>
      <x:c r="O55" s="13" t="str"/>
      <x:c r="P55" s="20" t="str"/>
    </x:row>
    <x:row r="56" ht="36" customHeight="1">
      <x:c r="A56" s="52" t="str"/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>
        <x:v>☐</x:v>
      </x:c>
      <x:c r="J56" s="13" t="str"/>
      <x:c r="K56" s="13" t="str"/>
      <x:c r="L56" s="13" t="str"/>
      <x:c r="M56" s="13" t="str"/>
      <x:c r="N56" s="13" t="str"/>
      <x:c r="O56" s="13" t="str"/>
      <x:c r="P56" s="20" t="str"/>
    </x:row>
    <x:row r="57" ht="36" customHeight="1">
      <x:c r="A57" s="52" t="str"/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>
        <x:v>☐</x:v>
      </x:c>
      <x:c r="J57" s="13" t="str"/>
      <x:c r="K57" s="13" t="str"/>
      <x:c r="L57" s="13" t="str"/>
      <x:c r="M57" s="13" t="str"/>
      <x:c r="N57" s="13" t="str"/>
      <x:c r="O57" s="13" t="str"/>
      <x:c r="P57" s="20" t="str"/>
    </x:row>
    <x:row r="58" ht="36" customHeight="1">
      <x:c r="A58" s="52" t="str"/>
      <x:c r="B58" s="13" t="str"/>
      <x:c r="C58" s="13" t="str"/>
      <x:c r="D58" s="13" t="str"/>
      <x:c r="E58" s="13" t="str"/>
      <x:c r="F58" s="13" t="str"/>
      <x:c r="G58" s="13" t="str"/>
      <x:c r="H58" s="13" t="str"/>
      <x:c r="I58" s="13" t="str">
        <x:v>☐</x:v>
      </x:c>
      <x:c r="J58" s="13" t="str"/>
      <x:c r="K58" s="13" t="str"/>
      <x:c r="L58" s="13" t="str"/>
      <x:c r="M58" s="13" t="str"/>
      <x:c r="N58" s="13" t="str"/>
      <x:c r="O58" s="13" t="str"/>
      <x:c r="P58" s="20" t="str"/>
    </x:row>
    <x:row r="59" ht="36" customHeight="1">
      <x:c r="A59" s="52" t="str"/>
      <x:c r="B59" s="13" t="str"/>
      <x:c r="C59" s="13" t="str"/>
      <x:c r="D59" s="13" t="str"/>
      <x:c r="E59" s="13" t="str"/>
      <x:c r="F59" s="13" t="str"/>
      <x:c r="G59" s="13" t="str"/>
      <x:c r="H59" s="13" t="str"/>
      <x:c r="I59" s="13" t="str">
        <x:v>☐</x:v>
      </x:c>
      <x:c r="J59" s="13" t="str"/>
      <x:c r="K59" s="13" t="str"/>
      <x:c r="L59" s="13" t="str"/>
      <x:c r="M59" s="13" t="str"/>
      <x:c r="N59" s="13" t="str"/>
      <x:c r="O59" s="13" t="str"/>
      <x:c r="P59" s="20" t="str"/>
    </x:row>
    <x:row r="60" ht="36" customHeight="1">
      <x:c r="A60" s="52" t="str"/>
      <x:c r="B60" s="13" t="str"/>
      <x:c r="C60" s="13" t="str"/>
      <x:c r="D60" s="13" t="str"/>
      <x:c r="E60" s="13" t="str"/>
      <x:c r="F60" s="13" t="str"/>
      <x:c r="G60" s="13" t="str"/>
      <x:c r="H60" s="13" t="str"/>
      <x:c r="I60" s="13" t="str">
        <x:v>☐</x:v>
      </x:c>
      <x:c r="J60" s="13" t="str"/>
      <x:c r="K60" s="13" t="str"/>
      <x:c r="L60" s="13" t="str"/>
      <x:c r="M60" s="13" t="str"/>
      <x:c r="N60" s="13" t="str"/>
      <x:c r="O60" s="13" t="str"/>
      <x:c r="P60" s="20" t="str"/>
    </x:row>
    <x:row r="61" ht="36" customHeight="1">
      <x:c r="A61" s="52" t="str"/>
      <x:c r="B61" s="13" t="str"/>
      <x:c r="C61" s="13" t="str"/>
      <x:c r="D61" s="13" t="str"/>
      <x:c r="E61" s="13" t="str"/>
      <x:c r="F61" s="13" t="str"/>
      <x:c r="G61" s="13" t="str"/>
      <x:c r="H61" s="13" t="str"/>
      <x:c r="I61" s="13" t="str">
        <x:v>☐</x:v>
      </x:c>
      <x:c r="J61" s="13" t="str"/>
      <x:c r="K61" s="13" t="str"/>
      <x:c r="L61" s="13" t="str"/>
      <x:c r="M61" s="13" t="str"/>
      <x:c r="N61" s="13" t="str"/>
      <x:c r="O61" s="13" t="str"/>
      <x:c r="P61" s="20" t="str"/>
    </x:row>
    <x:row r="62" ht="36" customHeight="1">
      <x:c r="A62" s="52" t="str"/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>
        <x:v>☐</x:v>
      </x:c>
      <x:c r="J62" s="13" t="str"/>
      <x:c r="K62" s="13" t="str"/>
      <x:c r="L62" s="13" t="str"/>
      <x:c r="M62" s="13" t="str"/>
      <x:c r="N62" s="13" t="str"/>
      <x:c r="O62" s="13" t="str"/>
      <x:c r="P62" s="20" t="str"/>
    </x:row>
    <x:row r="63" ht="36" customHeight="1">
      <x:c r="A63" s="52" t="str"/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>
        <x:v>☐</x:v>
      </x:c>
      <x:c r="J63" s="13" t="str"/>
      <x:c r="K63" s="13" t="str"/>
      <x:c r="L63" s="13" t="str"/>
      <x:c r="M63" s="13" t="str"/>
      <x:c r="N63" s="13" t="str"/>
      <x:c r="O63" s="13" t="str"/>
      <x:c r="P63" s="20" t="str"/>
    </x:row>
    <x:row r="64" ht="36" customHeight="1">
      <x:c r="A64" s="52" t="str"/>
      <x:c r="B64" s="13" t="str"/>
      <x:c r="C64" s="13" t="str"/>
      <x:c r="D64" s="13" t="str"/>
      <x:c r="E64" s="13" t="str"/>
      <x:c r="F64" s="13" t="str"/>
      <x:c r="G64" s="13" t="str"/>
      <x:c r="H64" s="13" t="str"/>
      <x:c r="I64" s="13" t="str">
        <x:v>☐</x:v>
      </x:c>
      <x:c r="J64" s="13" t="str"/>
      <x:c r="K64" s="13" t="str"/>
      <x:c r="L64" s="13" t="str"/>
      <x:c r="M64" s="13" t="str"/>
      <x:c r="N64" s="13" t="str"/>
      <x:c r="O64" s="13" t="str"/>
      <x:c r="P64" s="20" t="str"/>
    </x:row>
    <x:row r="65" ht="36" customHeight="1">
      <x:c r="A65" s="52" t="str"/>
      <x:c r="B65" s="13" t="str"/>
      <x:c r="C65" s="13" t="str"/>
      <x:c r="D65" s="13" t="str"/>
      <x:c r="E65" s="13" t="str"/>
      <x:c r="F65" s="13" t="str"/>
      <x:c r="G65" s="13" t="str"/>
      <x:c r="H65" s="13" t="str"/>
      <x:c r="I65" s="13" t="str">
        <x:v>☐</x:v>
      </x:c>
      <x:c r="J65" s="13" t="str"/>
      <x:c r="K65" s="13" t="str"/>
      <x:c r="L65" s="13" t="str"/>
      <x:c r="M65" s="13" t="str"/>
      <x:c r="N65" s="13" t="str"/>
      <x:c r="O65" s="13" t="str"/>
      <x:c r="P65" s="20" t="str"/>
    </x:row>
    <x:row r="66" ht="36" customHeight="1">
      <x:c r="A66" s="52" t="str"/>
      <x:c r="B66" s="13" t="str"/>
      <x:c r="C66" s="13" t="str"/>
      <x:c r="D66" s="13" t="str"/>
      <x:c r="E66" s="13" t="str"/>
      <x:c r="F66" s="13" t="str"/>
      <x:c r="G66" s="13" t="str"/>
      <x:c r="H66" s="13" t="str"/>
      <x:c r="I66" s="13" t="str">
        <x:v>☐</x:v>
      </x:c>
      <x:c r="J66" s="13" t="str"/>
      <x:c r="K66" s="13" t="str"/>
      <x:c r="L66" s="13" t="str"/>
      <x:c r="M66" s="13" t="str"/>
      <x:c r="N66" s="13" t="str"/>
      <x:c r="O66" s="13" t="str"/>
      <x:c r="P66" s="20" t="str"/>
    </x:row>
    <x:row r="67" ht="36" customHeight="1">
      <x:c r="A67" s="52" t="str"/>
      <x:c r="B67" s="13" t="str"/>
      <x:c r="C67" s="13" t="str"/>
      <x:c r="D67" s="13" t="str"/>
      <x:c r="E67" s="13" t="str"/>
      <x:c r="F67" s="13" t="str"/>
      <x:c r="G67" s="13" t="str"/>
      <x:c r="H67" s="13" t="str"/>
      <x:c r="I67" s="13" t="str">
        <x:v>☐</x:v>
      </x:c>
      <x:c r="J67" s="13" t="str"/>
      <x:c r="K67" s="13" t="str"/>
      <x:c r="L67" s="13" t="str"/>
      <x:c r="M67" s="13" t="str"/>
      <x:c r="N67" s="13" t="str"/>
      <x:c r="O67" s="13" t="str"/>
      <x:c r="P67" s="20" t="str"/>
    </x:row>
    <x:row r="68" ht="36" customHeight="1">
      <x:c r="A68" s="52" t="str"/>
      <x:c r="B68" s="13" t="str"/>
      <x:c r="C68" s="13" t="str"/>
      <x:c r="D68" s="13" t="str"/>
      <x:c r="E68" s="13" t="str"/>
      <x:c r="F68" s="13" t="str"/>
      <x:c r="G68" s="13" t="str"/>
      <x:c r="H68" s="13" t="str"/>
      <x:c r="I68" s="13" t="str">
        <x:v>☐</x:v>
      </x:c>
      <x:c r="J68" s="13" t="str"/>
      <x:c r="K68" s="13" t="str"/>
      <x:c r="L68" s="13" t="str"/>
      <x:c r="M68" s="13" t="str"/>
      <x:c r="N68" s="13" t="str"/>
      <x:c r="O68" s="13" t="str"/>
      <x:c r="P68" s="20" t="str"/>
    </x:row>
    <x:row r="69" ht="36" customHeight="1">
      <x:c r="A69" s="52" t="str"/>
      <x:c r="B69" s="13" t="str"/>
      <x:c r="C69" s="13" t="str"/>
      <x:c r="D69" s="13" t="str"/>
      <x:c r="E69" s="13" t="str"/>
      <x:c r="F69" s="13" t="str"/>
      <x:c r="G69" s="13" t="str"/>
      <x:c r="H69" s="13" t="str"/>
      <x:c r="I69" s="13" t="str">
        <x:v>☐</x:v>
      </x:c>
      <x:c r="J69" s="13" t="str"/>
      <x:c r="K69" s="13" t="str"/>
      <x:c r="L69" s="13" t="str"/>
      <x:c r="M69" s="13" t="str"/>
      <x:c r="N69" s="13" t="str"/>
      <x:c r="O69" s="13" t="str"/>
      <x:c r="P69" s="20" t="str"/>
    </x:row>
    <x:row r="70" ht="36" customHeight="1">
      <x:c r="A70" s="52" t="str"/>
      <x:c r="B70" s="13" t="str"/>
      <x:c r="C70" s="13" t="str"/>
      <x:c r="D70" s="13" t="str"/>
      <x:c r="E70" s="13" t="str"/>
      <x:c r="F70" s="13" t="str"/>
      <x:c r="G70" s="13" t="str"/>
      <x:c r="H70" s="13" t="str"/>
      <x:c r="I70" s="13" t="str">
        <x:v>☐</x:v>
      </x:c>
      <x:c r="J70" s="13" t="str"/>
      <x:c r="K70" s="13" t="str"/>
      <x:c r="L70" s="13" t="str"/>
      <x:c r="M70" s="13" t="str"/>
      <x:c r="N70" s="13" t="str"/>
      <x:c r="O70" s="13" t="str"/>
      <x:c r="P70" s="20" t="str"/>
    </x:row>
    <x:row r="71" ht="36" customHeight="1">
      <x:c r="A71" s="52" t="str"/>
      <x:c r="B71" s="13" t="str"/>
      <x:c r="C71" s="13" t="str"/>
      <x:c r="D71" s="13" t="str"/>
      <x:c r="E71" s="13" t="str"/>
      <x:c r="F71" s="13" t="str"/>
      <x:c r="G71" s="13" t="str"/>
      <x:c r="H71" s="13" t="str"/>
      <x:c r="I71" s="13" t="str">
        <x:v>☐</x:v>
      </x:c>
      <x:c r="J71" s="13" t="str"/>
      <x:c r="K71" s="13" t="str"/>
      <x:c r="L71" s="13" t="str"/>
      <x:c r="M71" s="13" t="str"/>
      <x:c r="N71" s="13" t="str"/>
      <x:c r="O71" s="13" t="str"/>
      <x:c r="P71" s="20" t="str"/>
    </x:row>
    <x:row r="72" ht="36" customHeight="1">
      <x:c r="A72" s="52" t="str"/>
      <x:c r="B72" s="13" t="str"/>
      <x:c r="C72" s="13" t="str"/>
      <x:c r="D72" s="13" t="str"/>
      <x:c r="E72" s="13" t="str"/>
      <x:c r="F72" s="13" t="str"/>
      <x:c r="G72" s="13" t="str"/>
      <x:c r="H72" s="13" t="str"/>
      <x:c r="I72" s="13" t="str">
        <x:v>☐</x:v>
      </x:c>
      <x:c r="J72" s="13" t="str"/>
      <x:c r="K72" s="13" t="str"/>
      <x:c r="L72" s="13" t="str"/>
      <x:c r="M72" s="13" t="str"/>
      <x:c r="N72" s="13" t="str"/>
      <x:c r="O72" s="13" t="str"/>
      <x:c r="P72" s="20" t="str"/>
    </x:row>
    <x:row r="73" ht="36" customHeight="1">
      <x:c r="A73" s="52" t="str"/>
      <x:c r="B73" s="13" t="str"/>
      <x:c r="C73" s="13" t="str"/>
      <x:c r="D73" s="13" t="str"/>
      <x:c r="E73" s="13" t="str"/>
      <x:c r="F73" s="13" t="str"/>
      <x:c r="G73" s="13" t="str"/>
      <x:c r="H73" s="13" t="str"/>
      <x:c r="I73" s="13" t="str">
        <x:v>☐</x:v>
      </x:c>
      <x:c r="J73" s="13" t="str"/>
      <x:c r="K73" s="13" t="str"/>
      <x:c r="L73" s="13" t="str"/>
      <x:c r="M73" s="13" t="str"/>
      <x:c r="N73" s="13" t="str"/>
      <x:c r="O73" s="13" t="str"/>
      <x:c r="P73" s="20" t="str"/>
    </x:row>
    <x:row r="74" ht="36" customHeight="1">
      <x:c r="A74" s="52" t="str"/>
      <x:c r="B74" s="13" t="str"/>
      <x:c r="C74" s="13" t="str"/>
      <x:c r="D74" s="13" t="str"/>
      <x:c r="E74" s="13" t="str"/>
      <x:c r="F74" s="13" t="str"/>
      <x:c r="G74" s="13" t="str"/>
      <x:c r="H74" s="13" t="str"/>
      <x:c r="I74" s="13" t="str">
        <x:v>☐</x:v>
      </x:c>
      <x:c r="J74" s="13" t="str"/>
      <x:c r="K74" s="13" t="str"/>
      <x:c r="L74" s="13" t="str"/>
      <x:c r="M74" s="13" t="str"/>
      <x:c r="N74" s="13" t="str"/>
      <x:c r="O74" s="13" t="str"/>
      <x:c r="P74" s="20" t="str"/>
    </x:row>
    <x:row r="75" ht="36" customHeight="1">
      <x:c r="A75" s="52" t="str"/>
      <x:c r="B75" s="13" t="str"/>
      <x:c r="C75" s="13" t="str"/>
      <x:c r="D75" s="13" t="str"/>
      <x:c r="E75" s="13" t="str"/>
      <x:c r="F75" s="13" t="str"/>
      <x:c r="G75" s="13" t="str"/>
      <x:c r="H75" s="13" t="str"/>
      <x:c r="I75" s="13" t="str">
        <x:v>☐</x:v>
      </x:c>
      <x:c r="J75" s="13" t="str"/>
      <x:c r="K75" s="13" t="str"/>
      <x:c r="L75" s="13" t="str"/>
      <x:c r="M75" s="13" t="str"/>
      <x:c r="N75" s="13" t="str"/>
      <x:c r="O75" s="13" t="str"/>
      <x:c r="P75" s="20" t="str"/>
    </x:row>
    <x:row r="76" ht="36" customHeight="1">
      <x:c r="A76" s="52" t="str"/>
      <x:c r="B76" s="13" t="str"/>
      <x:c r="C76" s="13" t="str"/>
      <x:c r="D76" s="13" t="str"/>
      <x:c r="E76" s="13" t="str"/>
      <x:c r="F76" s="13" t="str"/>
      <x:c r="G76" s="13" t="str"/>
      <x:c r="H76" s="13" t="str"/>
      <x:c r="I76" s="13" t="str">
        <x:v>☐</x:v>
      </x:c>
      <x:c r="J76" s="13" t="str"/>
      <x:c r="K76" s="13" t="str"/>
      <x:c r="L76" s="13" t="str"/>
      <x:c r="M76" s="13" t="str"/>
      <x:c r="N76" s="13" t="str"/>
      <x:c r="O76" s="13" t="str"/>
      <x:c r="P76" s="20" t="str"/>
    </x:row>
    <x:row r="77" ht="36" customHeight="1">
      <x:c r="A77" s="52" t="str"/>
      <x:c r="B77" s="13" t="str"/>
      <x:c r="C77" s="13" t="str"/>
      <x:c r="D77" s="13" t="str"/>
      <x:c r="E77" s="13" t="str"/>
      <x:c r="F77" s="13" t="str"/>
      <x:c r="G77" s="13" t="str"/>
      <x:c r="H77" s="13" t="str"/>
      <x:c r="I77" s="13" t="str">
        <x:v>☐</x:v>
      </x:c>
      <x:c r="J77" s="13" t="str"/>
      <x:c r="K77" s="13" t="str"/>
      <x:c r="L77" s="13" t="str"/>
      <x:c r="M77" s="13" t="str"/>
      <x:c r="N77" s="13" t="str"/>
      <x:c r="O77" s="13" t="str"/>
      <x:c r="P77" s="20" t="str"/>
    </x:row>
    <x:row r="78" ht="36" customHeight="1">
      <x:c r="A78" s="52" t="str"/>
      <x:c r="B78" s="13" t="str"/>
      <x:c r="C78" s="13" t="str"/>
      <x:c r="D78" s="13" t="str"/>
      <x:c r="E78" s="13" t="str"/>
      <x:c r="F78" s="13" t="str"/>
      <x:c r="G78" s="13" t="str"/>
      <x:c r="H78" s="13" t="str"/>
      <x:c r="I78" s="13" t="str">
        <x:v>☐</x:v>
      </x:c>
      <x:c r="J78" s="13" t="str"/>
      <x:c r="K78" s="13" t="str"/>
      <x:c r="L78" s="13" t="str"/>
      <x:c r="M78" s="13" t="str"/>
      <x:c r="N78" s="13" t="str"/>
      <x:c r="O78" s="13" t="str"/>
      <x:c r="P78" s="20" t="str"/>
    </x:row>
    <x:row r="79" ht="36" customHeight="1">
      <x:c r="A79" s="52" t="str"/>
      <x:c r="B79" s="13" t="str"/>
      <x:c r="C79" s="13" t="str"/>
      <x:c r="D79" s="13" t="str"/>
      <x:c r="E79" s="13" t="str"/>
      <x:c r="F79" s="13" t="str"/>
      <x:c r="G79" s="13" t="str"/>
      <x:c r="H79" s="13" t="str"/>
      <x:c r="I79" s="13" t="str">
        <x:v>☐</x:v>
      </x:c>
      <x:c r="J79" s="13" t="str"/>
      <x:c r="K79" s="13" t="str"/>
      <x:c r="L79" s="13" t="str"/>
      <x:c r="M79" s="13" t="str"/>
      <x:c r="N79" s="13" t="str"/>
      <x:c r="O79" s="13" t="str"/>
      <x:c r="P79" s="20" t="str"/>
    </x:row>
    <x:row r="80" ht="36" customHeight="1">
      <x:c r="A80" s="52" t="str"/>
      <x:c r="B80" s="13" t="str"/>
      <x:c r="C80" s="13" t="str"/>
      <x:c r="D80" s="13" t="str"/>
      <x:c r="E80" s="13" t="str"/>
      <x:c r="F80" s="13" t="str"/>
      <x:c r="G80" s="13" t="str"/>
      <x:c r="H80" s="13" t="str"/>
      <x:c r="I80" s="13" t="str">
        <x:v>☐</x:v>
      </x:c>
      <x:c r="J80" s="13" t="str"/>
      <x:c r="K80" s="13" t="str"/>
      <x:c r="L80" s="13" t="str"/>
      <x:c r="M80" s="13" t="str"/>
      <x:c r="N80" s="13" t="str"/>
      <x:c r="O80" s="13" t="str"/>
      <x:c r="P80" s="20" t="str"/>
    </x:row>
    <x:row r="81" ht="36" customHeight="1">
      <x:c r="A81" s="52" t="str"/>
      <x:c r="B81" s="13" t="str"/>
      <x:c r="C81" s="13" t="str"/>
      <x:c r="D81" s="13" t="str"/>
      <x:c r="E81" s="13" t="str"/>
      <x:c r="F81" s="13" t="str"/>
      <x:c r="G81" s="13" t="str"/>
      <x:c r="H81" s="13" t="str"/>
      <x:c r="I81" s="13" t="str">
        <x:v>☐</x:v>
      </x:c>
      <x:c r="J81" s="13" t="str"/>
      <x:c r="K81" s="13" t="str"/>
      <x:c r="L81" s="13" t="str"/>
      <x:c r="M81" s="13" t="str"/>
      <x:c r="N81" s="13" t="str"/>
      <x:c r="O81" s="13" t="str"/>
      <x:c r="P81" s="20" t="str"/>
    </x:row>
    <x:row r="82" ht="36" customHeight="1">
      <x:c r="A82" s="52" t="str"/>
      <x:c r="B82" s="13" t="str"/>
      <x:c r="C82" s="13" t="str"/>
      <x:c r="D82" s="13" t="str"/>
      <x:c r="E82" s="13" t="str"/>
      <x:c r="F82" s="13" t="str"/>
      <x:c r="G82" s="13" t="str"/>
      <x:c r="H82" s="13" t="str"/>
      <x:c r="I82" s="13" t="str">
        <x:v>☐</x:v>
      </x:c>
      <x:c r="J82" s="13" t="str"/>
      <x:c r="K82" s="13" t="str"/>
      <x:c r="L82" s="13" t="str"/>
      <x:c r="M82" s="13" t="str"/>
      <x:c r="N82" s="13" t="str"/>
      <x:c r="O82" s="13" t="str"/>
      <x:c r="P82" s="20" t="str"/>
    </x:row>
    <x:row r="83" ht="36" customHeight="1">
      <x:c r="A83" s="52" t="str"/>
      <x:c r="B83" s="13" t="str"/>
      <x:c r="C83" s="13" t="str"/>
      <x:c r="D83" s="13" t="str"/>
      <x:c r="E83" s="13" t="str"/>
      <x:c r="F83" s="13" t="str"/>
      <x:c r="G83" s="13" t="str"/>
      <x:c r="H83" s="13" t="str"/>
      <x:c r="I83" s="13" t="str">
        <x:v>☐</x:v>
      </x:c>
      <x:c r="J83" s="13" t="str"/>
      <x:c r="K83" s="13" t="str"/>
      <x:c r="L83" s="13" t="str"/>
      <x:c r="M83" s="13" t="str"/>
      <x:c r="N83" s="13" t="str"/>
      <x:c r="O83" s="13" t="str"/>
      <x:c r="P83" s="20" t="str"/>
    </x:row>
    <x:row r="84" ht="36" customHeight="1">
      <x:c r="A84" s="52" t="str"/>
      <x:c r="B84" s="13" t="str"/>
      <x:c r="C84" s="13" t="str"/>
      <x:c r="D84" s="13" t="str"/>
      <x:c r="E84" s="13" t="str"/>
      <x:c r="F84" s="13" t="str"/>
      <x:c r="G84" s="13" t="str"/>
      <x:c r="H84" s="13" t="str"/>
      <x:c r="I84" s="13" t="str">
        <x:v>☐</x:v>
      </x:c>
      <x:c r="J84" s="13" t="str"/>
      <x:c r="K84" s="13" t="str"/>
      <x:c r="L84" s="13" t="str"/>
      <x:c r="M84" s="13" t="str"/>
      <x:c r="N84" s="13" t="str"/>
      <x:c r="O84" s="13" t="str"/>
      <x:c r="P84" s="20" t="str"/>
    </x:row>
    <x:row r="85" ht="36" customHeight="1">
      <x:c r="A85" s="52" t="str"/>
      <x:c r="B85" s="13" t="str"/>
      <x:c r="C85" s="13" t="str"/>
      <x:c r="D85" s="13" t="str"/>
      <x:c r="E85" s="13" t="str"/>
      <x:c r="F85" s="13" t="str"/>
      <x:c r="G85" s="13" t="str"/>
      <x:c r="H85" s="13" t="str"/>
      <x:c r="I85" s="13" t="str">
        <x:v>☐</x:v>
      </x:c>
      <x:c r="J85" s="13" t="str"/>
      <x:c r="K85" s="13" t="str"/>
      <x:c r="L85" s="13" t="str"/>
      <x:c r="M85" s="13" t="str"/>
      <x:c r="N85" s="13" t="str"/>
      <x:c r="O85" s="13" t="str"/>
      <x:c r="P85" s="20" t="str"/>
    </x:row>
    <x:row r="86" ht="36" customHeight="1">
      <x:c r="A86" s="52" t="str"/>
      <x:c r="B86" s="13" t="str"/>
      <x:c r="C86" s="13" t="str"/>
      <x:c r="D86" s="13" t="str"/>
      <x:c r="E86" s="13" t="str"/>
      <x:c r="F86" s="13" t="str"/>
      <x:c r="G86" s="13" t="str"/>
      <x:c r="H86" s="13" t="str"/>
      <x:c r="I86" s="13" t="str">
        <x:v>☐</x:v>
      </x:c>
      <x:c r="J86" s="13" t="str"/>
      <x:c r="K86" s="13" t="str"/>
      <x:c r="L86" s="13" t="str"/>
      <x:c r="M86" s="13" t="str"/>
      <x:c r="N86" s="13" t="str"/>
      <x:c r="O86" s="13" t="str"/>
      <x:c r="P86" s="20" t="str"/>
    </x:row>
    <x:row r="87" ht="36" customHeight="1">
      <x:c r="A87" s="52" t="str"/>
      <x:c r="B87" s="13" t="str"/>
      <x:c r="C87" s="13" t="str"/>
      <x:c r="D87" s="13" t="str"/>
      <x:c r="E87" s="13" t="str"/>
      <x:c r="F87" s="13" t="str"/>
      <x:c r="G87" s="13" t="str"/>
      <x:c r="H87" s="13" t="str"/>
      <x:c r="I87" s="13" t="str">
        <x:v>☐</x:v>
      </x:c>
      <x:c r="J87" s="13" t="str"/>
      <x:c r="K87" s="13" t="str"/>
      <x:c r="L87" s="13" t="str"/>
      <x:c r="M87" s="13" t="str"/>
      <x:c r="N87" s="13" t="str"/>
      <x:c r="O87" s="13" t="str"/>
      <x:c r="P87" s="20" t="str"/>
    </x:row>
    <x:row r="88" ht="36" customHeight="1">
      <x:c r="A88" s="52" t="str"/>
      <x:c r="B88" s="13" t="str"/>
      <x:c r="C88" s="13" t="str"/>
      <x:c r="D88" s="13" t="str"/>
      <x:c r="E88" s="13" t="str"/>
      <x:c r="F88" s="13" t="str"/>
      <x:c r="G88" s="13" t="str"/>
      <x:c r="H88" s="13" t="str"/>
      <x:c r="I88" s="13" t="str">
        <x:v>☐</x:v>
      </x:c>
      <x:c r="J88" s="13" t="str"/>
      <x:c r="K88" s="13" t="str"/>
      <x:c r="L88" s="13" t="str"/>
      <x:c r="M88" s="13" t="str"/>
      <x:c r="N88" s="13" t="str"/>
      <x:c r="O88" s="13" t="str"/>
      <x:c r="P88" s="20" t="str"/>
    </x:row>
    <x:row r="89" ht="36" customHeight="1">
      <x:c r="A89" s="52" t="str"/>
      <x:c r="B89" s="13" t="str"/>
      <x:c r="C89" s="13" t="str"/>
      <x:c r="D89" s="13" t="str"/>
      <x:c r="E89" s="13" t="str"/>
      <x:c r="F89" s="13" t="str"/>
      <x:c r="G89" s="13" t="str"/>
      <x:c r="H89" s="13" t="str"/>
      <x:c r="I89" s="13" t="str">
        <x:v>☐</x:v>
      </x:c>
      <x:c r="J89" s="13" t="str"/>
      <x:c r="K89" s="13" t="str"/>
      <x:c r="L89" s="13" t="str"/>
      <x:c r="M89" s="13" t="str"/>
      <x:c r="N89" s="13" t="str"/>
      <x:c r="O89" s="13" t="str"/>
      <x:c r="P89" s="20" t="str"/>
    </x:row>
    <x:row r="90" ht="36" customHeight="1">
      <x:c r="A90" s="52" t="str"/>
      <x:c r="B90" s="13" t="str"/>
      <x:c r="C90" s="13" t="str"/>
      <x:c r="D90" s="13" t="str"/>
      <x:c r="E90" s="13" t="str"/>
      <x:c r="F90" s="13" t="str"/>
      <x:c r="G90" s="13" t="str"/>
      <x:c r="H90" s="13" t="str"/>
      <x:c r="I90" s="13" t="str">
        <x:v>☐</x:v>
      </x:c>
      <x:c r="J90" s="13" t="str"/>
      <x:c r="K90" s="13" t="str"/>
      <x:c r="L90" s="13" t="str"/>
      <x:c r="M90" s="13" t="str"/>
      <x:c r="N90" s="13" t="str"/>
      <x:c r="O90" s="13" t="str"/>
      <x:c r="P90" s="20" t="str"/>
    </x:row>
    <x:row r="91" ht="36" customHeight="1">
      <x:c r="A91" s="52" t="str"/>
      <x:c r="B91" s="13" t="str"/>
      <x:c r="C91" s="13" t="str"/>
      <x:c r="D91" s="13" t="str"/>
      <x:c r="E91" s="13" t="str"/>
      <x:c r="F91" s="13" t="str"/>
      <x:c r="G91" s="13" t="str"/>
      <x:c r="H91" s="13" t="str"/>
      <x:c r="I91" s="13" t="str">
        <x:v>☐</x:v>
      </x:c>
      <x:c r="J91" s="13" t="str"/>
      <x:c r="K91" s="13" t="str"/>
      <x:c r="L91" s="13" t="str"/>
      <x:c r="M91" s="13" t="str"/>
      <x:c r="N91" s="13" t="str"/>
      <x:c r="O91" s="13" t="str"/>
      <x:c r="P91" s="20" t="str"/>
    </x:row>
    <x:row r="92" ht="36" customHeight="1">
      <x:c r="A92" s="52" t="str"/>
      <x:c r="B92" s="13" t="str"/>
      <x:c r="C92" s="13" t="str"/>
      <x:c r="D92" s="13" t="str"/>
      <x:c r="E92" s="13" t="str"/>
      <x:c r="F92" s="13" t="str"/>
      <x:c r="G92" s="13" t="str"/>
      <x:c r="H92" s="13" t="str"/>
      <x:c r="I92" s="13" t="str">
        <x:v>☐</x:v>
      </x:c>
      <x:c r="J92" s="13" t="str"/>
      <x:c r="K92" s="13" t="str"/>
      <x:c r="L92" s="13" t="str"/>
      <x:c r="M92" s="13" t="str"/>
      <x:c r="N92" s="13" t="str"/>
      <x:c r="O92" s="13" t="str"/>
      <x:c r="P92" s="20" t="str"/>
    </x:row>
    <x:row r="93" ht="36" customHeight="1">
      <x:c r="A93" s="52" t="str"/>
      <x:c r="B93" s="13" t="str"/>
      <x:c r="C93" s="13" t="str"/>
      <x:c r="D93" s="13" t="str"/>
      <x:c r="E93" s="13" t="str"/>
      <x:c r="F93" s="13" t="str"/>
      <x:c r="G93" s="13" t="str"/>
      <x:c r="H93" s="13" t="str"/>
      <x:c r="I93" s="13" t="str">
        <x:v>☐</x:v>
      </x:c>
      <x:c r="J93" s="13" t="str"/>
      <x:c r="K93" s="13" t="str"/>
      <x:c r="L93" s="13" t="str"/>
      <x:c r="M93" s="13" t="str"/>
      <x:c r="N93" s="13" t="str"/>
      <x:c r="O93" s="13" t="str"/>
      <x:c r="P93" s="20" t="str"/>
    </x:row>
    <x:row r="94" ht="36" customHeight="1">
      <x:c r="A94" s="52" t="str"/>
      <x:c r="B94" s="13" t="str"/>
      <x:c r="C94" s="13" t="str"/>
      <x:c r="D94" s="13" t="str"/>
      <x:c r="E94" s="13" t="str"/>
      <x:c r="F94" s="13" t="str"/>
      <x:c r="G94" s="13" t="str"/>
      <x:c r="H94" s="13" t="str"/>
      <x:c r="I94" s="13" t="str">
        <x:v>☐</x:v>
      </x:c>
      <x:c r="J94" s="13" t="str"/>
      <x:c r="K94" s="13" t="str"/>
      <x:c r="L94" s="13" t="str"/>
      <x:c r="M94" s="13" t="str"/>
      <x:c r="N94" s="13" t="str"/>
      <x:c r="O94" s="13" t="str"/>
      <x:c r="P94" s="20" t="str"/>
    </x:row>
    <x:row r="95" ht="36" customHeight="1">
      <x:c r="A95" s="52" t="str"/>
      <x:c r="B95" s="13" t="str"/>
      <x:c r="C95" s="13" t="str"/>
      <x:c r="D95" s="13" t="str"/>
      <x:c r="E95" s="13" t="str"/>
      <x:c r="F95" s="13" t="str"/>
      <x:c r="G95" s="13" t="str"/>
      <x:c r="H95" s="13" t="str"/>
      <x:c r="I95" s="13" t="str">
        <x:v>☐</x:v>
      </x:c>
      <x:c r="J95" s="13" t="str"/>
      <x:c r="K95" s="13" t="str"/>
      <x:c r="L95" s="13" t="str"/>
      <x:c r="M95" s="13" t="str"/>
      <x:c r="N95" s="13" t="str"/>
      <x:c r="O95" s="13" t="str"/>
      <x:c r="P95" s="20" t="str"/>
    </x:row>
    <x:row r="96" ht="36" customHeight="1">
      <x:c r="A96" s="52" t="str"/>
      <x:c r="B96" s="13" t="str"/>
      <x:c r="C96" s="13" t="str"/>
      <x:c r="D96" s="13" t="str"/>
      <x:c r="E96" s="13" t="str"/>
      <x:c r="F96" s="13" t="str"/>
      <x:c r="G96" s="13" t="str"/>
      <x:c r="H96" s="13" t="str"/>
      <x:c r="I96" s="13" t="str">
        <x:v>☐</x:v>
      </x:c>
      <x:c r="J96" s="13" t="str"/>
      <x:c r="K96" s="13" t="str"/>
      <x:c r="L96" s="13" t="str"/>
      <x:c r="M96" s="13" t="str"/>
      <x:c r="N96" s="13" t="str"/>
      <x:c r="O96" s="13" t="str"/>
      <x:c r="P96" s="20" t="str"/>
    </x:row>
    <x:row r="97" ht="36" customHeight="1">
      <x:c r="A97" s="52" t="str"/>
      <x:c r="B97" s="13" t="str"/>
      <x:c r="C97" s="13" t="str"/>
      <x:c r="D97" s="13" t="str"/>
      <x:c r="E97" s="13" t="str"/>
      <x:c r="F97" s="13" t="str"/>
      <x:c r="G97" s="13" t="str"/>
      <x:c r="H97" s="13" t="str"/>
      <x:c r="I97" s="13" t="str">
        <x:v>☐</x:v>
      </x:c>
      <x:c r="J97" s="13" t="str"/>
      <x:c r="K97" s="13" t="str"/>
      <x:c r="L97" s="13" t="str"/>
      <x:c r="M97" s="13" t="str"/>
      <x:c r="N97" s="13" t="str"/>
      <x:c r="O97" s="13" t="str"/>
      <x:c r="P97" s="20" t="str"/>
    </x:row>
    <x:row r="98" ht="36" customHeight="1">
      <x:c r="A98" s="52" t="str"/>
      <x:c r="B98" s="13" t="str"/>
      <x:c r="C98" s="13" t="str"/>
      <x:c r="D98" s="13" t="str"/>
      <x:c r="E98" s="13" t="str"/>
      <x:c r="F98" s="13" t="str"/>
      <x:c r="G98" s="13" t="str"/>
      <x:c r="H98" s="13" t="str"/>
      <x:c r="I98" s="13" t="str">
        <x:v>☐</x:v>
      </x:c>
      <x:c r="J98" s="13" t="str"/>
      <x:c r="K98" s="13" t="str"/>
      <x:c r="L98" s="13" t="str"/>
      <x:c r="M98" s="13" t="str"/>
      <x:c r="N98" s="13" t="str"/>
      <x:c r="O98" s="13" t="str"/>
      <x:c r="P98" s="20" t="str"/>
    </x:row>
    <x:row r="99" ht="36" customHeight="1">
      <x:c r="A99" s="52" t="str"/>
      <x:c r="B99" s="13" t="str"/>
      <x:c r="C99" s="13" t="str"/>
      <x:c r="D99" s="13" t="str"/>
      <x:c r="E99" s="13" t="str"/>
      <x:c r="F99" s="13" t="str"/>
      <x:c r="G99" s="13" t="str"/>
      <x:c r="H99" s="13" t="str"/>
      <x:c r="I99" s="13" t="str">
        <x:v>☐</x:v>
      </x:c>
      <x:c r="J99" s="13" t="str"/>
      <x:c r="K99" s="13" t="str"/>
      <x:c r="L99" s="13" t="str"/>
      <x:c r="M99" s="13" t="str"/>
      <x:c r="N99" s="13" t="str"/>
      <x:c r="O99" s="13" t="str"/>
      <x:c r="P99" s="20" t="str"/>
    </x:row>
    <x:row r="100" ht="36" customHeight="1">
      <x:c r="A100" s="52" t="str"/>
      <x:c r="B100" s="13" t="str"/>
      <x:c r="C100" s="13" t="str"/>
      <x:c r="D100" s="13" t="str"/>
      <x:c r="E100" s="13" t="str"/>
      <x:c r="F100" s="13" t="str"/>
      <x:c r="G100" s="13" t="str"/>
      <x:c r="H100" s="13" t="str"/>
      <x:c r="I100" s="13" t="str">
        <x:v>☐</x:v>
      </x:c>
      <x:c r="J100" s="13" t="str"/>
      <x:c r="K100" s="13" t="str"/>
      <x:c r="L100" s="13" t="str"/>
      <x:c r="M100" s="13" t="str"/>
      <x:c r="N100" s="13" t="str"/>
      <x:c r="O100" s="13" t="str"/>
      <x:c r="P100" s="20" t="str"/>
    </x:row>
    <x:row r="101" ht="36" customHeight="1">
      <x:c r="A101" s="52" t="str"/>
      <x:c r="B101" s="13" t="str"/>
      <x:c r="C101" s="13" t="str"/>
      <x:c r="D101" s="13" t="str"/>
      <x:c r="E101" s="13" t="str"/>
      <x:c r="F101" s="13" t="str"/>
      <x:c r="G101" s="13" t="str"/>
      <x:c r="H101" s="13" t="str"/>
      <x:c r="I101" s="13" t="str">
        <x:v>☐</x:v>
      </x:c>
      <x:c r="J101" s="13" t="str"/>
      <x:c r="K101" s="13" t="str"/>
      <x:c r="L101" s="13" t="str"/>
      <x:c r="M101" s="13" t="str"/>
      <x:c r="N101" s="13" t="str"/>
      <x:c r="O101" s="13" t="str"/>
      <x:c r="P101" s="20" t="str"/>
    </x:row>
    <x:row r="102" ht="36" customHeight="1">
      <x:c r="A102" s="52" t="str"/>
      <x:c r="B102" s="13" t="str"/>
      <x:c r="C102" s="13" t="str"/>
      <x:c r="D102" s="13" t="str"/>
      <x:c r="E102" s="13" t="str"/>
      <x:c r="F102" s="13" t="str"/>
      <x:c r="G102" s="13" t="str"/>
      <x:c r="H102" s="13" t="str"/>
      <x:c r="I102" s="13" t="str">
        <x:v>☐</x:v>
      </x:c>
      <x:c r="J102" s="13" t="str"/>
      <x:c r="K102" s="13" t="str"/>
      <x:c r="L102" s="13" t="str"/>
      <x:c r="M102" s="13" t="str"/>
      <x:c r="N102" s="13" t="str"/>
      <x:c r="O102" s="13" t="str"/>
      <x:c r="P102" s="20" t="str"/>
    </x:row>
    <x:row r="103" ht="36" customHeight="1">
      <x:c r="A103" s="52" t="str"/>
      <x:c r="B103" s="13" t="str"/>
      <x:c r="C103" s="13" t="str"/>
      <x:c r="D103" s="13" t="str"/>
      <x:c r="E103" s="13" t="str"/>
      <x:c r="F103" s="13" t="str"/>
      <x:c r="G103" s="13" t="str"/>
      <x:c r="H103" s="13" t="str"/>
      <x:c r="I103" s="13" t="str">
        <x:v>☐</x:v>
      </x:c>
      <x:c r="J103" s="13" t="str"/>
      <x:c r="K103" s="13" t="str"/>
      <x:c r="L103" s="13" t="str"/>
      <x:c r="M103" s="13" t="str"/>
      <x:c r="N103" s="13" t="str"/>
      <x:c r="O103" s="13" t="str"/>
      <x:c r="P103" s="20" t="str"/>
    </x:row>
    <x:row r="104" ht="36" customHeight="1">
      <x:c r="A104" s="52" t="str"/>
      <x:c r="B104" s="13" t="str"/>
      <x:c r="C104" s="13" t="str"/>
      <x:c r="D104" s="13" t="str"/>
      <x:c r="E104" s="13" t="str"/>
      <x:c r="F104" s="13" t="str"/>
      <x:c r="G104" s="13" t="str"/>
      <x:c r="H104" s="13" t="str"/>
      <x:c r="I104" s="13" t="str">
        <x:v>☐</x:v>
      </x:c>
      <x:c r="J104" s="13" t="str"/>
      <x:c r="K104" s="13" t="str"/>
      <x:c r="L104" s="13" t="str"/>
      <x:c r="M104" s="13" t="str"/>
      <x:c r="N104" s="13" t="str"/>
      <x:c r="O104" s="13" t="str"/>
      <x:c r="P104" s="20" t="str"/>
    </x:row>
    <x:row r="105" ht="36" customHeight="1">
      <x:c r="A105" s="52" t="str"/>
      <x:c r="B105" s="13" t="str"/>
      <x:c r="C105" s="13" t="str"/>
      <x:c r="D105" s="13" t="str"/>
      <x:c r="E105" s="13" t="str"/>
      <x:c r="F105" s="13" t="str"/>
      <x:c r="G105" s="13" t="str"/>
      <x:c r="H105" s="13" t="str"/>
      <x:c r="I105" s="13" t="str">
        <x:v>☐</x:v>
      </x:c>
      <x:c r="J105" s="13" t="str"/>
      <x:c r="K105" s="13" t="str"/>
      <x:c r="L105" s="13" t="str"/>
      <x:c r="M105" s="13" t="str"/>
      <x:c r="N105" s="13" t="str"/>
      <x:c r="O105" s="13" t="str"/>
      <x:c r="P105" s="20" t="str"/>
    </x:row>
    <x:row r="106" ht="36" customHeight="1">
      <x:c r="A106" s="52" t="str"/>
      <x:c r="B106" s="13" t="str"/>
      <x:c r="C106" s="13" t="str"/>
      <x:c r="D106" s="13" t="str"/>
      <x:c r="E106" s="13" t="str"/>
      <x:c r="F106" s="13" t="str"/>
      <x:c r="G106" s="13" t="str"/>
      <x:c r="H106" s="13" t="str"/>
      <x:c r="I106" s="13" t="str">
        <x:v>☐</x:v>
      </x:c>
      <x:c r="J106" s="13" t="str"/>
      <x:c r="K106" s="13" t="str"/>
      <x:c r="L106" s="13" t="str"/>
      <x:c r="M106" s="13" t="str"/>
      <x:c r="N106" s="13" t="str"/>
      <x:c r="O106" s="13" t="str"/>
      <x:c r="P106" s="20" t="str"/>
    </x:row>
    <x:row r="107" ht="36" customHeight="1">
      <x:c r="A107" s="52" t="str"/>
      <x:c r="B107" s="13" t="str"/>
      <x:c r="C107" s="13" t="str"/>
      <x:c r="D107" s="13" t="str"/>
      <x:c r="E107" s="13" t="str"/>
      <x:c r="F107" s="13" t="str"/>
      <x:c r="G107" s="13" t="str"/>
      <x:c r="H107" s="13" t="str"/>
      <x:c r="I107" s="13" t="str">
        <x:v>☐</x:v>
      </x:c>
      <x:c r="J107" s="13" t="str"/>
      <x:c r="K107" s="13" t="str"/>
      <x:c r="L107" s="13" t="str"/>
      <x:c r="M107" s="13" t="str"/>
      <x:c r="N107" s="13" t="str"/>
      <x:c r="O107" s="13" t="str"/>
      <x:c r="P107" s="20" t="str"/>
    </x:row>
    <x:row r="108" ht="36" customHeight="1">
      <x:c r="A108" s="52" t="str"/>
      <x:c r="B108" s="13" t="str"/>
      <x:c r="C108" s="13" t="str"/>
      <x:c r="D108" s="13" t="str"/>
      <x:c r="E108" s="13" t="str"/>
      <x:c r="F108" s="13" t="str"/>
      <x:c r="G108" s="13" t="str"/>
      <x:c r="H108" s="13" t="str"/>
      <x:c r="I108" s="13" t="str">
        <x:v>☐</x:v>
      </x:c>
      <x:c r="J108" s="13" t="str"/>
      <x:c r="K108" s="13" t="str"/>
      <x:c r="L108" s="13" t="str"/>
      <x:c r="M108" s="13" t="str"/>
      <x:c r="N108" s="13" t="str"/>
      <x:c r="O108" s="13" t="str"/>
      <x:c r="P108" s="20" t="str"/>
    </x:row>
    <x:row r="109" ht="36" customHeight="1">
      <x:c r="A109" s="52" t="str"/>
      <x:c r="B109" s="13" t="str"/>
      <x:c r="C109" s="13" t="str"/>
      <x:c r="D109" s="13" t="str"/>
      <x:c r="E109" s="13" t="str"/>
      <x:c r="F109" s="13" t="str"/>
      <x:c r="G109" s="13" t="str"/>
      <x:c r="H109" s="13" t="str"/>
      <x:c r="I109" s="13" t="str">
        <x:v>☐</x:v>
      </x:c>
      <x:c r="J109" s="13" t="str"/>
      <x:c r="K109" s="13" t="str"/>
      <x:c r="L109" s="13" t="str"/>
      <x:c r="M109" s="13" t="str"/>
      <x:c r="N109" s="13" t="str"/>
      <x:c r="O109" s="13" t="str"/>
      <x:c r="P109" s="20" t="str"/>
    </x:row>
    <x:row r="110" ht="36" customHeight="1">
      <x:c r="A110" s="52" t="str"/>
      <x:c r="B110" s="13" t="str"/>
      <x:c r="C110" s="13" t="str"/>
      <x:c r="D110" s="13" t="str"/>
      <x:c r="E110" s="13" t="str"/>
      <x:c r="F110" s="13" t="str"/>
      <x:c r="G110" s="13" t="str"/>
      <x:c r="H110" s="13" t="str"/>
      <x:c r="I110" s="13" t="str">
        <x:v>☐</x:v>
      </x:c>
      <x:c r="J110" s="13" t="str"/>
      <x:c r="K110" s="13" t="str"/>
      <x:c r="L110" s="13" t="str"/>
      <x:c r="M110" s="13" t="str"/>
      <x:c r="N110" s="13" t="str"/>
      <x:c r="O110" s="13" t="str"/>
      <x:c r="P110" s="20" t="str"/>
    </x:row>
    <x:row r="111" ht="36" customHeight="1">
      <x:c r="A111" s="52" t="str"/>
      <x:c r="B111" s="13" t="str"/>
      <x:c r="C111" s="13" t="str"/>
      <x:c r="D111" s="13" t="str"/>
      <x:c r="E111" s="13" t="str"/>
      <x:c r="F111" s="13" t="str"/>
      <x:c r="G111" s="13" t="str"/>
      <x:c r="H111" s="13" t="str"/>
      <x:c r="I111" s="13" t="str">
        <x:v>☐</x:v>
      </x:c>
      <x:c r="J111" s="13" t="str"/>
      <x:c r="K111" s="13" t="str"/>
      <x:c r="L111" s="13" t="str"/>
      <x:c r="M111" s="13" t="str"/>
      <x:c r="N111" s="13" t="str"/>
      <x:c r="O111" s="13" t="str"/>
      <x:c r="P111" s="20" t="str"/>
    </x:row>
    <x:row r="112" ht="36" customHeight="1">
      <x:c r="A112" s="52" t="str"/>
      <x:c r="B112" s="13" t="str"/>
      <x:c r="C112" s="13" t="str"/>
      <x:c r="D112" s="13" t="str"/>
      <x:c r="E112" s="13" t="str"/>
      <x:c r="F112" s="13" t="str"/>
      <x:c r="G112" s="13" t="str"/>
      <x:c r="H112" s="13" t="str"/>
      <x:c r="I112" s="13" t="str">
        <x:v>☐</x:v>
      </x:c>
      <x:c r="J112" s="13" t="str"/>
      <x:c r="K112" s="13" t="str"/>
      <x:c r="L112" s="13" t="str"/>
      <x:c r="M112" s="13" t="str"/>
      <x:c r="N112" s="13" t="str"/>
      <x:c r="O112" s="13" t="str"/>
      <x:c r="P112" s="20" t="str"/>
    </x:row>
    <x:row r="113" ht="36" customHeight="1">
      <x:c r="A113" s="52" t="str"/>
      <x:c r="B113" s="13" t="str"/>
      <x:c r="C113" s="13" t="str"/>
      <x:c r="D113" s="13" t="str"/>
      <x:c r="E113" s="13" t="str"/>
      <x:c r="F113" s="13" t="str"/>
      <x:c r="G113" s="13" t="str"/>
      <x:c r="H113" s="13" t="str"/>
      <x:c r="I113" s="13" t="str">
        <x:v>☐</x:v>
      </x:c>
      <x:c r="J113" s="13" t="str"/>
      <x:c r="K113" s="13" t="str"/>
      <x:c r="L113" s="13" t="str"/>
      <x:c r="M113" s="13" t="str"/>
      <x:c r="N113" s="13" t="str"/>
      <x:c r="O113" s="13" t="str"/>
      <x:c r="P113" s="20" t="str"/>
    </x:row>
    <x:row r="114" ht="36" customHeight="1">
      <x:c r="A114" s="52" t="str"/>
      <x:c r="B114" s="13" t="str"/>
      <x:c r="C114" s="13" t="str"/>
      <x:c r="D114" s="13" t="str"/>
      <x:c r="E114" s="13" t="str"/>
      <x:c r="F114" s="13" t="str"/>
      <x:c r="G114" s="13" t="str"/>
      <x:c r="H114" s="13" t="str"/>
      <x:c r="I114" s="13" t="str">
        <x:v>☐</x:v>
      </x:c>
      <x:c r="J114" s="13" t="str"/>
      <x:c r="K114" s="13" t="str"/>
      <x:c r="L114" s="13" t="str"/>
      <x:c r="M114" s="13" t="str"/>
      <x:c r="N114" s="13" t="str"/>
      <x:c r="O114" s="13" t="str"/>
      <x:c r="P114" s="20" t="str"/>
    </x:row>
    <x:row r="115" ht="36" customHeight="1">
      <x:c r="A115" s="52" t="str"/>
      <x:c r="B115" s="13" t="str"/>
      <x:c r="C115" s="13" t="str"/>
      <x:c r="D115" s="13" t="str"/>
      <x:c r="E115" s="13" t="str"/>
      <x:c r="F115" s="13" t="str"/>
      <x:c r="G115" s="13" t="str"/>
      <x:c r="H115" s="13" t="str"/>
      <x:c r="I115" s="13" t="str">
        <x:v>☐</x:v>
      </x:c>
      <x:c r="J115" s="13" t="str"/>
      <x:c r="K115" s="13" t="str"/>
      <x:c r="L115" s="13" t="str"/>
      <x:c r="M115" s="13" t="str"/>
      <x:c r="N115" s="13" t="str"/>
      <x:c r="O115" s="13" t="str"/>
      <x:c r="P115" s="20" t="str"/>
    </x:row>
    <x:row r="116" ht="36" customHeight="1">
      <x:c r="A116" s="52" t="str"/>
      <x:c r="B116" s="13" t="str"/>
      <x:c r="C116" s="13" t="str"/>
      <x:c r="D116" s="13" t="str"/>
      <x:c r="E116" s="13" t="str"/>
      <x:c r="F116" s="13" t="str"/>
      <x:c r="G116" s="13" t="str"/>
      <x:c r="H116" s="13" t="str"/>
      <x:c r="I116" s="13" t="str">
        <x:v>☐</x:v>
      </x:c>
      <x:c r="J116" s="13" t="str"/>
      <x:c r="K116" s="13" t="str"/>
      <x:c r="L116" s="13" t="str"/>
      <x:c r="M116" s="13" t="str"/>
      <x:c r="N116" s="13" t="str"/>
      <x:c r="O116" s="13" t="str"/>
      <x:c r="P116" s="20" t="str"/>
    </x:row>
    <x:row r="117" ht="36" customHeight="1">
      <x:c r="A117" s="52" t="str"/>
      <x:c r="B117" s="13" t="str"/>
      <x:c r="C117" s="13" t="str"/>
      <x:c r="D117" s="13" t="str"/>
      <x:c r="E117" s="13" t="str"/>
      <x:c r="F117" s="13" t="str"/>
      <x:c r="G117" s="13" t="str"/>
      <x:c r="H117" s="13" t="str"/>
      <x:c r="I117" s="13" t="str">
        <x:v>☐</x:v>
      </x:c>
      <x:c r="J117" s="13" t="str"/>
      <x:c r="K117" s="13" t="str"/>
      <x:c r="L117" s="13" t="str"/>
      <x:c r="M117" s="13" t="str"/>
      <x:c r="N117" s="13" t="str"/>
      <x:c r="O117" s="13" t="str"/>
      <x:c r="P117" s="20" t="str"/>
    </x:row>
    <x:row r="118" ht="36" customHeight="1">
      <x:c r="A118" s="52" t="str"/>
      <x:c r="B118" s="13" t="str"/>
      <x:c r="C118" s="13" t="str"/>
      <x:c r="D118" s="13" t="str"/>
      <x:c r="E118" s="13" t="str"/>
      <x:c r="F118" s="13" t="str"/>
      <x:c r="G118" s="13" t="str"/>
      <x:c r="H118" s="13" t="str"/>
      <x:c r="I118" s="13" t="str">
        <x:v>☐</x:v>
      </x:c>
      <x:c r="J118" s="13" t="str"/>
      <x:c r="K118" s="13" t="str"/>
      <x:c r="L118" s="13" t="str"/>
      <x:c r="M118" s="13" t="str"/>
      <x:c r="N118" s="13" t="str"/>
      <x:c r="O118" s="13" t="str"/>
      <x:c r="P118" s="20" t="str"/>
    </x:row>
    <x:row r="119" ht="36" customHeight="1">
      <x:c r="A119" s="52" t="str"/>
      <x:c r="B119" s="13" t="str"/>
      <x:c r="C119" s="13" t="str"/>
      <x:c r="D119" s="13" t="str"/>
      <x:c r="E119" s="13" t="str"/>
      <x:c r="F119" s="13" t="str"/>
      <x:c r="G119" s="13" t="str"/>
      <x:c r="H119" s="13" t="str"/>
      <x:c r="I119" s="13" t="str">
        <x:v>☐</x:v>
      </x:c>
      <x:c r="J119" s="13" t="str"/>
      <x:c r="K119" s="13" t="str"/>
      <x:c r="L119" s="13" t="str"/>
      <x:c r="M119" s="13" t="str"/>
      <x:c r="N119" s="13" t="str"/>
      <x:c r="O119" s="13" t="str"/>
      <x:c r="P119" s="20" t="str"/>
    </x:row>
    <x:row r="120" ht="36" customHeight="1">
      <x:c r="A120" s="52" t="str"/>
      <x:c r="B120" s="13" t="str"/>
      <x:c r="C120" s="13" t="str"/>
      <x:c r="D120" s="13" t="str"/>
      <x:c r="E120" s="13" t="str"/>
      <x:c r="F120" s="13" t="str"/>
      <x:c r="G120" s="13" t="str"/>
      <x:c r="H120" s="13" t="str"/>
      <x:c r="I120" s="13" t="str">
        <x:v>☐</x:v>
      </x:c>
      <x:c r="J120" s="13" t="str"/>
      <x:c r="K120" s="13" t="str"/>
      <x:c r="L120" s="13" t="str"/>
      <x:c r="M120" s="13" t="str"/>
      <x:c r="N120" s="13" t="str"/>
      <x:c r="O120" s="13" t="str"/>
      <x:c r="P120" s="20" t="str"/>
    </x:row>
    <x:row r="121" ht="36" customHeight="1">
      <x:c r="A121" s="52" t="str"/>
      <x:c r="B121" s="13" t="str"/>
      <x:c r="C121" s="13" t="str"/>
      <x:c r="D121" s="13" t="str"/>
      <x:c r="E121" s="13" t="str"/>
      <x:c r="F121" s="13" t="str"/>
      <x:c r="G121" s="13" t="str"/>
      <x:c r="H121" s="13" t="str"/>
      <x:c r="I121" s="13" t="str">
        <x:v>☐</x:v>
      </x:c>
      <x:c r="J121" s="13" t="str"/>
      <x:c r="K121" s="13" t="str"/>
      <x:c r="L121" s="13" t="str"/>
      <x:c r="M121" s="13" t="str"/>
      <x:c r="N121" s="13" t="str"/>
      <x:c r="O121" s="13" t="str"/>
      <x:c r="P121" s="20" t="str"/>
    </x:row>
    <x:row r="122" ht="36" customHeight="1">
      <x:c r="A122" s="52" t="str"/>
      <x:c r="B122" s="13" t="str"/>
      <x:c r="C122" s="13" t="str"/>
      <x:c r="D122" s="13" t="str"/>
      <x:c r="E122" s="13" t="str"/>
      <x:c r="F122" s="13" t="str"/>
      <x:c r="G122" s="13" t="str"/>
      <x:c r="H122" s="13" t="str"/>
      <x:c r="I122" s="13" t="str">
        <x:v>☐</x:v>
      </x:c>
      <x:c r="J122" s="13" t="str"/>
      <x:c r="K122" s="13" t="str"/>
      <x:c r="L122" s="13" t="str"/>
      <x:c r="M122" s="13" t="str"/>
      <x:c r="N122" s="13" t="str"/>
      <x:c r="O122" s="13" t="str"/>
      <x:c r="P122" s="20" t="str"/>
    </x:row>
    <x:row r="123" ht="36" customHeight="1">
      <x:c r="A123" s="52" t="str"/>
      <x:c r="B123" s="13" t="str"/>
      <x:c r="C123" s="13" t="str"/>
      <x:c r="D123" s="13" t="str"/>
      <x:c r="E123" s="13" t="str"/>
      <x:c r="F123" s="13" t="str"/>
      <x:c r="G123" s="13" t="str"/>
      <x:c r="H123" s="13" t="str"/>
      <x:c r="I123" s="13" t="str">
        <x:v>☐</x:v>
      </x:c>
      <x:c r="J123" s="13" t="str"/>
      <x:c r="K123" s="13" t="str"/>
      <x:c r="L123" s="13" t="str"/>
      <x:c r="M123" s="13" t="str"/>
      <x:c r="N123" s="13" t="str"/>
      <x:c r="O123" s="13" t="str"/>
      <x:c r="P123" s="20" t="str"/>
    </x:row>
    <x:row r="124" ht="36" customHeight="1">
      <x:c r="A124" s="52" t="str"/>
      <x:c r="B124" s="13" t="str"/>
      <x:c r="C124" s="13" t="str"/>
      <x:c r="D124" s="13" t="str"/>
      <x:c r="E124" s="13" t="str"/>
      <x:c r="F124" s="13" t="str"/>
      <x:c r="G124" s="13" t="str"/>
      <x:c r="H124" s="13" t="str"/>
      <x:c r="I124" s="13" t="str">
        <x:v>☐</x:v>
      </x:c>
      <x:c r="J124" s="13" t="str"/>
      <x:c r="K124" s="13" t="str"/>
      <x:c r="L124" s="13" t="str"/>
      <x:c r="M124" s="13" t="str"/>
      <x:c r="N124" s="13" t="str"/>
      <x:c r="O124" s="13" t="str"/>
      <x:c r="P124" s="20" t="str"/>
    </x:row>
    <x:row r="125" ht="36" customHeight="1">
      <x:c r="A125" s="52" t="str"/>
      <x:c r="B125" s="13" t="str"/>
      <x:c r="C125" s="13" t="str"/>
      <x:c r="D125" s="13" t="str"/>
      <x:c r="E125" s="13" t="str"/>
      <x:c r="F125" s="13" t="str"/>
      <x:c r="G125" s="13" t="str"/>
      <x:c r="H125" s="13" t="str"/>
      <x:c r="I125" s="13" t="str">
        <x:v>☐</x:v>
      </x:c>
      <x:c r="J125" s="13" t="str"/>
      <x:c r="K125" s="13" t="str"/>
      <x:c r="L125" s="13" t="str"/>
      <x:c r="M125" s="13" t="str"/>
      <x:c r="N125" s="13" t="str"/>
      <x:c r="O125" s="13" t="str"/>
      <x:c r="P125" s="20" t="str"/>
    </x:row>
    <x:row r="126" ht="36" customHeight="1">
      <x:c r="A126" s="52" t="str"/>
      <x:c r="B126" s="13" t="str"/>
      <x:c r="C126" s="13" t="str"/>
      <x:c r="D126" s="13" t="str"/>
      <x:c r="E126" s="13" t="str"/>
      <x:c r="F126" s="13" t="str"/>
      <x:c r="G126" s="13" t="str"/>
      <x:c r="H126" s="13" t="str"/>
      <x:c r="I126" s="13" t="str">
        <x:v>☐</x:v>
      </x:c>
      <x:c r="J126" s="13" t="str"/>
      <x:c r="K126" s="13" t="str"/>
      <x:c r="L126" s="13" t="str"/>
      <x:c r="M126" s="13" t="str"/>
      <x:c r="N126" s="13" t="str"/>
      <x:c r="O126" s="13" t="str"/>
      <x:c r="P126" s="20" t="str"/>
    </x:row>
    <x:row r="127" ht="36" customHeight="1">
      <x:c r="A127" s="52" t="str"/>
      <x:c r="B127" s="13" t="str"/>
      <x:c r="C127" s="13" t="str"/>
      <x:c r="D127" s="13" t="str"/>
      <x:c r="E127" s="13" t="str"/>
      <x:c r="F127" s="13" t="str"/>
      <x:c r="G127" s="13" t="str"/>
      <x:c r="H127" s="13" t="str"/>
      <x:c r="I127" s="13" t="str">
        <x:v>☐</x:v>
      </x:c>
      <x:c r="J127" s="13" t="str"/>
      <x:c r="K127" s="13" t="str"/>
      <x:c r="L127" s="13" t="str"/>
      <x:c r="M127" s="13" t="str"/>
      <x:c r="N127" s="13" t="str"/>
      <x:c r="O127" s="13" t="str"/>
      <x:c r="P127" s="20" t="str"/>
    </x:row>
    <x:row r="128" ht="36" customHeight="1">
      <x:c r="A128" s="52" t="str"/>
      <x:c r="B128" s="13" t="str"/>
      <x:c r="C128" s="13" t="str"/>
      <x:c r="D128" s="13" t="str"/>
      <x:c r="E128" s="13" t="str"/>
      <x:c r="F128" s="13" t="str"/>
      <x:c r="G128" s="13" t="str"/>
      <x:c r="H128" s="13" t="str"/>
      <x:c r="I128" s="13" t="str">
        <x:v>☐</x:v>
      </x:c>
      <x:c r="J128" s="13" t="str"/>
      <x:c r="K128" s="13" t="str"/>
      <x:c r="L128" s="13" t="str"/>
      <x:c r="M128" s="13" t="str"/>
      <x:c r="N128" s="13" t="str"/>
      <x:c r="O128" s="13" t="str"/>
      <x:c r="P128" s="20" t="str"/>
    </x:row>
    <x:row r="129" ht="36" customHeight="1">
      <x:c r="A129" s="52" t="str"/>
      <x:c r="B129" s="13" t="str"/>
      <x:c r="C129" s="13" t="str"/>
      <x:c r="D129" s="13" t="str"/>
      <x:c r="E129" s="13" t="str"/>
      <x:c r="F129" s="13" t="str"/>
      <x:c r="G129" s="13" t="str"/>
      <x:c r="H129" s="13" t="str"/>
      <x:c r="I129" s="13" t="str">
        <x:v>☐</x:v>
      </x:c>
      <x:c r="J129" s="13" t="str"/>
      <x:c r="K129" s="13" t="str"/>
      <x:c r="L129" s="13" t="str"/>
      <x:c r="M129" s="13" t="str"/>
      <x:c r="N129" s="13" t="str"/>
      <x:c r="O129" s="13" t="str"/>
      <x:c r="P129" s="20" t="str"/>
    </x:row>
    <x:row r="130" ht="36" customHeight="1">
      <x:c r="A130" s="52" t="str"/>
      <x:c r="B130" s="13" t="str"/>
      <x:c r="C130" s="13" t="str"/>
      <x:c r="D130" s="13" t="str"/>
      <x:c r="E130" s="13" t="str"/>
      <x:c r="F130" s="13" t="str"/>
      <x:c r="G130" s="13" t="str"/>
      <x:c r="H130" s="13" t="str"/>
      <x:c r="I130" s="13" t="str">
        <x:v>☐</x:v>
      </x:c>
      <x:c r="J130" s="13" t="str"/>
      <x:c r="K130" s="13" t="str"/>
      <x:c r="L130" s="13" t="str"/>
      <x:c r="M130" s="13" t="str"/>
      <x:c r="N130" s="13" t="str"/>
      <x:c r="O130" s="13" t="str"/>
      <x:c r="P130" s="20" t="str"/>
    </x:row>
    <x:row r="131" ht="36" customHeight="1">
      <x:c r="A131" s="52" t="str"/>
      <x:c r="B131" s="13" t="str"/>
      <x:c r="C131" s="13" t="str"/>
      <x:c r="D131" s="13" t="str"/>
      <x:c r="E131" s="13" t="str"/>
      <x:c r="F131" s="13" t="str"/>
      <x:c r="G131" s="13" t="str"/>
      <x:c r="H131" s="13" t="str"/>
      <x:c r="I131" s="13" t="str">
        <x:v>☐</x:v>
      </x:c>
      <x:c r="J131" s="13" t="str"/>
      <x:c r="K131" s="13" t="str"/>
      <x:c r="L131" s="13" t="str"/>
      <x:c r="M131" s="13" t="str"/>
      <x:c r="N131" s="13" t="str"/>
      <x:c r="O131" s="13" t="str"/>
      <x:c r="P131" s="20" t="str"/>
    </x:row>
    <x:row r="132" ht="36" customHeight="1">
      <x:c r="A132" s="52" t="str"/>
      <x:c r="B132" s="13" t="str"/>
      <x:c r="C132" s="13" t="str"/>
      <x:c r="D132" s="13" t="str"/>
      <x:c r="E132" s="13" t="str"/>
      <x:c r="F132" s="13" t="str"/>
      <x:c r="G132" s="13" t="str"/>
      <x:c r="H132" s="13" t="str"/>
      <x:c r="I132" s="13" t="str">
        <x:v>☐</x:v>
      </x:c>
      <x:c r="J132" s="13" t="str"/>
      <x:c r="K132" s="13" t="str"/>
      <x:c r="L132" s="13" t="str"/>
      <x:c r="M132" s="13" t="str"/>
      <x:c r="N132" s="13" t="str"/>
      <x:c r="O132" s="13" t="str"/>
      <x:c r="P132" s="20" t="str"/>
    </x:row>
    <x:row r="133" ht="36" customHeight="1">
      <x:c r="A133" s="52" t="str"/>
      <x:c r="B133" s="13" t="str"/>
      <x:c r="C133" s="13" t="str"/>
      <x:c r="D133" s="13" t="str"/>
      <x:c r="E133" s="13" t="str"/>
      <x:c r="F133" s="13" t="str"/>
      <x:c r="G133" s="13" t="str"/>
      <x:c r="H133" s="13" t="str"/>
      <x:c r="I133" s="13" t="str">
        <x:v>☐</x:v>
      </x:c>
      <x:c r="J133" s="13" t="str"/>
      <x:c r="K133" s="13" t="str"/>
      <x:c r="L133" s="13" t="str"/>
      <x:c r="M133" s="13" t="str"/>
      <x:c r="N133" s="13" t="str"/>
      <x:c r="O133" s="13" t="str"/>
      <x:c r="P133" s="20" t="str"/>
    </x:row>
    <x:row r="134" ht="36" customHeight="1">
      <x:c r="A134" s="52" t="str"/>
      <x:c r="B134" s="13" t="str"/>
      <x:c r="C134" s="13" t="str"/>
      <x:c r="D134" s="13" t="str"/>
      <x:c r="E134" s="13" t="str"/>
      <x:c r="F134" s="13" t="str"/>
      <x:c r="G134" s="13" t="str"/>
      <x:c r="H134" s="13" t="str"/>
      <x:c r="I134" s="13" t="str">
        <x:v>☐</x:v>
      </x:c>
      <x:c r="J134" s="13" t="str"/>
      <x:c r="K134" s="13" t="str"/>
      <x:c r="L134" s="13" t="str"/>
      <x:c r="M134" s="13" t="str"/>
      <x:c r="N134" s="13" t="str"/>
      <x:c r="O134" s="13" t="str"/>
      <x:c r="P134" s="20" t="str"/>
    </x:row>
    <x:row r="135" ht="36" customHeight="1">
      <x:c r="A135" s="52" t="str"/>
      <x:c r="B135" s="13" t="str"/>
      <x:c r="C135" s="13" t="str"/>
      <x:c r="D135" s="13" t="str"/>
      <x:c r="E135" s="13" t="str"/>
      <x:c r="F135" s="13" t="str"/>
      <x:c r="G135" s="13" t="str"/>
      <x:c r="H135" s="13" t="str"/>
      <x:c r="I135" s="13" t="str">
        <x:v>☐</x:v>
      </x:c>
      <x:c r="J135" s="13" t="str"/>
      <x:c r="K135" s="13" t="str"/>
      <x:c r="L135" s="13" t="str"/>
      <x:c r="M135" s="13" t="str"/>
      <x:c r="N135" s="13" t="str"/>
      <x:c r="O135" s="13" t="str"/>
      <x:c r="P135" s="20" t="str"/>
    </x:row>
    <x:row r="136" ht="36" customHeight="1">
      <x:c r="A136" s="52" t="str"/>
      <x:c r="B136" s="13" t="str"/>
      <x:c r="C136" s="13" t="str"/>
      <x:c r="D136" s="13" t="str"/>
      <x:c r="E136" s="13" t="str"/>
      <x:c r="F136" s="13" t="str"/>
      <x:c r="G136" s="13" t="str"/>
      <x:c r="H136" s="13" t="str"/>
      <x:c r="I136" s="13" t="str">
        <x:v>☐</x:v>
      </x:c>
      <x:c r="J136" s="13" t="str"/>
      <x:c r="K136" s="13" t="str"/>
      <x:c r="L136" s="13" t="str"/>
      <x:c r="M136" s="13" t="str"/>
      <x:c r="N136" s="13" t="str"/>
      <x:c r="O136" s="13" t="str"/>
      <x:c r="P136" s="20" t="str"/>
    </x:row>
    <x:row r="137" ht="36" customHeight="1">
      <x:c r="A137" s="52" t="str"/>
      <x:c r="B137" s="13" t="str"/>
      <x:c r="C137" s="13" t="str"/>
      <x:c r="D137" s="13" t="str"/>
      <x:c r="E137" s="13" t="str"/>
      <x:c r="F137" s="13" t="str"/>
      <x:c r="G137" s="13" t="str"/>
      <x:c r="H137" s="13" t="str"/>
      <x:c r="I137" s="13" t="str">
        <x:v>☐</x:v>
      </x:c>
      <x:c r="J137" s="13" t="str"/>
      <x:c r="K137" s="13" t="str"/>
      <x:c r="L137" s="13" t="str"/>
      <x:c r="M137" s="13" t="str"/>
      <x:c r="N137" s="13" t="str"/>
      <x:c r="O137" s="13" t="str"/>
      <x:c r="P137" s="20" t="str"/>
    </x:row>
    <x:row r="138" ht="36" customHeight="1">
      <x:c r="A138" s="52" t="str"/>
      <x:c r="B138" s="13" t="str"/>
      <x:c r="C138" s="13" t="str"/>
      <x:c r="D138" s="13" t="str"/>
      <x:c r="E138" s="13" t="str"/>
      <x:c r="F138" s="13" t="str"/>
      <x:c r="G138" s="13" t="str"/>
      <x:c r="H138" s="13" t="str"/>
      <x:c r="I138" s="13" t="str">
        <x:v>☐</x:v>
      </x:c>
      <x:c r="J138" s="13" t="str"/>
      <x:c r="K138" s="13" t="str"/>
      <x:c r="L138" s="13" t="str"/>
      <x:c r="M138" s="13" t="str"/>
      <x:c r="N138" s="13" t="str"/>
      <x:c r="O138" s="13" t="str"/>
      <x:c r="P138" s="20" t="str"/>
    </x:row>
    <x:row r="139" ht="36" customHeight="1">
      <x:c r="A139" s="52" t="str"/>
      <x:c r="B139" s="13" t="str"/>
      <x:c r="C139" s="13" t="str"/>
      <x:c r="D139" s="13" t="str"/>
      <x:c r="E139" s="13" t="str"/>
      <x:c r="F139" s="13" t="str"/>
      <x:c r="G139" s="13" t="str"/>
      <x:c r="H139" s="13" t="str"/>
      <x:c r="I139" s="13" t="str">
        <x:v>☐</x:v>
      </x:c>
      <x:c r="J139" s="13" t="str"/>
      <x:c r="K139" s="13" t="str"/>
      <x:c r="L139" s="13" t="str"/>
      <x:c r="M139" s="13" t="str"/>
      <x:c r="N139" s="13" t="str"/>
      <x:c r="O139" s="13" t="str"/>
      <x:c r="P139" s="20" t="str"/>
    </x:row>
    <x:row r="140" ht="36" customHeight="1">
      <x:c r="A140" s="52" t="str"/>
      <x:c r="B140" s="13" t="str"/>
      <x:c r="C140" s="13" t="str"/>
      <x:c r="D140" s="13" t="str"/>
      <x:c r="E140" s="13" t="str"/>
      <x:c r="F140" s="13" t="str"/>
      <x:c r="G140" s="13" t="str"/>
      <x:c r="H140" s="13" t="str"/>
      <x:c r="I140" s="13" t="str">
        <x:v>☐</x:v>
      </x:c>
      <x:c r="J140" s="13" t="str"/>
      <x:c r="K140" s="13" t="str"/>
      <x:c r="L140" s="13" t="str"/>
      <x:c r="M140" s="13" t="str"/>
      <x:c r="N140" s="13" t="str"/>
      <x:c r="O140" s="13" t="str"/>
      <x:c r="P140" s="20" t="str"/>
    </x:row>
    <x:row r="141" ht="36" customHeight="1">
      <x:c r="A141" s="52" t="str"/>
      <x:c r="B141" s="13" t="str"/>
      <x:c r="C141" s="13" t="str"/>
      <x:c r="D141" s="13" t="str"/>
      <x:c r="E141" s="13" t="str"/>
      <x:c r="F141" s="13" t="str"/>
      <x:c r="G141" s="13" t="str"/>
      <x:c r="H141" s="13" t="str"/>
      <x:c r="I141" s="13" t="str">
        <x:v>☐</x:v>
      </x:c>
      <x:c r="J141" s="13" t="str"/>
      <x:c r="K141" s="13" t="str"/>
      <x:c r="L141" s="13" t="str"/>
      <x:c r="M141" s="13" t="str"/>
      <x:c r="N141" s="13" t="str"/>
      <x:c r="O141" s="13" t="str"/>
      <x:c r="P141" s="20" t="str"/>
    </x:row>
    <x:row r="142" ht="36" customHeight="1">
      <x:c r="A142" s="52" t="str"/>
      <x:c r="B142" s="13" t="str"/>
      <x:c r="C142" s="13" t="str"/>
      <x:c r="D142" s="13" t="str"/>
      <x:c r="E142" s="13" t="str"/>
      <x:c r="F142" s="13" t="str"/>
      <x:c r="G142" s="13" t="str"/>
      <x:c r="H142" s="13" t="str"/>
      <x:c r="I142" s="13" t="str">
        <x:v>☐</x:v>
      </x:c>
      <x:c r="J142" s="13" t="str"/>
      <x:c r="K142" s="13" t="str"/>
      <x:c r="L142" s="13" t="str"/>
      <x:c r="M142" s="13" t="str"/>
      <x:c r="N142" s="13" t="str"/>
      <x:c r="O142" s="13" t="str"/>
      <x:c r="P142" s="20" t="str"/>
    </x:row>
    <x:row r="143" ht="36" customHeight="1">
      <x:c r="A143" s="52" t="str"/>
      <x:c r="B143" s="13" t="str"/>
      <x:c r="C143" s="13" t="str"/>
      <x:c r="D143" s="13" t="str"/>
      <x:c r="E143" s="13" t="str"/>
      <x:c r="F143" s="13" t="str"/>
      <x:c r="G143" s="13" t="str"/>
      <x:c r="H143" s="13" t="str"/>
      <x:c r="I143" s="13" t="str">
        <x:v>☐</x:v>
      </x:c>
      <x:c r="J143" s="13" t="str"/>
      <x:c r="K143" s="13" t="str"/>
      <x:c r="L143" s="13" t="str"/>
      <x:c r="M143" s="13" t="str"/>
      <x:c r="N143" s="13" t="str"/>
      <x:c r="O143" s="13" t="str"/>
      <x:c r="P143" s="20" t="str"/>
    </x:row>
    <x:row r="144" ht="36" customHeight="1">
      <x:c r="A144" s="52" t="str"/>
      <x:c r="B144" s="13" t="str"/>
      <x:c r="C144" s="13" t="str"/>
      <x:c r="D144" s="13" t="str"/>
      <x:c r="E144" s="13" t="str"/>
      <x:c r="F144" s="13" t="str"/>
      <x:c r="G144" s="13" t="str"/>
      <x:c r="H144" s="13" t="str"/>
      <x:c r="I144" s="13" t="str">
        <x:v>☐</x:v>
      </x:c>
      <x:c r="J144" s="13" t="str"/>
      <x:c r="K144" s="13" t="str"/>
      <x:c r="L144" s="13" t="str"/>
      <x:c r="M144" s="13" t="str"/>
      <x:c r="N144" s="13" t="str"/>
      <x:c r="O144" s="13" t="str"/>
      <x:c r="P144" s="20" t="str"/>
    </x:row>
    <x:row r="145" ht="36" customHeight="1">
      <x:c r="A145" s="52" t="str"/>
      <x:c r="B145" s="13" t="str"/>
      <x:c r="C145" s="13" t="str"/>
      <x:c r="D145" s="13" t="str"/>
      <x:c r="E145" s="13" t="str"/>
      <x:c r="F145" s="13" t="str"/>
      <x:c r="G145" s="13" t="str"/>
      <x:c r="H145" s="13" t="str"/>
      <x:c r="I145" s="13" t="str">
        <x:v>☐</x:v>
      </x:c>
      <x:c r="J145" s="13" t="str"/>
      <x:c r="K145" s="13" t="str"/>
      <x:c r="L145" s="13" t="str"/>
      <x:c r="M145" s="13" t="str"/>
      <x:c r="N145" s="13" t="str"/>
      <x:c r="O145" s="13" t="str"/>
      <x:c r="P145" s="20" t="str"/>
    </x:row>
    <x:row r="146" ht="36" customHeight="1">
      <x:c r="A146" s="52" t="str"/>
      <x:c r="B146" s="13" t="str"/>
      <x:c r="C146" s="13" t="str"/>
      <x:c r="D146" s="13" t="str"/>
      <x:c r="E146" s="13" t="str"/>
      <x:c r="F146" s="13" t="str"/>
      <x:c r="G146" s="13" t="str"/>
      <x:c r="H146" s="13" t="str"/>
      <x:c r="I146" s="13" t="str">
        <x:v>☐</x:v>
      </x:c>
      <x:c r="J146" s="13" t="str"/>
      <x:c r="K146" s="13" t="str"/>
      <x:c r="L146" s="13" t="str"/>
      <x:c r="M146" s="13" t="str"/>
      <x:c r="N146" s="13" t="str"/>
      <x:c r="O146" s="13" t="str"/>
      <x:c r="P146" s="20" t="str"/>
    </x:row>
    <x:row r="147" ht="36" customHeight="1">
      <x:c r="A147" s="52" t="str"/>
      <x:c r="B147" s="13" t="str"/>
      <x:c r="C147" s="13" t="str"/>
      <x:c r="D147" s="13" t="str"/>
      <x:c r="E147" s="13" t="str"/>
      <x:c r="F147" s="13" t="str"/>
      <x:c r="G147" s="13" t="str"/>
      <x:c r="H147" s="13" t="str"/>
      <x:c r="I147" s="13" t="str">
        <x:v>☐</x:v>
      </x:c>
      <x:c r="J147" s="13" t="str"/>
      <x:c r="K147" s="13" t="str"/>
      <x:c r="L147" s="13" t="str"/>
      <x:c r="M147" s="13" t="str"/>
      <x:c r="N147" s="13" t="str"/>
      <x:c r="O147" s="13" t="str"/>
      <x:c r="P147" s="20" t="str"/>
    </x:row>
    <x:row r="148" ht="36" customHeight="1">
      <x:c r="A148" s="52" t="str"/>
      <x:c r="B148" s="13" t="str"/>
      <x:c r="C148" s="13" t="str"/>
      <x:c r="D148" s="13" t="str"/>
      <x:c r="E148" s="13" t="str"/>
      <x:c r="F148" s="13" t="str"/>
      <x:c r="G148" s="13" t="str"/>
      <x:c r="H148" s="13" t="str"/>
      <x:c r="I148" s="13" t="str">
        <x:v>☐</x:v>
      </x:c>
      <x:c r="J148" s="13" t="str"/>
      <x:c r="K148" s="13" t="str"/>
      <x:c r="L148" s="13" t="str"/>
      <x:c r="M148" s="13" t="str"/>
      <x:c r="N148" s="13" t="str"/>
      <x:c r="O148" s="13" t="str"/>
      <x:c r="P148" s="20" t="str"/>
    </x:row>
    <x:row r="149" ht="36" customHeight="1">
      <x:c r="A149" s="52" t="str"/>
      <x:c r="B149" s="13" t="str"/>
      <x:c r="C149" s="13" t="str"/>
      <x:c r="D149" s="13" t="str"/>
      <x:c r="E149" s="13" t="str"/>
      <x:c r="F149" s="13" t="str"/>
      <x:c r="G149" s="13" t="str"/>
      <x:c r="H149" s="13" t="str"/>
      <x:c r="I149" s="13" t="str">
        <x:v>☐</x:v>
      </x:c>
      <x:c r="J149" s="13" t="str"/>
      <x:c r="K149" s="13" t="str"/>
      <x:c r="L149" s="13" t="str"/>
      <x:c r="M149" s="13" t="str"/>
      <x:c r="N149" s="13" t="str"/>
      <x:c r="O149" s="13" t="str"/>
      <x:c r="P149" s="20" t="str"/>
    </x:row>
    <x:row r="150" ht="36" customHeight="1">
      <x:c r="A150" s="52" t="str"/>
      <x:c r="B150" s="13" t="str"/>
      <x:c r="C150" s="13" t="str"/>
      <x:c r="D150" s="13" t="str"/>
      <x:c r="E150" s="13" t="str"/>
      <x:c r="F150" s="13" t="str"/>
      <x:c r="G150" s="13" t="str"/>
      <x:c r="H150" s="13" t="str"/>
      <x:c r="I150" s="13" t="str">
        <x:v>☐</x:v>
      </x:c>
      <x:c r="J150" s="13" t="str"/>
      <x:c r="K150" s="13" t="str"/>
      <x:c r="L150" s="13" t="str"/>
      <x:c r="M150" s="13" t="str"/>
      <x:c r="N150" s="13" t="str"/>
      <x:c r="O150" s="13" t="str"/>
      <x:c r="P150" s="20" t="str"/>
    </x:row>
    <x:row r="151" ht="36" customHeight="1">
      <x:c r="A151" s="52" t="str"/>
      <x:c r="B151" s="13" t="str"/>
      <x:c r="C151" s="13" t="str"/>
      <x:c r="D151" s="13" t="str"/>
      <x:c r="E151" s="13" t="str"/>
      <x:c r="F151" s="13" t="str"/>
      <x:c r="G151" s="13" t="str"/>
      <x:c r="H151" s="13" t="str"/>
      <x:c r="I151" s="13" t="str">
        <x:v>☐</x:v>
      </x:c>
      <x:c r="J151" s="13" t="str"/>
      <x:c r="K151" s="13" t="str"/>
      <x:c r="L151" s="13" t="str"/>
      <x:c r="M151" s="13" t="str"/>
      <x:c r="N151" s="13" t="str"/>
      <x:c r="O151" s="13" t="str"/>
      <x:c r="P151" s="20" t="str"/>
    </x:row>
    <x:row r="152" ht="36" customHeight="1">
      <x:c r="A152" s="52" t="str"/>
      <x:c r="B152" s="13" t="str"/>
      <x:c r="C152" s="13" t="str"/>
      <x:c r="D152" s="13" t="str"/>
      <x:c r="E152" s="13" t="str"/>
      <x:c r="F152" s="13" t="str"/>
      <x:c r="G152" s="13" t="str"/>
      <x:c r="H152" s="13" t="str"/>
      <x:c r="I152" s="13" t="str">
        <x:v>☐</x:v>
      </x:c>
      <x:c r="J152" s="13" t="str"/>
      <x:c r="K152" s="13" t="str"/>
      <x:c r="L152" s="13" t="str"/>
      <x:c r="M152" s="13" t="str"/>
      <x:c r="N152" s="13" t="str"/>
      <x:c r="O152" s="13" t="str"/>
      <x:c r="P152" s="20" t="str"/>
    </x:row>
    <x:row r="153" ht="36" customHeight="1">
      <x:c r="A153" s="52" t="str"/>
      <x:c r="B153" s="13" t="str"/>
      <x:c r="C153" s="13" t="str"/>
      <x:c r="D153" s="13" t="str"/>
      <x:c r="E153" s="13" t="str"/>
      <x:c r="F153" s="13" t="str"/>
      <x:c r="G153" s="13" t="str"/>
      <x:c r="H153" s="13" t="str"/>
      <x:c r="I153" s="13" t="str">
        <x:v>☐</x:v>
      </x:c>
      <x:c r="J153" s="13" t="str"/>
      <x:c r="K153" s="13" t="str"/>
      <x:c r="L153" s="13" t="str"/>
      <x:c r="M153" s="13" t="str"/>
      <x:c r="N153" s="13" t="str"/>
      <x:c r="O153" s="13" t="str"/>
      <x:c r="P153" s="20" t="str"/>
    </x:row>
    <x:row r="154" ht="36" customHeight="1">
      <x:c r="A154" s="52" t="str"/>
      <x:c r="B154" s="13" t="str"/>
      <x:c r="C154" s="13" t="str"/>
      <x:c r="D154" s="13" t="str"/>
      <x:c r="E154" s="13" t="str"/>
      <x:c r="F154" s="13" t="str"/>
      <x:c r="G154" s="13" t="str"/>
      <x:c r="H154" s="13" t="str"/>
      <x:c r="I154" s="13" t="str">
        <x:v>☐</x:v>
      </x:c>
      <x:c r="J154" s="13" t="str"/>
      <x:c r="K154" s="13" t="str"/>
      <x:c r="L154" s="13" t="str"/>
      <x:c r="M154" s="13" t="str"/>
      <x:c r="N154" s="13" t="str"/>
      <x:c r="O154" s="13" t="str"/>
      <x:c r="P154" s="20" t="str"/>
    </x:row>
    <x:row r="155" ht="36" customHeight="1">
      <x:c r="A155" s="52" t="str"/>
      <x:c r="B155" s="13" t="str"/>
      <x:c r="C155" s="13" t="str"/>
      <x:c r="D155" s="13" t="str"/>
      <x:c r="E155" s="13" t="str"/>
      <x:c r="F155" s="13" t="str"/>
      <x:c r="G155" s="13" t="str"/>
      <x:c r="H155" s="13" t="str"/>
      <x:c r="I155" s="13" t="str">
        <x:v>☐</x:v>
      </x:c>
      <x:c r="J155" s="13" t="str"/>
      <x:c r="K155" s="13" t="str"/>
      <x:c r="L155" s="13" t="str"/>
      <x:c r="M155" s="13" t="str"/>
      <x:c r="N155" s="13" t="str"/>
      <x:c r="O155" s="13" t="str"/>
      <x:c r="P155" s="20" t="str"/>
    </x:row>
    <x:row r="156" ht="36" customHeight="1">
      <x:c r="A156" s="52" t="str"/>
      <x:c r="B156" s="13" t="str"/>
      <x:c r="C156" s="13" t="str"/>
      <x:c r="D156" s="13" t="str"/>
      <x:c r="E156" s="13" t="str"/>
      <x:c r="F156" s="13" t="str"/>
      <x:c r="G156" s="13" t="str"/>
      <x:c r="H156" s="13" t="str"/>
      <x:c r="I156" s="13" t="str">
        <x:v>☐</x:v>
      </x:c>
      <x:c r="J156" s="13" t="str"/>
      <x:c r="K156" s="13" t="str"/>
      <x:c r="L156" s="13" t="str"/>
      <x:c r="M156" s="13" t="str"/>
      <x:c r="N156" s="13" t="str"/>
      <x:c r="O156" s="13" t="str"/>
      <x:c r="P156" s="20" t="str"/>
    </x:row>
    <x:row r="157" ht="36" customHeight="1">
      <x:c r="A157" s="52" t="str"/>
      <x:c r="B157" s="13" t="str"/>
      <x:c r="C157" s="13" t="str"/>
      <x:c r="D157" s="13" t="str"/>
      <x:c r="E157" s="13" t="str"/>
      <x:c r="F157" s="13" t="str"/>
      <x:c r="G157" s="13" t="str"/>
      <x:c r="H157" s="13" t="str"/>
      <x:c r="I157" s="13" t="str">
        <x:v>☐</x:v>
      </x:c>
      <x:c r="J157" s="13" t="str"/>
      <x:c r="K157" s="13" t="str"/>
      <x:c r="L157" s="13" t="str"/>
      <x:c r="M157" s="13" t="str"/>
      <x:c r="N157" s="13" t="str"/>
      <x:c r="O157" s="13" t="str"/>
      <x:c r="P157" s="20" t="str"/>
    </x:row>
    <x:row r="158" ht="36" customHeight="1">
      <x:c r="A158" s="52" t="str"/>
      <x:c r="B158" s="13" t="str"/>
      <x:c r="C158" s="13" t="str"/>
      <x:c r="D158" s="13" t="str"/>
      <x:c r="E158" s="13" t="str"/>
      <x:c r="F158" s="13" t="str"/>
      <x:c r="G158" s="13" t="str"/>
      <x:c r="H158" s="13" t="str"/>
      <x:c r="I158" s="13" t="str">
        <x:v>☐</x:v>
      </x:c>
      <x:c r="J158" s="13" t="str"/>
      <x:c r="K158" s="13" t="str"/>
      <x:c r="L158" s="13" t="str"/>
      <x:c r="M158" s="13" t="str"/>
      <x:c r="N158" s="13" t="str"/>
      <x:c r="O158" s="13" t="str"/>
      <x:c r="P158" s="20" t="str"/>
    </x:row>
    <x:row r="159" ht="36" customHeight="1">
      <x:c r="A159" s="52" t="str"/>
      <x:c r="B159" s="13" t="str"/>
      <x:c r="C159" s="13" t="str"/>
      <x:c r="D159" s="13" t="str"/>
      <x:c r="E159" s="13" t="str"/>
      <x:c r="F159" s="13" t="str"/>
      <x:c r="G159" s="13" t="str"/>
      <x:c r="H159" s="13" t="str"/>
      <x:c r="I159" s="13" t="str">
        <x:v>☐</x:v>
      </x:c>
      <x:c r="J159" s="13" t="str"/>
      <x:c r="K159" s="13" t="str"/>
      <x:c r="L159" s="13" t="str"/>
      <x:c r="M159" s="13" t="str"/>
      <x:c r="N159" s="13" t="str"/>
      <x:c r="O159" s="13" t="str"/>
      <x:c r="P159" s="20" t="str"/>
    </x:row>
    <x:row r="160" ht="36" customHeight="1">
      <x:c r="A160" s="52" t="str"/>
      <x:c r="B160" s="13" t="str"/>
      <x:c r="C160" s="13" t="str"/>
      <x:c r="D160" s="13" t="str"/>
      <x:c r="E160" s="13" t="str"/>
      <x:c r="F160" s="13" t="str"/>
      <x:c r="G160" s="13" t="str"/>
      <x:c r="H160" s="13" t="str"/>
      <x:c r="I160" s="13" t="str">
        <x:v>☐</x:v>
      </x:c>
      <x:c r="J160" s="13" t="str"/>
      <x:c r="K160" s="13" t="str"/>
      <x:c r="L160" s="13" t="str"/>
      <x:c r="M160" s="13" t="str"/>
      <x:c r="N160" s="13" t="str"/>
      <x:c r="O160" s="13" t="str"/>
      <x:c r="P160" s="20" t="str"/>
    </x:row>
    <x:row r="161" ht="36" customHeight="1">
      <x:c r="A161" s="52" t="str"/>
      <x:c r="B161" s="13" t="str"/>
      <x:c r="C161" s="13" t="str"/>
      <x:c r="D161" s="13" t="str"/>
      <x:c r="E161" s="13" t="str"/>
      <x:c r="F161" s="13" t="str"/>
      <x:c r="G161" s="13" t="str"/>
      <x:c r="H161" s="13" t="str"/>
      <x:c r="I161" s="13" t="str">
        <x:v>☐</x:v>
      </x:c>
      <x:c r="J161" s="13" t="str"/>
      <x:c r="K161" s="13" t="str"/>
      <x:c r="L161" s="13" t="str"/>
      <x:c r="M161" s="13" t="str"/>
      <x:c r="N161" s="13" t="str"/>
      <x:c r="O161" s="13" t="str"/>
      <x:c r="P161" s="20" t="str"/>
    </x:row>
    <x:row r="162" ht="36" customHeight="1">
      <x:c r="A162" s="52" t="str"/>
      <x:c r="B162" s="13" t="str"/>
      <x:c r="C162" s="13" t="str"/>
      <x:c r="D162" s="13" t="str"/>
      <x:c r="E162" s="13" t="str"/>
      <x:c r="F162" s="13" t="str"/>
      <x:c r="G162" s="13" t="str"/>
      <x:c r="H162" s="13" t="str"/>
      <x:c r="I162" s="13" t="str">
        <x:v>☐</x:v>
      </x:c>
      <x:c r="J162" s="13" t="str"/>
      <x:c r="K162" s="13" t="str"/>
      <x:c r="L162" s="13" t="str"/>
      <x:c r="M162" s="13" t="str"/>
      <x:c r="N162" s="13" t="str"/>
      <x:c r="O162" s="13" t="str"/>
      <x:c r="P162" s="20" t="str"/>
    </x:row>
    <x:row r="163" ht="36" customHeight="1">
      <x:c r="A163" s="52" t="str"/>
      <x:c r="B163" s="13" t="str"/>
      <x:c r="C163" s="13" t="str"/>
      <x:c r="D163" s="13" t="str"/>
      <x:c r="E163" s="13" t="str"/>
      <x:c r="F163" s="13" t="str"/>
      <x:c r="G163" s="13" t="str"/>
      <x:c r="H163" s="13" t="str"/>
      <x:c r="I163" s="13" t="str">
        <x:v>☐</x:v>
      </x:c>
      <x:c r="J163" s="13" t="str"/>
      <x:c r="K163" s="13" t="str"/>
      <x:c r="L163" s="13" t="str"/>
      <x:c r="M163" s="13" t="str"/>
      <x:c r="N163" s="13" t="str"/>
      <x:c r="O163" s="13" t="str"/>
      <x:c r="P163" s="20" t="str"/>
    </x:row>
    <x:row r="164" ht="36" customHeight="1">
      <x:c r="A164" s="52" t="str"/>
      <x:c r="B164" s="13" t="str"/>
      <x:c r="C164" s="13" t="str"/>
      <x:c r="D164" s="13" t="str"/>
      <x:c r="E164" s="13" t="str"/>
      <x:c r="F164" s="13" t="str"/>
      <x:c r="G164" s="13" t="str"/>
      <x:c r="H164" s="13" t="str"/>
      <x:c r="I164" s="13" t="str">
        <x:v>☐</x:v>
      </x:c>
      <x:c r="J164" s="13" t="str"/>
      <x:c r="K164" s="13" t="str"/>
      <x:c r="L164" s="13" t="str"/>
      <x:c r="M164" s="13" t="str"/>
      <x:c r="N164" s="13" t="str"/>
      <x:c r="O164" s="13" t="str"/>
      <x:c r="P164" s="20" t="str"/>
    </x:row>
    <x:row r="165" ht="36" customHeight="1">
      <x:c r="A165" s="52" t="str"/>
      <x:c r="B165" s="13" t="str"/>
      <x:c r="C165" s="13" t="str"/>
      <x:c r="D165" s="13" t="str"/>
      <x:c r="E165" s="13" t="str"/>
      <x:c r="F165" s="13" t="str"/>
      <x:c r="G165" s="13" t="str"/>
      <x:c r="H165" s="13" t="str"/>
      <x:c r="I165" s="13" t="str">
        <x:v>☐</x:v>
      </x:c>
      <x:c r="J165" s="13" t="str"/>
      <x:c r="K165" s="13" t="str"/>
      <x:c r="L165" s="13" t="str"/>
      <x:c r="M165" s="13" t="str"/>
      <x:c r="N165" s="13" t="str"/>
      <x:c r="O165" s="13" t="str"/>
      <x:c r="P165" s="20" t="str"/>
    </x:row>
    <x:row r="166" ht="36" customHeight="1">
      <x:c r="A166" s="52" t="str"/>
      <x:c r="B166" s="13" t="str"/>
      <x:c r="C166" s="13" t="str"/>
      <x:c r="D166" s="13" t="str"/>
      <x:c r="E166" s="13" t="str"/>
      <x:c r="F166" s="13" t="str"/>
      <x:c r="G166" s="13" t="str"/>
      <x:c r="H166" s="13" t="str"/>
      <x:c r="I166" s="13" t="str">
        <x:v>☐</x:v>
      </x:c>
      <x:c r="J166" s="13" t="str"/>
      <x:c r="K166" s="13" t="str"/>
      <x:c r="L166" s="13" t="str"/>
      <x:c r="M166" s="13" t="str"/>
      <x:c r="N166" s="13" t="str"/>
      <x:c r="O166" s="13" t="str"/>
      <x:c r="P166" s="20" t="str"/>
    </x:row>
    <x:row r="167" ht="36" customHeight="1">
      <x:c r="A167" s="52" t="str"/>
      <x:c r="B167" s="13" t="str"/>
      <x:c r="C167" s="13" t="str"/>
      <x:c r="D167" s="13" t="str"/>
      <x:c r="E167" s="13" t="str"/>
      <x:c r="F167" s="13" t="str"/>
      <x:c r="G167" s="13" t="str"/>
      <x:c r="H167" s="13" t="str"/>
      <x:c r="I167" s="13" t="str">
        <x:v>☐</x:v>
      </x:c>
      <x:c r="J167" s="13" t="str"/>
      <x:c r="K167" s="13" t="str"/>
      <x:c r="L167" s="13" t="str"/>
      <x:c r="M167" s="13" t="str"/>
      <x:c r="N167" s="13" t="str"/>
      <x:c r="O167" s="13" t="str"/>
      <x:c r="P167" s="20" t="str"/>
    </x:row>
    <x:row r="168" ht="36" customHeight="1">
      <x:c r="A168" s="52" t="str"/>
      <x:c r="B168" s="13" t="str"/>
      <x:c r="C168" s="13" t="str"/>
      <x:c r="D168" s="13" t="str"/>
      <x:c r="E168" s="13" t="str"/>
      <x:c r="F168" s="13" t="str"/>
      <x:c r="G168" s="13" t="str"/>
      <x:c r="H168" s="13" t="str"/>
      <x:c r="I168" s="13" t="str">
        <x:v>☐</x:v>
      </x:c>
      <x:c r="J168" s="13" t="str"/>
      <x:c r="K168" s="13" t="str"/>
      <x:c r="L168" s="13" t="str"/>
      <x:c r="M168" s="13" t="str"/>
      <x:c r="N168" s="13" t="str"/>
      <x:c r="O168" s="13" t="str"/>
      <x:c r="P168" s="20" t="str"/>
    </x:row>
    <x:row r="169" ht="36" customHeight="1">
      <x:c r="A169" s="52" t="str"/>
      <x:c r="B169" s="13" t="str"/>
      <x:c r="C169" s="13" t="str"/>
      <x:c r="D169" s="13" t="str"/>
      <x:c r="E169" s="13" t="str"/>
      <x:c r="F169" s="13" t="str"/>
      <x:c r="G169" s="13" t="str"/>
      <x:c r="H169" s="13" t="str"/>
      <x:c r="I169" s="13" t="str">
        <x:v>☐</x:v>
      </x:c>
      <x:c r="J169" s="13" t="str"/>
      <x:c r="K169" s="13" t="str"/>
      <x:c r="L169" s="13" t="str"/>
      <x:c r="M169" s="13" t="str"/>
      <x:c r="N169" s="13" t="str"/>
      <x:c r="O169" s="13" t="str"/>
      <x:c r="P169" s="20" t="str"/>
    </x:row>
    <x:row r="170" ht="36" customHeight="1">
      <x:c r="A170" s="52" t="str"/>
      <x:c r="B170" s="13" t="str"/>
      <x:c r="C170" s="13" t="str"/>
      <x:c r="D170" s="13" t="str"/>
      <x:c r="E170" s="13" t="str"/>
      <x:c r="F170" s="13" t="str"/>
      <x:c r="G170" s="13" t="str"/>
      <x:c r="H170" s="13" t="str"/>
      <x:c r="I170" s="13" t="str">
        <x:v>☐</x:v>
      </x:c>
      <x:c r="J170" s="13" t="str"/>
      <x:c r="K170" s="13" t="str"/>
      <x:c r="L170" s="13" t="str"/>
      <x:c r="M170" s="13" t="str"/>
      <x:c r="N170" s="13" t="str"/>
      <x:c r="O170" s="13" t="str"/>
      <x:c r="P170" s="20" t="str"/>
    </x:row>
    <x:row r="171" ht="36" customHeight="1">
      <x:c r="A171" s="52" t="str"/>
      <x:c r="B171" s="13" t="str"/>
      <x:c r="C171" s="13" t="str"/>
      <x:c r="D171" s="13" t="str"/>
      <x:c r="E171" s="13" t="str"/>
      <x:c r="F171" s="13" t="str"/>
      <x:c r="G171" s="13" t="str"/>
      <x:c r="H171" s="13" t="str"/>
      <x:c r="I171" s="13" t="str">
        <x:v>☐</x:v>
      </x:c>
      <x:c r="J171" s="13" t="str"/>
      <x:c r="K171" s="13" t="str"/>
      <x:c r="L171" s="13" t="str"/>
      <x:c r="M171" s="13" t="str"/>
      <x:c r="N171" s="13" t="str"/>
      <x:c r="O171" s="13" t="str"/>
      <x:c r="P171" s="20" t="str"/>
    </x:row>
    <x:row r="172" ht="36" customHeight="1">
      <x:c r="A172" s="52" t="str"/>
      <x:c r="B172" s="13" t="str"/>
      <x:c r="C172" s="13" t="str"/>
      <x:c r="D172" s="13" t="str"/>
      <x:c r="E172" s="13" t="str"/>
      <x:c r="F172" s="13" t="str"/>
      <x:c r="G172" s="13" t="str"/>
      <x:c r="H172" s="13" t="str"/>
      <x:c r="I172" s="13" t="str">
        <x:v>☐</x:v>
      </x:c>
      <x:c r="J172" s="13" t="str"/>
      <x:c r="K172" s="13" t="str"/>
      <x:c r="L172" s="13" t="str"/>
      <x:c r="M172" s="13" t="str"/>
      <x:c r="N172" s="13" t="str"/>
      <x:c r="O172" s="13" t="str"/>
      <x:c r="P172" s="20" t="str"/>
    </x:row>
    <x:row r="173" ht="36" customHeight="1">
      <x:c r="A173" s="52" t="str"/>
      <x:c r="B173" s="13" t="str"/>
      <x:c r="C173" s="13" t="str"/>
      <x:c r="D173" s="13" t="str"/>
      <x:c r="E173" s="13" t="str"/>
      <x:c r="F173" s="13" t="str"/>
      <x:c r="G173" s="13" t="str"/>
      <x:c r="H173" s="13" t="str"/>
      <x:c r="I173" s="13" t="str">
        <x:v>☐</x:v>
      </x:c>
      <x:c r="J173" s="13" t="str"/>
      <x:c r="K173" s="13" t="str"/>
      <x:c r="L173" s="13" t="str"/>
      <x:c r="M173" s="13" t="str"/>
      <x:c r="N173" s="13" t="str"/>
      <x:c r="O173" s="13" t="str"/>
      <x:c r="P173" s="20" t="str"/>
    </x:row>
    <x:row r="174" ht="36" customHeight="1">
      <x:c r="A174" s="52" t="str"/>
      <x:c r="B174" s="13" t="str"/>
      <x:c r="C174" s="13" t="str"/>
      <x:c r="D174" s="13" t="str"/>
      <x:c r="E174" s="13" t="str"/>
      <x:c r="F174" s="13" t="str"/>
      <x:c r="G174" s="13" t="str"/>
      <x:c r="H174" s="13" t="str"/>
      <x:c r="I174" s="13" t="str">
        <x:v>☐</x:v>
      </x:c>
      <x:c r="J174" s="13" t="str"/>
      <x:c r="K174" s="13" t="str"/>
      <x:c r="L174" s="13" t="str"/>
      <x:c r="M174" s="13" t="str"/>
      <x:c r="N174" s="13" t="str"/>
      <x:c r="O174" s="13" t="str"/>
      <x:c r="P174" s="20" t="str"/>
    </x:row>
    <x:row r="175" ht="36" customHeight="1">
      <x:c r="A175" s="52" t="str"/>
      <x:c r="B175" s="13" t="str"/>
      <x:c r="C175" s="13" t="str"/>
      <x:c r="D175" s="13" t="str"/>
      <x:c r="E175" s="13" t="str"/>
      <x:c r="F175" s="13" t="str"/>
      <x:c r="G175" s="13" t="str"/>
      <x:c r="H175" s="13" t="str"/>
      <x:c r="I175" s="13" t="str">
        <x:v>☐</x:v>
      </x:c>
      <x:c r="J175" s="13" t="str"/>
      <x:c r="K175" s="13" t="str"/>
      <x:c r="L175" s="13" t="str"/>
      <x:c r="M175" s="13" t="str"/>
      <x:c r="N175" s="13" t="str"/>
      <x:c r="O175" s="13" t="str"/>
      <x:c r="P175" s="20" t="str"/>
    </x:row>
    <x:row r="176" ht="36" customHeight="1">
      <x:c r="A176" s="52" t="str"/>
      <x:c r="B176" s="13" t="str"/>
      <x:c r="C176" s="13" t="str"/>
      <x:c r="D176" s="13" t="str"/>
      <x:c r="E176" s="13" t="str"/>
      <x:c r="F176" s="13" t="str"/>
      <x:c r="G176" s="13" t="str"/>
      <x:c r="H176" s="13" t="str"/>
      <x:c r="I176" s="13" t="str">
        <x:v>☐</x:v>
      </x:c>
      <x:c r="J176" s="13" t="str"/>
      <x:c r="K176" s="13" t="str"/>
      <x:c r="L176" s="13" t="str"/>
      <x:c r="M176" s="13" t="str"/>
      <x:c r="N176" s="13" t="str"/>
      <x:c r="O176" s="13" t="str"/>
      <x:c r="P176" s="20" t="str"/>
    </x:row>
    <x:row r="177" ht="36" customHeight="1">
      <x:c r="A177" s="52" t="str"/>
      <x:c r="B177" s="13" t="str"/>
      <x:c r="C177" s="13" t="str"/>
      <x:c r="D177" s="13" t="str"/>
      <x:c r="E177" s="13" t="str"/>
      <x:c r="F177" s="13" t="str"/>
      <x:c r="G177" s="13" t="str"/>
      <x:c r="H177" s="13" t="str"/>
      <x:c r="I177" s="13" t="str">
        <x:v>☐</x:v>
      </x:c>
      <x:c r="J177" s="13" t="str"/>
      <x:c r="K177" s="13" t="str"/>
      <x:c r="L177" s="13" t="str"/>
      <x:c r="M177" s="13" t="str"/>
      <x:c r="N177" s="13" t="str"/>
      <x:c r="O177" s="13" t="str"/>
      <x:c r="P177" s="20" t="str"/>
    </x:row>
    <x:row r="178" ht="36" customHeight="1">
      <x:c r="A178" s="52" t="str"/>
      <x:c r="B178" s="13" t="str"/>
      <x:c r="C178" s="13" t="str"/>
      <x:c r="D178" s="13" t="str"/>
      <x:c r="E178" s="13" t="str"/>
      <x:c r="F178" s="13" t="str"/>
      <x:c r="G178" s="13" t="str"/>
      <x:c r="H178" s="13" t="str"/>
      <x:c r="I178" s="13" t="str">
        <x:v>☐</x:v>
      </x:c>
      <x:c r="J178" s="13" t="str"/>
      <x:c r="K178" s="13" t="str"/>
      <x:c r="L178" s="13" t="str"/>
      <x:c r="M178" s="13" t="str"/>
      <x:c r="N178" s="13" t="str"/>
      <x:c r="O178" s="13" t="str"/>
      <x:c r="P178" s="20" t="str"/>
    </x:row>
    <x:row r="179" ht="36" customHeight="1">
      <x:c r="A179" s="52" t="str"/>
      <x:c r="B179" s="13" t="str"/>
      <x:c r="C179" s="13" t="str"/>
      <x:c r="D179" s="13" t="str"/>
      <x:c r="E179" s="13" t="str"/>
      <x:c r="F179" s="13" t="str"/>
      <x:c r="G179" s="13" t="str"/>
      <x:c r="H179" s="13" t="str"/>
      <x:c r="I179" s="13" t="str">
        <x:v>☐</x:v>
      </x:c>
      <x:c r="J179" s="13" t="str"/>
      <x:c r="K179" s="13" t="str"/>
      <x:c r="L179" s="13" t="str"/>
      <x:c r="M179" s="13" t="str"/>
      <x:c r="N179" s="13" t="str"/>
      <x:c r="O179" s="13" t="str"/>
      <x:c r="P179" s="20" t="str"/>
    </x:row>
    <x:row r="180" ht="36" customHeight="1">
      <x:c r="A180" s="52" t="str"/>
      <x:c r="B180" s="13" t="str"/>
      <x:c r="C180" s="13" t="str"/>
      <x:c r="D180" s="13" t="str"/>
      <x:c r="E180" s="13" t="str"/>
      <x:c r="F180" s="13" t="str"/>
      <x:c r="G180" s="13" t="str"/>
      <x:c r="H180" s="13" t="str"/>
      <x:c r="I180" s="13" t="str">
        <x:v>☐</x:v>
      </x:c>
      <x:c r="J180" s="13" t="str"/>
      <x:c r="K180" s="13" t="str"/>
      <x:c r="L180" s="13" t="str"/>
      <x:c r="M180" s="13" t="str"/>
      <x:c r="N180" s="13" t="str"/>
      <x:c r="O180" s="13" t="str"/>
      <x:c r="P180" s="20" t="str"/>
    </x:row>
    <x:row r="181" ht="36" customHeight="1">
      <x:c r="A181" s="52" t="str"/>
      <x:c r="B181" s="13" t="str"/>
      <x:c r="C181" s="13" t="str"/>
      <x:c r="D181" s="13" t="str"/>
      <x:c r="E181" s="13" t="str"/>
      <x:c r="F181" s="13" t="str"/>
      <x:c r="G181" s="13" t="str"/>
      <x:c r="H181" s="13" t="str"/>
      <x:c r="I181" s="13" t="str">
        <x:v>☐</x:v>
      </x:c>
      <x:c r="J181" s="13" t="str"/>
      <x:c r="K181" s="13" t="str"/>
      <x:c r="L181" s="13" t="str"/>
      <x:c r="M181" s="13" t="str"/>
      <x:c r="N181" s="13" t="str"/>
      <x:c r="O181" s="13" t="str"/>
      <x:c r="P181" s="20" t="str"/>
    </x:row>
    <x:row r="182" ht="36" customHeight="1">
      <x:c r="A182" s="52" t="str"/>
      <x:c r="B182" s="13" t="str"/>
      <x:c r="C182" s="13" t="str"/>
      <x:c r="D182" s="13" t="str"/>
      <x:c r="E182" s="13" t="str"/>
      <x:c r="F182" s="13" t="str"/>
      <x:c r="G182" s="13" t="str"/>
      <x:c r="H182" s="13" t="str"/>
      <x:c r="I182" s="13" t="str">
        <x:v>☐</x:v>
      </x:c>
      <x:c r="J182" s="13" t="str"/>
      <x:c r="K182" s="13" t="str"/>
      <x:c r="L182" s="13" t="str"/>
      <x:c r="M182" s="13" t="str"/>
      <x:c r="N182" s="13" t="str"/>
      <x:c r="O182" s="13" t="str"/>
      <x:c r="P182" s="20" t="str"/>
    </x:row>
    <x:row r="183" ht="36" customHeight="1">
      <x:c r="A183" s="52" t="str"/>
      <x:c r="B183" s="13" t="str"/>
      <x:c r="C183" s="13" t="str"/>
      <x:c r="D183" s="13" t="str"/>
      <x:c r="E183" s="13" t="str"/>
      <x:c r="F183" s="13" t="str"/>
      <x:c r="G183" s="13" t="str"/>
      <x:c r="H183" s="13" t="str"/>
      <x:c r="I183" s="13" t="str">
        <x:v>☐</x:v>
      </x:c>
      <x:c r="J183" s="13" t="str"/>
      <x:c r="K183" s="13" t="str"/>
      <x:c r="L183" s="13" t="str"/>
      <x:c r="M183" s="13" t="str"/>
      <x:c r="N183" s="13" t="str"/>
      <x:c r="O183" s="13" t="str"/>
      <x:c r="P183" s="20" t="str"/>
    </x:row>
    <x:row r="184" ht="36" customHeight="1">
      <x:c r="A184" s="52" t="str"/>
      <x:c r="B184" s="13" t="str"/>
      <x:c r="C184" s="13" t="str"/>
      <x:c r="D184" s="13" t="str"/>
      <x:c r="E184" s="13" t="str"/>
      <x:c r="F184" s="13" t="str"/>
      <x:c r="G184" s="13" t="str"/>
      <x:c r="H184" s="13" t="str"/>
      <x:c r="I184" s="13" t="str">
        <x:v>☐</x:v>
      </x:c>
      <x:c r="J184" s="13" t="str"/>
      <x:c r="K184" s="13" t="str"/>
      <x:c r="L184" s="13" t="str"/>
      <x:c r="M184" s="13" t="str"/>
      <x:c r="N184" s="13" t="str"/>
      <x:c r="O184" s="13" t="str"/>
      <x:c r="P184" s="20" t="str"/>
    </x:row>
    <x:row r="185" ht="36" customHeight="1">
      <x:c r="A185" s="52" t="str"/>
      <x:c r="B185" s="13" t="str"/>
      <x:c r="C185" s="13" t="str"/>
      <x:c r="D185" s="13" t="str"/>
      <x:c r="E185" s="13" t="str"/>
      <x:c r="F185" s="13" t="str"/>
      <x:c r="G185" s="13" t="str"/>
      <x:c r="H185" s="13" t="str"/>
      <x:c r="I185" s="13" t="str">
        <x:v>☐</x:v>
      </x:c>
      <x:c r="J185" s="13" t="str"/>
      <x:c r="K185" s="13" t="str"/>
      <x:c r="L185" s="13" t="str"/>
      <x:c r="M185" s="13" t="str"/>
      <x:c r="N185" s="13" t="str"/>
      <x:c r="O185" s="13" t="str"/>
      <x:c r="P185" s="20" t="str"/>
    </x:row>
    <x:row r="186" ht="36" customHeight="1">
      <x:c r="A186" s="52" t="str"/>
      <x:c r="B186" s="13" t="str"/>
      <x:c r="C186" s="13" t="str"/>
      <x:c r="D186" s="13" t="str"/>
      <x:c r="E186" s="13" t="str"/>
      <x:c r="F186" s="13" t="str"/>
      <x:c r="G186" s="13" t="str"/>
      <x:c r="H186" s="13" t="str"/>
      <x:c r="I186" s="13" t="str">
        <x:v>☐</x:v>
      </x:c>
      <x:c r="J186" s="13" t="str"/>
      <x:c r="K186" s="13" t="str"/>
      <x:c r="L186" s="13" t="str"/>
      <x:c r="M186" s="13" t="str"/>
      <x:c r="N186" s="13" t="str"/>
      <x:c r="O186" s="13" t="str"/>
      <x:c r="P186" s="20" t="str"/>
    </x:row>
    <x:row r="187" ht="36" customHeight="1">
      <x:c r="A187" s="52" t="str"/>
      <x:c r="B187" s="13" t="str"/>
      <x:c r="C187" s="13" t="str"/>
      <x:c r="D187" s="13" t="str"/>
      <x:c r="E187" s="13" t="str"/>
      <x:c r="F187" s="13" t="str"/>
      <x:c r="G187" s="13" t="str"/>
      <x:c r="H187" s="13" t="str"/>
      <x:c r="I187" s="13" t="str">
        <x:v>☐</x:v>
      </x:c>
      <x:c r="J187" s="13" t="str"/>
      <x:c r="K187" s="13" t="str"/>
      <x:c r="L187" s="13" t="str"/>
      <x:c r="M187" s="13" t="str"/>
      <x:c r="N187" s="13" t="str"/>
      <x:c r="O187" s="13" t="str"/>
      <x:c r="P187" s="20" t="str"/>
    </x:row>
    <x:row r="188" ht="36" customHeight="1">
      <x:c r="A188" s="52" t="str"/>
      <x:c r="B188" s="13" t="str"/>
      <x:c r="C188" s="13" t="str"/>
      <x:c r="D188" s="13" t="str"/>
      <x:c r="E188" s="13" t="str"/>
      <x:c r="F188" s="13" t="str"/>
      <x:c r="G188" s="13" t="str"/>
      <x:c r="H188" s="13" t="str"/>
      <x:c r="I188" s="13" t="str">
        <x:v>☐</x:v>
      </x:c>
      <x:c r="J188" s="13" t="str"/>
      <x:c r="K188" s="13" t="str"/>
      <x:c r="L188" s="13" t="str"/>
      <x:c r="M188" s="13" t="str"/>
      <x:c r="N188" s="13" t="str"/>
      <x:c r="O188" s="13" t="str"/>
      <x:c r="P188" s="20" t="str"/>
    </x:row>
    <x:row r="189" ht="36" customHeight="1">
      <x:c r="A189" s="52" t="str"/>
      <x:c r="B189" s="13" t="str"/>
      <x:c r="C189" s="13" t="str"/>
      <x:c r="D189" s="13" t="str"/>
      <x:c r="E189" s="13" t="str"/>
      <x:c r="F189" s="13" t="str"/>
      <x:c r="G189" s="13" t="str"/>
      <x:c r="H189" s="13" t="str"/>
      <x:c r="I189" s="13" t="str">
        <x:v>☐</x:v>
      </x:c>
      <x:c r="J189" s="13" t="str"/>
      <x:c r="K189" s="13" t="str"/>
      <x:c r="L189" s="13" t="str"/>
      <x:c r="M189" s="13" t="str"/>
      <x:c r="N189" s="13" t="str"/>
      <x:c r="O189" s="13" t="str"/>
      <x:c r="P189" s="20" t="str"/>
    </x:row>
    <x:row r="190" ht="36" customHeight="1">
      <x:c r="A190" s="52" t="str"/>
      <x:c r="B190" s="13" t="str"/>
      <x:c r="C190" s="13" t="str"/>
      <x:c r="D190" s="13" t="str"/>
      <x:c r="E190" s="13" t="str"/>
      <x:c r="F190" s="13" t="str"/>
      <x:c r="G190" s="13" t="str"/>
      <x:c r="H190" s="13" t="str"/>
      <x:c r="I190" s="13" t="str">
        <x:v>☐</x:v>
      </x:c>
      <x:c r="J190" s="13" t="str"/>
      <x:c r="K190" s="13" t="str"/>
      <x:c r="L190" s="13" t="str"/>
      <x:c r="M190" s="13" t="str"/>
      <x:c r="N190" s="13" t="str"/>
      <x:c r="O190" s="13" t="str"/>
      <x:c r="P190" s="20" t="str"/>
    </x:row>
    <x:row r="191" ht="36" customHeight="1">
      <x:c r="A191" s="52" t="str"/>
      <x:c r="B191" s="13" t="str"/>
      <x:c r="C191" s="13" t="str"/>
      <x:c r="D191" s="13" t="str"/>
      <x:c r="E191" s="13" t="str"/>
      <x:c r="F191" s="13" t="str"/>
      <x:c r="G191" s="13" t="str"/>
      <x:c r="H191" s="13" t="str"/>
      <x:c r="I191" s="13" t="str">
        <x:v>☐</x:v>
      </x:c>
      <x:c r="J191" s="13" t="str"/>
      <x:c r="K191" s="13" t="str"/>
      <x:c r="L191" s="13" t="str"/>
      <x:c r="M191" s="13" t="str"/>
      <x:c r="N191" s="13" t="str"/>
      <x:c r="O191" s="13" t="str"/>
      <x:c r="P191" s="20" t="str"/>
    </x:row>
    <x:row r="192" ht="36" customHeight="1">
      <x:c r="A192" s="52" t="str"/>
      <x:c r="B192" s="13" t="str"/>
      <x:c r="C192" s="13" t="str"/>
      <x:c r="D192" s="13" t="str"/>
      <x:c r="E192" s="13" t="str"/>
      <x:c r="F192" s="13" t="str"/>
      <x:c r="G192" s="13" t="str"/>
      <x:c r="H192" s="13" t="str"/>
      <x:c r="I192" s="13" t="str">
        <x:v>☐</x:v>
      </x:c>
      <x:c r="J192" s="13" t="str"/>
      <x:c r="K192" s="13" t="str"/>
      <x:c r="L192" s="13" t="str"/>
      <x:c r="M192" s="13" t="str"/>
      <x:c r="N192" s="13" t="str"/>
      <x:c r="O192" s="13" t="str"/>
      <x:c r="P192" s="20" t="str"/>
    </x:row>
    <x:row r="193" ht="36" customHeight="1">
      <x:c r="A193" s="52" t="str"/>
      <x:c r="B193" s="13" t="str"/>
      <x:c r="C193" s="13" t="str"/>
      <x:c r="D193" s="13" t="str"/>
      <x:c r="E193" s="13" t="str"/>
      <x:c r="F193" s="13" t="str"/>
      <x:c r="G193" s="13" t="str"/>
      <x:c r="H193" s="13" t="str"/>
      <x:c r="I193" s="13" t="str">
        <x:v>☐</x:v>
      </x:c>
      <x:c r="J193" s="13" t="str"/>
      <x:c r="K193" s="13" t="str"/>
      <x:c r="L193" s="13" t="str"/>
      <x:c r="M193" s="13" t="str"/>
      <x:c r="N193" s="13" t="str"/>
      <x:c r="O193" s="13" t="str"/>
      <x:c r="P193" s="20" t="str"/>
    </x:row>
    <x:row r="194" ht="36" customHeight="1">
      <x:c r="A194" s="52" t="str"/>
      <x:c r="B194" s="13" t="str"/>
      <x:c r="C194" s="13" t="str"/>
      <x:c r="D194" s="13" t="str"/>
      <x:c r="E194" s="13" t="str"/>
      <x:c r="F194" s="13" t="str"/>
      <x:c r="G194" s="13" t="str"/>
      <x:c r="H194" s="13" t="str"/>
      <x:c r="I194" s="13" t="str">
        <x:v>☐</x:v>
      </x:c>
      <x:c r="J194" s="13" t="str"/>
      <x:c r="K194" s="13" t="str"/>
      <x:c r="L194" s="13" t="str"/>
      <x:c r="M194" s="13" t="str"/>
      <x:c r="N194" s="13" t="str"/>
      <x:c r="O194" s="13" t="str"/>
      <x:c r="P194" s="20" t="str"/>
    </x:row>
    <x:row r="195" ht="36" customHeight="1">
      <x:c r="A195" s="52" t="str"/>
      <x:c r="B195" s="13" t="str"/>
      <x:c r="C195" s="13" t="str"/>
      <x:c r="D195" s="13" t="str"/>
      <x:c r="E195" s="13" t="str"/>
      <x:c r="F195" s="13" t="str"/>
      <x:c r="G195" s="13" t="str"/>
      <x:c r="H195" s="13" t="str"/>
      <x:c r="I195" s="13" t="str">
        <x:v>☐</x:v>
      </x:c>
      <x:c r="J195" s="13" t="str"/>
      <x:c r="K195" s="13" t="str"/>
      <x:c r="L195" s="13" t="str"/>
      <x:c r="M195" s="13" t="str"/>
      <x:c r="N195" s="13" t="str"/>
      <x:c r="O195" s="13" t="str"/>
      <x:c r="P195" s="20" t="str"/>
    </x:row>
    <x:row r="196" ht="36" customHeight="1">
      <x:c r="A196" s="52" t="str"/>
      <x:c r="B196" s="13" t="str"/>
      <x:c r="C196" s="13" t="str"/>
      <x:c r="D196" s="13" t="str"/>
      <x:c r="E196" s="13" t="str"/>
      <x:c r="F196" s="13" t="str"/>
      <x:c r="G196" s="13" t="str"/>
      <x:c r="H196" s="13" t="str"/>
      <x:c r="I196" s="13" t="str">
        <x:v>☐</x:v>
      </x:c>
      <x:c r="J196" s="13" t="str"/>
      <x:c r="K196" s="13" t="str"/>
      <x:c r="L196" s="13" t="str"/>
      <x:c r="M196" s="13" t="str"/>
      <x:c r="N196" s="13" t="str"/>
      <x:c r="O196" s="13" t="str"/>
      <x:c r="P196" s="20" t="str"/>
    </x:row>
    <x:row r="197" ht="36" customHeight="1">
      <x:c r="A197" s="52" t="str"/>
      <x:c r="B197" s="13" t="str"/>
      <x:c r="C197" s="13" t="str"/>
      <x:c r="D197" s="13" t="str"/>
      <x:c r="E197" s="13" t="str"/>
      <x:c r="F197" s="13" t="str"/>
      <x:c r="G197" s="13" t="str"/>
      <x:c r="H197" s="13" t="str"/>
      <x:c r="I197" s="13" t="str">
        <x:v>☐</x:v>
      </x:c>
      <x:c r="J197" s="13" t="str"/>
      <x:c r="K197" s="13" t="str"/>
      <x:c r="L197" s="13" t="str"/>
      <x:c r="M197" s="13" t="str"/>
      <x:c r="N197" s="13" t="str"/>
      <x:c r="O197" s="13" t="str"/>
      <x:c r="P197" s="20" t="str"/>
    </x:row>
    <x:row r="198" ht="36" customHeight="1">
      <x:c r="A198" s="52" t="str"/>
      <x:c r="B198" s="13" t="str"/>
      <x:c r="C198" s="13" t="str"/>
      <x:c r="D198" s="13" t="str"/>
      <x:c r="E198" s="13" t="str"/>
      <x:c r="F198" s="13" t="str"/>
      <x:c r="G198" s="13" t="str"/>
      <x:c r="H198" s="13" t="str"/>
      <x:c r="I198" s="13" t="str">
        <x:v>☐</x:v>
      </x:c>
      <x:c r="J198" s="13" t="str"/>
      <x:c r="K198" s="13" t="str"/>
      <x:c r="L198" s="13" t="str"/>
      <x:c r="M198" s="13" t="str"/>
      <x:c r="N198" s="13" t="str"/>
      <x:c r="O198" s="13" t="str"/>
      <x:c r="P198" s="20" t="str"/>
    </x:row>
    <x:row r="199" ht="36" customHeight="1">
      <x:c r="A199" s="52" t="str"/>
      <x:c r="B199" s="13" t="str"/>
      <x:c r="C199" s="13" t="str"/>
      <x:c r="D199" s="13" t="str"/>
      <x:c r="E199" s="13" t="str"/>
      <x:c r="F199" s="13" t="str"/>
      <x:c r="G199" s="13" t="str"/>
      <x:c r="H199" s="13" t="str"/>
      <x:c r="I199" s="13" t="str">
        <x:v>☐</x:v>
      </x:c>
      <x:c r="J199" s="13" t="str"/>
      <x:c r="K199" s="13" t="str"/>
      <x:c r="L199" s="13" t="str"/>
      <x:c r="M199" s="13" t="str"/>
      <x:c r="N199" s="13" t="str"/>
      <x:c r="O199" s="13" t="str"/>
      <x:c r="P199" s="20" t="str"/>
    </x:row>
    <x:row r="200" ht="36" customHeight="1">
      <x:c r="A200" s="52" t="str"/>
      <x:c r="B200" s="13" t="str"/>
      <x:c r="C200" s="13" t="str"/>
      <x:c r="D200" s="13" t="str"/>
      <x:c r="E200" s="13" t="str"/>
      <x:c r="F200" s="13" t="str"/>
      <x:c r="G200" s="13" t="str"/>
      <x:c r="H200" s="13" t="str"/>
      <x:c r="I200" s="13" t="str">
        <x:v>☐</x:v>
      </x:c>
      <x:c r="J200" s="13" t="str"/>
      <x:c r="K200" s="13" t="str"/>
      <x:c r="L200" s="13" t="str"/>
      <x:c r="M200" s="13" t="str"/>
      <x:c r="N200" s="13" t="str"/>
      <x:c r="O200" s="13" t="str"/>
      <x:c r="P200" s="20" t="str"/>
    </x:row>
    <x:row r="201" ht="36" customHeight="1">
      <x:c r="A201" s="52" t="str"/>
      <x:c r="B201" s="13" t="str"/>
      <x:c r="C201" s="13" t="str"/>
      <x:c r="D201" s="13" t="str"/>
      <x:c r="E201" s="13" t="str"/>
      <x:c r="F201" s="13" t="str"/>
      <x:c r="G201" s="13" t="str"/>
      <x:c r="H201" s="13" t="str"/>
      <x:c r="I201" s="13" t="str">
        <x:v>☐</x:v>
      </x:c>
      <x:c r="J201" s="13" t="str"/>
      <x:c r="K201" s="13" t="str"/>
      <x:c r="L201" s="13" t="str"/>
      <x:c r="M201" s="13" t="str"/>
      <x:c r="N201" s="13" t="str"/>
      <x:c r="O201" s="13" t="str"/>
      <x:c r="P201" s="20" t="str"/>
    </x:row>
    <x:row r="202" ht="36" customHeight="1">
      <x:c r="A202" s="52" t="str"/>
      <x:c r="B202" s="13" t="str"/>
      <x:c r="C202" s="13" t="str"/>
      <x:c r="D202" s="13" t="str"/>
      <x:c r="E202" s="13" t="str"/>
      <x:c r="F202" s="13" t="str"/>
      <x:c r="G202" s="13" t="str"/>
      <x:c r="H202" s="13" t="str"/>
      <x:c r="I202" s="13" t="str">
        <x:v>☐</x:v>
      </x:c>
      <x:c r="J202" s="13" t="str"/>
      <x:c r="K202" s="13" t="str"/>
      <x:c r="L202" s="13" t="str"/>
      <x:c r="M202" s="13" t="str"/>
      <x:c r="N202" s="13" t="str"/>
      <x:c r="O202" s="13" t="str"/>
      <x:c r="P202" s="20" t="str"/>
    </x:row>
    <x:row r="203" ht="36" customHeight="1">
      <x:c r="A203" s="52" t="str"/>
      <x:c r="B203" s="13" t="str"/>
      <x:c r="C203" s="13" t="str"/>
      <x:c r="D203" s="13" t="str"/>
      <x:c r="E203" s="13" t="str"/>
      <x:c r="F203" s="13" t="str"/>
      <x:c r="G203" s="13" t="str"/>
      <x:c r="H203" s="13" t="str"/>
      <x:c r="I203" s="13" t="str">
        <x:v>☐</x:v>
      </x:c>
      <x:c r="J203" s="13" t="str"/>
      <x:c r="K203" s="13" t="str"/>
      <x:c r="L203" s="13" t="str"/>
      <x:c r="M203" s="13" t="str"/>
      <x:c r="N203" s="13" t="str"/>
      <x:c r="O203" s="13" t="str"/>
      <x:c r="P203" s="20" t="str"/>
    </x:row>
    <x:row r="204" ht="36" customHeight="1">
      <x:c r="A204" s="52" t="str"/>
      <x:c r="B204" s="13" t="str"/>
      <x:c r="C204" s="13" t="str"/>
      <x:c r="D204" s="13" t="str"/>
      <x:c r="E204" s="13" t="str"/>
      <x:c r="F204" s="13" t="str"/>
      <x:c r="G204" s="13" t="str"/>
      <x:c r="H204" s="13" t="str"/>
      <x:c r="I204" s="13" t="str">
        <x:v>☐</x:v>
      </x:c>
      <x:c r="J204" s="13" t="str"/>
      <x:c r="K204" s="13" t="str"/>
      <x:c r="L204" s="13" t="str"/>
      <x:c r="M204" s="13" t="str"/>
      <x:c r="N204" s="13" t="str"/>
      <x:c r="O204" s="13" t="str"/>
      <x:c r="P204" s="20" t="str"/>
    </x:row>
    <x:row r="205" ht="36" customHeight="1">
      <x:c r="A205" s="52" t="str"/>
      <x:c r="B205" s="13" t="str"/>
      <x:c r="C205" s="13" t="str"/>
      <x:c r="D205" s="13" t="str"/>
      <x:c r="E205" s="13" t="str"/>
      <x:c r="F205" s="13" t="str"/>
      <x:c r="G205" s="13" t="str"/>
      <x:c r="H205" s="13" t="str"/>
      <x:c r="I205" s="13" t="str">
        <x:v>☐</x:v>
      </x:c>
      <x:c r="J205" s="13" t="str"/>
      <x:c r="K205" s="13" t="str"/>
      <x:c r="L205" s="13" t="str"/>
      <x:c r="M205" s="13" t="str"/>
      <x:c r="N205" s="13" t="str"/>
      <x:c r="O205" s="13" t="str"/>
      <x:c r="P205" s="20" t="str"/>
    </x:row>
    <x:row r="206" ht="36" customHeight="1">
      <x:c r="A206" s="52" t="str"/>
      <x:c r="B206" s="13" t="str"/>
      <x:c r="C206" s="13" t="str"/>
      <x:c r="D206" s="13" t="str"/>
      <x:c r="E206" s="13" t="str"/>
      <x:c r="F206" s="13" t="str"/>
      <x:c r="G206" s="13" t="str"/>
      <x:c r="H206" s="13" t="str"/>
      <x:c r="I206" s="13" t="str">
        <x:v>☐</x:v>
      </x:c>
      <x:c r="J206" s="13" t="str"/>
      <x:c r="K206" s="13" t="str"/>
      <x:c r="L206" s="13" t="str"/>
      <x:c r="M206" s="13" t="str"/>
      <x:c r="N206" s="13" t="str"/>
      <x:c r="O206" s="13" t="str"/>
      <x:c r="P206" s="20" t="str"/>
    </x:row>
    <x:row r="207" ht="36" customHeight="1">
      <x:c r="A207" s="52" t="str"/>
      <x:c r="B207" s="13" t="str"/>
      <x:c r="C207" s="13" t="str"/>
      <x:c r="D207" s="13" t="str"/>
      <x:c r="E207" s="13" t="str"/>
      <x:c r="F207" s="13" t="str"/>
      <x:c r="G207" s="13" t="str"/>
      <x:c r="H207" s="13" t="str"/>
      <x:c r="I207" s="13" t="str">
        <x:v>☐</x:v>
      </x:c>
      <x:c r="J207" s="13" t="str"/>
      <x:c r="K207" s="13" t="str"/>
      <x:c r="L207" s="13" t="str"/>
      <x:c r="M207" s="13" t="str"/>
      <x:c r="N207" s="13" t="str"/>
      <x:c r="O207" s="13" t="str"/>
      <x:c r="P207" s="20" t="str"/>
    </x:row>
    <x:row r="208" ht="36" customHeight="1">
      <x:c r="A208" s="52" t="str"/>
      <x:c r="B208" s="13" t="str"/>
      <x:c r="C208" s="13" t="str"/>
      <x:c r="D208" s="13" t="str"/>
      <x:c r="E208" s="13" t="str"/>
      <x:c r="F208" s="13" t="str"/>
      <x:c r="G208" s="13" t="str"/>
      <x:c r="H208" s="13" t="str"/>
      <x:c r="I208" s="13" t="str">
        <x:v>☐</x:v>
      </x:c>
      <x:c r="J208" s="13" t="str"/>
      <x:c r="K208" s="13" t="str"/>
      <x:c r="L208" s="13" t="str"/>
      <x:c r="M208" s="13" t="str"/>
      <x:c r="N208" s="13" t="str"/>
      <x:c r="O208" s="13" t="str"/>
      <x:c r="P208" s="20" t="str"/>
    </x:row>
    <x:row r="209" ht="36" customHeight="1">
      <x:c r="A209" s="52" t="str"/>
      <x:c r="B209" s="13" t="str"/>
      <x:c r="C209" s="13" t="str"/>
      <x:c r="D209" s="13" t="str"/>
      <x:c r="E209" s="13" t="str"/>
      <x:c r="F209" s="13" t="str"/>
      <x:c r="G209" s="13" t="str"/>
      <x:c r="H209" s="13" t="str"/>
      <x:c r="I209" s="13" t="str">
        <x:v>☐</x:v>
      </x:c>
      <x:c r="J209" s="13" t="str"/>
      <x:c r="K209" s="13" t="str"/>
      <x:c r="L209" s="13" t="str"/>
      <x:c r="M209" s="13" t="str"/>
      <x:c r="N209" s="13" t="str"/>
      <x:c r="O209" s="13" t="str"/>
      <x:c r="P209" s="20" t="str"/>
    </x:row>
    <x:row r="210" ht="36" customHeight="1">
      <x:c r="A210" s="52" t="str"/>
      <x:c r="B210" s="13" t="str"/>
      <x:c r="C210" s="13" t="str"/>
      <x:c r="D210" s="13" t="str"/>
      <x:c r="E210" s="13" t="str"/>
      <x:c r="F210" s="13" t="str"/>
      <x:c r="G210" s="13" t="str"/>
      <x:c r="H210" s="13" t="str"/>
      <x:c r="I210" s="13" t="str">
        <x:v>☐</x:v>
      </x:c>
      <x:c r="J210" s="13" t="str"/>
      <x:c r="K210" s="13" t="str"/>
      <x:c r="L210" s="13" t="str"/>
      <x:c r="M210" s="13" t="str"/>
      <x:c r="N210" s="13" t="str"/>
      <x:c r="O210" s="13" t="str"/>
      <x:c r="P210" s="20" t="str"/>
    </x:row>
    <x:row r="211" ht="36" customHeight="1">
      <x:c r="A211" s="52" t="str"/>
      <x:c r="B211" s="13" t="str"/>
      <x:c r="C211" s="13" t="str"/>
      <x:c r="D211" s="13" t="str"/>
      <x:c r="E211" s="13" t="str"/>
      <x:c r="F211" s="13" t="str"/>
      <x:c r="G211" s="13" t="str"/>
      <x:c r="H211" s="13" t="str"/>
      <x:c r="I211" s="13" t="str">
        <x:v>☐</x:v>
      </x:c>
      <x:c r="J211" s="13" t="str"/>
      <x:c r="K211" s="13" t="str"/>
      <x:c r="L211" s="13" t="str"/>
      <x:c r="M211" s="13" t="str"/>
      <x:c r="N211" s="13" t="str"/>
      <x:c r="O211" s="13" t="str"/>
      <x:c r="P211" s="20" t="str"/>
    </x:row>
    <x:row r="212" ht="36" customHeight="1">
      <x:c r="A212" s="52" t="str"/>
      <x:c r="B212" s="13" t="str"/>
      <x:c r="C212" s="13" t="str"/>
      <x:c r="D212" s="13" t="str"/>
      <x:c r="E212" s="13" t="str"/>
      <x:c r="F212" s="13" t="str"/>
      <x:c r="G212" s="13" t="str"/>
      <x:c r="H212" s="13" t="str"/>
      <x:c r="I212" s="13" t="str">
        <x:v>☐</x:v>
      </x:c>
      <x:c r="J212" s="13" t="str"/>
      <x:c r="K212" s="13" t="str"/>
      <x:c r="L212" s="13" t="str"/>
      <x:c r="M212" s="13" t="str"/>
      <x:c r="N212" s="13" t="str"/>
      <x:c r="O212" s="13" t="str"/>
      <x:c r="P212" s="20" t="str"/>
    </x:row>
    <x:row r="213" ht="36" customHeight="1">
      <x:c r="A213" s="52" t="str"/>
      <x:c r="B213" s="13" t="str"/>
      <x:c r="C213" s="13" t="str"/>
      <x:c r="D213" s="13" t="str"/>
      <x:c r="E213" s="13" t="str"/>
      <x:c r="F213" s="13" t="str"/>
      <x:c r="G213" s="13" t="str"/>
      <x:c r="H213" s="13" t="str"/>
      <x:c r="I213" s="13" t="str">
        <x:v>☐</x:v>
      </x:c>
      <x:c r="J213" s="13" t="str"/>
      <x:c r="K213" s="13" t="str"/>
      <x:c r="L213" s="13" t="str"/>
      <x:c r="M213" s="13" t="str"/>
      <x:c r="N213" s="13" t="str"/>
      <x:c r="O213" s="13" t="str"/>
      <x:c r="P213" s="20" t="str"/>
    </x:row>
    <x:row r="214" ht="36" customHeight="1">
      <x:c r="A214" s="52" t="str"/>
      <x:c r="B214" s="13" t="str"/>
      <x:c r="C214" s="13" t="str"/>
      <x:c r="D214" s="13" t="str"/>
      <x:c r="E214" s="13" t="str"/>
      <x:c r="F214" s="13" t="str"/>
      <x:c r="G214" s="13" t="str"/>
      <x:c r="H214" s="13" t="str"/>
      <x:c r="I214" s="13" t="str">
        <x:v>☐</x:v>
      </x:c>
      <x:c r="J214" s="13" t="str"/>
      <x:c r="K214" s="13" t="str"/>
      <x:c r="L214" s="13" t="str"/>
      <x:c r="M214" s="13" t="str"/>
      <x:c r="N214" s="13" t="str"/>
      <x:c r="O214" s="13" t="str"/>
      <x:c r="P214" s="20" t="str"/>
    </x:row>
    <x:row r="215" ht="36" customHeight="1">
      <x:c r="A215" s="52" t="str"/>
      <x:c r="B215" s="13" t="str"/>
      <x:c r="C215" s="13" t="str"/>
      <x:c r="D215" s="13" t="str"/>
      <x:c r="E215" s="13" t="str"/>
      <x:c r="F215" s="13" t="str"/>
      <x:c r="G215" s="13" t="str"/>
      <x:c r="H215" s="13" t="str"/>
      <x:c r="I215" s="13" t="str">
        <x:v>☐</x:v>
      </x:c>
      <x:c r="J215" s="13" t="str"/>
      <x:c r="K215" s="13" t="str"/>
      <x:c r="L215" s="13" t="str"/>
      <x:c r="M215" s="13" t="str"/>
      <x:c r="N215" s="13" t="str"/>
      <x:c r="O215" s="13" t="str"/>
      <x:c r="P215" s="20" t="str"/>
    </x:row>
    <x:row r="216" ht="36" customHeight="1">
      <x:c r="A216" s="52" t="str"/>
      <x:c r="B216" s="13" t="str"/>
      <x:c r="C216" s="13" t="str"/>
      <x:c r="D216" s="13" t="str"/>
      <x:c r="E216" s="13" t="str"/>
      <x:c r="F216" s="13" t="str"/>
      <x:c r="G216" s="13" t="str"/>
      <x:c r="H216" s="13" t="str"/>
      <x:c r="I216" s="13" t="str">
        <x:v>☐</x:v>
      </x:c>
      <x:c r="J216" s="13" t="str"/>
      <x:c r="K216" s="13" t="str"/>
      <x:c r="L216" s="13" t="str"/>
      <x:c r="M216" s="13" t="str"/>
      <x:c r="N216" s="13" t="str"/>
      <x:c r="O216" s="13" t="str"/>
      <x:c r="P216" s="20" t="str"/>
    </x:row>
    <x:row r="217" ht="36" customHeight="1">
      <x:c r="A217" s="52" t="str"/>
      <x:c r="B217" s="13" t="str"/>
      <x:c r="C217" s="13" t="str"/>
      <x:c r="D217" s="13" t="str"/>
      <x:c r="E217" s="13" t="str"/>
      <x:c r="F217" s="13" t="str"/>
      <x:c r="G217" s="13" t="str"/>
      <x:c r="H217" s="13" t="str"/>
      <x:c r="I217" s="13" t="str">
        <x:v>☐</x:v>
      </x:c>
      <x:c r="J217" s="13" t="str"/>
      <x:c r="K217" s="13" t="str"/>
      <x:c r="L217" s="13" t="str"/>
      <x:c r="M217" s="13" t="str"/>
      <x:c r="N217" s="13" t="str"/>
      <x:c r="O217" s="13" t="str"/>
      <x:c r="P217" s="20" t="str"/>
    </x:row>
    <x:row r="218" ht="36" customHeight="1">
      <x:c r="A218" s="52" t="str"/>
      <x:c r="B218" s="13" t="str"/>
      <x:c r="C218" s="13" t="str"/>
      <x:c r="D218" s="13" t="str"/>
      <x:c r="E218" s="13" t="str"/>
      <x:c r="F218" s="13" t="str"/>
      <x:c r="G218" s="13" t="str"/>
      <x:c r="H218" s="13" t="str"/>
      <x:c r="I218" s="13" t="str">
        <x:v>☐</x:v>
      </x:c>
      <x:c r="J218" s="13" t="str"/>
      <x:c r="K218" s="13" t="str"/>
      <x:c r="L218" s="13" t="str"/>
      <x:c r="M218" s="13" t="str"/>
      <x:c r="N218" s="13" t="str"/>
      <x:c r="O218" s="13" t="str"/>
      <x:c r="P218" s="20" t="str"/>
    </x:row>
    <x:row r="219" ht="36" customHeight="1">
      <x:c r="A219" s="52" t="str"/>
      <x:c r="B219" s="13" t="str"/>
      <x:c r="C219" s="13" t="str"/>
      <x:c r="D219" s="13" t="str"/>
      <x:c r="E219" s="13" t="str"/>
      <x:c r="F219" s="13" t="str"/>
      <x:c r="G219" s="13" t="str"/>
      <x:c r="H219" s="13" t="str"/>
      <x:c r="I219" s="13" t="str">
        <x:v>☐</x:v>
      </x:c>
      <x:c r="J219" s="13" t="str"/>
      <x:c r="K219" s="13" t="str"/>
      <x:c r="L219" s="13" t="str"/>
      <x:c r="M219" s="13" t="str"/>
      <x:c r="N219" s="13" t="str"/>
      <x:c r="O219" s="13" t="str"/>
      <x:c r="P219" s="20" t="str"/>
    </x:row>
    <x:row r="220" ht="36" customHeight="1">
      <x:c r="A220" s="52" t="str"/>
      <x:c r="B220" s="13" t="str"/>
      <x:c r="C220" s="13" t="str"/>
      <x:c r="D220" s="13" t="str"/>
      <x:c r="E220" s="13" t="str"/>
      <x:c r="F220" s="13" t="str"/>
      <x:c r="G220" s="13" t="str"/>
      <x:c r="H220" s="13" t="str"/>
      <x:c r="I220" s="13" t="str">
        <x:v>☐</x:v>
      </x:c>
      <x:c r="J220" s="13" t="str"/>
      <x:c r="K220" s="13" t="str"/>
      <x:c r="L220" s="13" t="str"/>
      <x:c r="M220" s="13" t="str"/>
      <x:c r="N220" s="13" t="str"/>
      <x:c r="O220" s="13" t="str"/>
      <x:c r="P220" s="20" t="str"/>
    </x:row>
    <x:row r="221" ht="36" customHeight="1">
      <x:c r="A221" s="52" t="str"/>
      <x:c r="B221" s="13" t="str"/>
      <x:c r="C221" s="13" t="str"/>
      <x:c r="D221" s="13" t="str"/>
      <x:c r="E221" s="13" t="str"/>
      <x:c r="F221" s="13" t="str"/>
      <x:c r="G221" s="13" t="str"/>
      <x:c r="H221" s="13" t="str"/>
      <x:c r="I221" s="13" t="str">
        <x:v>☐</x:v>
      </x:c>
      <x:c r="J221" s="13" t="str"/>
      <x:c r="K221" s="13" t="str"/>
      <x:c r="L221" s="13" t="str"/>
      <x:c r="M221" s="13" t="str"/>
      <x:c r="N221" s="13" t="str"/>
      <x:c r="O221" s="13" t="str"/>
      <x:c r="P221" s="20" t="str"/>
    </x:row>
    <x:row r="222" ht="36" customHeight="1">
      <x:c r="A222" s="52" t="str"/>
      <x:c r="B222" s="13" t="str"/>
      <x:c r="C222" s="13" t="str"/>
      <x:c r="D222" s="13" t="str"/>
      <x:c r="E222" s="13" t="str"/>
      <x:c r="F222" s="13" t="str"/>
      <x:c r="G222" s="13" t="str"/>
      <x:c r="H222" s="13" t="str"/>
      <x:c r="I222" s="13" t="str">
        <x:v>☐</x:v>
      </x:c>
      <x:c r="J222" s="13" t="str"/>
      <x:c r="K222" s="13" t="str"/>
      <x:c r="L222" s="13" t="str"/>
      <x:c r="M222" s="13" t="str"/>
      <x:c r="N222" s="13" t="str"/>
      <x:c r="O222" s="13" t="str"/>
      <x:c r="P222" s="20" t="str"/>
    </x:row>
    <x:row r="223" ht="36" customHeight="1">
      <x:c r="A223" s="52" t="str"/>
      <x:c r="B223" s="13" t="str"/>
      <x:c r="C223" s="13" t="str"/>
      <x:c r="D223" s="13" t="str"/>
      <x:c r="E223" s="13" t="str"/>
      <x:c r="F223" s="13" t="str"/>
      <x:c r="G223" s="13" t="str"/>
      <x:c r="H223" s="13" t="str"/>
      <x:c r="I223" s="13" t="str">
        <x:v>☐</x:v>
      </x:c>
      <x:c r="J223" s="13" t="str"/>
      <x:c r="K223" s="13" t="str"/>
      <x:c r="L223" s="13" t="str"/>
      <x:c r="M223" s="13" t="str"/>
      <x:c r="N223" s="13" t="str"/>
      <x:c r="O223" s="13" t="str"/>
      <x:c r="P223" s="20" t="str"/>
    </x:row>
    <x:row r="224" ht="36" customHeight="1">
      <x:c r="A224" s="52" t="str"/>
      <x:c r="B224" s="13" t="str"/>
      <x:c r="C224" s="13" t="str"/>
      <x:c r="D224" s="13" t="str"/>
      <x:c r="E224" s="13" t="str"/>
      <x:c r="F224" s="13" t="str"/>
      <x:c r="G224" s="13" t="str"/>
      <x:c r="H224" s="13" t="str"/>
      <x:c r="I224" s="13" t="str">
        <x:v>☐</x:v>
      </x:c>
      <x:c r="J224" s="13" t="str"/>
      <x:c r="K224" s="13" t="str"/>
      <x:c r="L224" s="13" t="str"/>
      <x:c r="M224" s="13" t="str"/>
      <x:c r="N224" s="13" t="str"/>
      <x:c r="O224" s="13" t="str"/>
      <x:c r="P224" s="20" t="str"/>
    </x:row>
    <x:row r="225" ht="36" customHeight="1">
      <x:c r="A225" s="52" t="str"/>
      <x:c r="B225" s="13" t="str"/>
      <x:c r="C225" s="13" t="str"/>
      <x:c r="D225" s="13" t="str"/>
      <x:c r="E225" s="13" t="str"/>
      <x:c r="F225" s="13" t="str"/>
      <x:c r="G225" s="13" t="str"/>
      <x:c r="H225" s="13" t="str"/>
      <x:c r="I225" s="13" t="str">
        <x:v>☐</x:v>
      </x:c>
      <x:c r="J225" s="13" t="str"/>
      <x:c r="K225" s="13" t="str"/>
      <x:c r="L225" s="13" t="str"/>
      <x:c r="M225" s="13" t="str"/>
      <x:c r="N225" s="13" t="str"/>
      <x:c r="O225" s="13" t="str"/>
      <x:c r="P225" s="20" t="str"/>
    </x:row>
    <x:row r="226" ht="36" customHeight="1">
      <x:c r="A226" s="52" t="str"/>
      <x:c r="B226" s="13" t="str"/>
      <x:c r="C226" s="13" t="str"/>
      <x:c r="D226" s="13" t="str"/>
      <x:c r="E226" s="13" t="str"/>
      <x:c r="F226" s="13" t="str"/>
      <x:c r="G226" s="13" t="str"/>
      <x:c r="H226" s="13" t="str"/>
      <x:c r="I226" s="13" t="str">
        <x:v>☐</x:v>
      </x:c>
      <x:c r="J226" s="13" t="str"/>
      <x:c r="K226" s="13" t="str"/>
      <x:c r="L226" s="13" t="str"/>
      <x:c r="M226" s="13" t="str"/>
      <x:c r="N226" s="13" t="str"/>
      <x:c r="O226" s="13" t="str"/>
      <x:c r="P226" s="20" t="str"/>
    </x:row>
    <x:row r="227" ht="36" customHeight="1">
      <x:c r="A227" s="52" t="str"/>
      <x:c r="B227" s="13" t="str"/>
      <x:c r="C227" s="13" t="str"/>
      <x:c r="D227" s="13" t="str"/>
      <x:c r="E227" s="13" t="str"/>
      <x:c r="F227" s="13" t="str"/>
      <x:c r="G227" s="13" t="str"/>
      <x:c r="H227" s="13" t="str"/>
      <x:c r="I227" s="13" t="str">
        <x:v>☐</x:v>
      </x:c>
      <x:c r="J227" s="13" t="str"/>
      <x:c r="K227" s="13" t="str"/>
      <x:c r="L227" s="13" t="str"/>
      <x:c r="M227" s="13" t="str"/>
      <x:c r="N227" s="13" t="str"/>
      <x:c r="O227" s="13" t="str"/>
      <x:c r="P227" s="20" t="str"/>
    </x:row>
    <x:row r="228" ht="36" customHeight="1">
      <x:c r="A228" s="52" t="str"/>
      <x:c r="B228" s="13" t="str"/>
      <x:c r="C228" s="13" t="str"/>
      <x:c r="D228" s="13" t="str"/>
      <x:c r="E228" s="13" t="str"/>
      <x:c r="F228" s="13" t="str"/>
      <x:c r="G228" s="13" t="str"/>
      <x:c r="H228" s="13" t="str"/>
      <x:c r="I228" s="13" t="str">
        <x:v>☐</x:v>
      </x:c>
      <x:c r="J228" s="13" t="str"/>
      <x:c r="K228" s="13" t="str"/>
      <x:c r="L228" s="13" t="str"/>
      <x:c r="M228" s="13" t="str"/>
      <x:c r="N228" s="13" t="str"/>
      <x:c r="O228" s="13" t="str"/>
      <x:c r="P228" s="20" t="str"/>
    </x:row>
    <x:row r="229" ht="36" customHeight="1">
      <x:c r="A229" s="52" t="str"/>
      <x:c r="B229" s="13" t="str"/>
      <x:c r="C229" s="13" t="str"/>
      <x:c r="D229" s="13" t="str"/>
      <x:c r="E229" s="13" t="str"/>
      <x:c r="F229" s="13" t="str"/>
      <x:c r="G229" s="13" t="str"/>
      <x:c r="H229" s="13" t="str"/>
      <x:c r="I229" s="13" t="str">
        <x:v>☐</x:v>
      </x:c>
      <x:c r="J229" s="13" t="str"/>
      <x:c r="K229" s="13" t="str"/>
      <x:c r="L229" s="13" t="str"/>
      <x:c r="M229" s="13" t="str"/>
      <x:c r="N229" s="13" t="str"/>
      <x:c r="O229" s="13" t="str"/>
      <x:c r="P229" s="20" t="str"/>
    </x:row>
    <x:row r="230" ht="36" customHeight="1">
      <x:c r="A230" s="52" t="str"/>
      <x:c r="B230" s="13" t="str"/>
      <x:c r="C230" s="13" t="str"/>
      <x:c r="D230" s="13" t="str"/>
      <x:c r="E230" s="13" t="str"/>
      <x:c r="F230" s="13" t="str"/>
      <x:c r="G230" s="13" t="str"/>
      <x:c r="H230" s="13" t="str"/>
      <x:c r="I230" s="13" t="str">
        <x:v>☐</x:v>
      </x:c>
      <x:c r="J230" s="13" t="str"/>
      <x:c r="K230" s="13" t="str"/>
      <x:c r="L230" s="13" t="str"/>
      <x:c r="M230" s="13" t="str"/>
      <x:c r="N230" s="13" t="str"/>
      <x:c r="O230" s="13" t="str"/>
      <x:c r="P230" s="20" t="str"/>
    </x:row>
    <x:row r="231" ht="36" customHeight="1">
      <x:c r="A231" s="52" t="str"/>
      <x:c r="B231" s="13" t="str"/>
      <x:c r="C231" s="13" t="str"/>
      <x:c r="D231" s="13" t="str"/>
      <x:c r="E231" s="13" t="str"/>
      <x:c r="F231" s="13" t="str"/>
      <x:c r="G231" s="13" t="str"/>
      <x:c r="H231" s="13" t="str"/>
      <x:c r="I231" s="13" t="str">
        <x:v>☐</x:v>
      </x:c>
      <x:c r="J231" s="13" t="str"/>
      <x:c r="K231" s="13" t="str"/>
      <x:c r="L231" s="13" t="str"/>
      <x:c r="M231" s="13" t="str"/>
      <x:c r="N231" s="13" t="str"/>
      <x:c r="O231" s="13" t="str"/>
      <x:c r="P231" s="20" t="str"/>
    </x:row>
    <x:row r="232" ht="36" customHeight="1">
      <x:c r="A232" s="52" t="str"/>
      <x:c r="B232" s="13" t="str"/>
      <x:c r="C232" s="13" t="str"/>
      <x:c r="D232" s="13" t="str"/>
      <x:c r="E232" s="13" t="str"/>
      <x:c r="F232" s="13" t="str"/>
      <x:c r="G232" s="13" t="str"/>
      <x:c r="H232" s="13" t="str"/>
      <x:c r="I232" s="13" t="str">
        <x:v>☐</x:v>
      </x:c>
      <x:c r="J232" s="13" t="str"/>
      <x:c r="K232" s="13" t="str"/>
      <x:c r="L232" s="13" t="str"/>
      <x:c r="M232" s="13" t="str"/>
      <x:c r="N232" s="13" t="str"/>
      <x:c r="O232" s="13" t="str"/>
      <x:c r="P232" s="20" t="str"/>
    </x:row>
    <x:row r="233" ht="36" customHeight="1">
      <x:c r="A233" s="52" t="str"/>
      <x:c r="B233" s="13" t="str"/>
      <x:c r="C233" s="13" t="str"/>
      <x:c r="D233" s="13" t="str"/>
      <x:c r="E233" s="13" t="str"/>
      <x:c r="F233" s="13" t="str"/>
      <x:c r="G233" s="13" t="str"/>
      <x:c r="H233" s="13" t="str"/>
      <x:c r="I233" s="13" t="str">
        <x:v>☐</x:v>
      </x:c>
      <x:c r="J233" s="13" t="str"/>
      <x:c r="K233" s="13" t="str"/>
      <x:c r="L233" s="13" t="str"/>
      <x:c r="M233" s="13" t="str"/>
      <x:c r="N233" s="13" t="str"/>
      <x:c r="O233" s="13" t="str"/>
      <x:c r="P233" s="20" t="str"/>
    </x:row>
    <x:row r="234" ht="36" customHeight="1">
      <x:c r="A234" s="52" t="str"/>
      <x:c r="B234" s="13" t="str"/>
      <x:c r="C234" s="13" t="str"/>
      <x:c r="D234" s="13" t="str"/>
      <x:c r="E234" s="13" t="str"/>
      <x:c r="F234" s="13" t="str"/>
      <x:c r="G234" s="13" t="str"/>
      <x:c r="H234" s="13" t="str"/>
      <x:c r="I234" s="13" t="str">
        <x:v>☐</x:v>
      </x:c>
      <x:c r="J234" s="13" t="str"/>
      <x:c r="K234" s="13" t="str"/>
      <x:c r="L234" s="13" t="str"/>
      <x:c r="M234" s="13" t="str"/>
      <x:c r="N234" s="13" t="str"/>
      <x:c r="O234" s="13" t="str"/>
      <x:c r="P234" s="20" t="str"/>
    </x:row>
    <x:row r="235" ht="36" customHeight="1">
      <x:c r="A235" s="52" t="str"/>
      <x:c r="B235" s="13" t="str"/>
      <x:c r="C235" s="13" t="str"/>
      <x:c r="D235" s="13" t="str"/>
      <x:c r="E235" s="13" t="str"/>
      <x:c r="F235" s="13" t="str"/>
      <x:c r="G235" s="13" t="str"/>
      <x:c r="H235" s="13" t="str"/>
      <x:c r="I235" s="13" t="str">
        <x:v>☐</x:v>
      </x:c>
      <x:c r="J235" s="13" t="str"/>
      <x:c r="K235" s="13" t="str"/>
      <x:c r="L235" s="13" t="str"/>
      <x:c r="M235" s="13" t="str"/>
      <x:c r="N235" s="13" t="str"/>
      <x:c r="O235" s="13" t="str"/>
      <x:c r="P235" s="20" t="str"/>
    </x:row>
    <x:row r="236" ht="36" customHeight="1">
      <x:c r="A236" s="52" t="str"/>
      <x:c r="B236" s="13" t="str"/>
      <x:c r="C236" s="13" t="str"/>
      <x:c r="D236" s="13" t="str"/>
      <x:c r="E236" s="13" t="str"/>
      <x:c r="F236" s="13" t="str"/>
      <x:c r="G236" s="13" t="str"/>
      <x:c r="H236" s="13" t="str"/>
      <x:c r="I236" s="13" t="str">
        <x:v>☐</x:v>
      </x:c>
      <x:c r="J236" s="13" t="str"/>
      <x:c r="K236" s="13" t="str"/>
      <x:c r="L236" s="13" t="str"/>
      <x:c r="M236" s="13" t="str"/>
      <x:c r="N236" s="13" t="str"/>
      <x:c r="O236" s="13" t="str"/>
      <x:c r="P236" s="20" t="str"/>
    </x:row>
    <x:row r="237" ht="36" customHeight="1">
      <x:c r="A237" s="52" t="str"/>
      <x:c r="B237" s="13" t="str"/>
      <x:c r="C237" s="13" t="str"/>
      <x:c r="D237" s="13" t="str"/>
      <x:c r="E237" s="13" t="str"/>
      <x:c r="F237" s="13" t="str"/>
      <x:c r="G237" s="13" t="str"/>
      <x:c r="H237" s="13" t="str"/>
      <x:c r="I237" s="13" t="str">
        <x:v>☐</x:v>
      </x:c>
      <x:c r="J237" s="13" t="str"/>
      <x:c r="K237" s="13" t="str"/>
      <x:c r="L237" s="13" t="str"/>
      <x:c r="M237" s="13" t="str"/>
      <x:c r="N237" s="13" t="str"/>
      <x:c r="O237" s="13" t="str"/>
      <x:c r="P237" s="20" t="str"/>
    </x:row>
    <x:row r="238" ht="36" customHeight="1">
      <x:c r="A238" s="52" t="str"/>
      <x:c r="B238" s="13" t="str"/>
      <x:c r="C238" s="13" t="str"/>
      <x:c r="D238" s="13" t="str"/>
      <x:c r="E238" s="13" t="str"/>
      <x:c r="F238" s="13" t="str"/>
      <x:c r="G238" s="13" t="str"/>
      <x:c r="H238" s="13" t="str"/>
      <x:c r="I238" s="13" t="str">
        <x:v>☐</x:v>
      </x:c>
      <x:c r="J238" s="13" t="str"/>
      <x:c r="K238" s="13" t="str"/>
      <x:c r="L238" s="13" t="str"/>
      <x:c r="M238" s="13" t="str"/>
      <x:c r="N238" s="13" t="str"/>
      <x:c r="O238" s="13" t="str"/>
      <x:c r="P238" s="20" t="str"/>
    </x:row>
    <x:row r="239" ht="36" customHeight="1">
      <x:c r="A239" s="52" t="str"/>
      <x:c r="B239" s="13" t="str"/>
      <x:c r="C239" s="13" t="str"/>
      <x:c r="D239" s="13" t="str"/>
      <x:c r="E239" s="13" t="str"/>
      <x:c r="F239" s="13" t="str"/>
      <x:c r="G239" s="13" t="str"/>
      <x:c r="H239" s="13" t="str"/>
      <x:c r="I239" s="13" t="str">
        <x:v>☐</x:v>
      </x:c>
      <x:c r="J239" s="13" t="str"/>
      <x:c r="K239" s="13" t="str"/>
      <x:c r="L239" s="13" t="str"/>
      <x:c r="M239" s="13" t="str"/>
      <x:c r="N239" s="13" t="str"/>
      <x:c r="O239" s="13" t="str"/>
      <x:c r="P239" s="20" t="str"/>
    </x:row>
    <x:row r="240" ht="36" customHeight="1">
      <x:c r="A240" s="52" t="str"/>
      <x:c r="B240" s="13" t="str"/>
      <x:c r="C240" s="13" t="str"/>
      <x:c r="D240" s="13" t="str"/>
      <x:c r="E240" s="13" t="str"/>
      <x:c r="F240" s="13" t="str"/>
      <x:c r="G240" s="13" t="str"/>
      <x:c r="H240" s="13" t="str"/>
      <x:c r="I240" s="13" t="str">
        <x:v>☐</x:v>
      </x:c>
      <x:c r="J240" s="13" t="str"/>
      <x:c r="K240" s="13" t="str"/>
      <x:c r="L240" s="13" t="str"/>
      <x:c r="M240" s="13" t="str"/>
      <x:c r="N240" s="13" t="str"/>
      <x:c r="O240" s="13" t="str"/>
      <x:c r="P240" s="20" t="str"/>
    </x:row>
    <x:row r="241" ht="36" customHeight="1">
      <x:c r="A241" s="52" t="str"/>
      <x:c r="B241" s="13" t="str"/>
      <x:c r="C241" s="13" t="str"/>
      <x:c r="D241" s="13" t="str"/>
      <x:c r="E241" s="13" t="str"/>
      <x:c r="F241" s="13" t="str"/>
      <x:c r="G241" s="13" t="str"/>
      <x:c r="H241" s="13" t="str"/>
      <x:c r="I241" s="13" t="str">
        <x:v>☐</x:v>
      </x:c>
      <x:c r="J241" s="13" t="str"/>
      <x:c r="K241" s="13" t="str"/>
      <x:c r="L241" s="13" t="str"/>
      <x:c r="M241" s="13" t="str"/>
      <x:c r="N241" s="13" t="str"/>
      <x:c r="O241" s="13" t="str"/>
      <x:c r="P241" s="20" t="str"/>
    </x:row>
    <x:row r="242" ht="36" customHeight="1">
      <x:c r="A242" s="52" t="str"/>
      <x:c r="B242" s="13" t="str"/>
      <x:c r="C242" s="13" t="str"/>
      <x:c r="D242" s="13" t="str"/>
      <x:c r="E242" s="13" t="str"/>
      <x:c r="F242" s="13" t="str"/>
      <x:c r="G242" s="13" t="str"/>
      <x:c r="H242" s="13" t="str"/>
      <x:c r="I242" s="13" t="str">
        <x:v>☐</x:v>
      </x:c>
      <x:c r="J242" s="13" t="str"/>
      <x:c r="K242" s="13" t="str"/>
      <x:c r="L242" s="13" t="str"/>
      <x:c r="M242" s="13" t="str"/>
      <x:c r="N242" s="13" t="str"/>
      <x:c r="O242" s="13" t="str"/>
      <x:c r="P242" s="20" t="str"/>
    </x:row>
    <x:row r="243" ht="36" customHeight="1">
      <x:c r="A243" s="52" t="str"/>
      <x:c r="B243" s="13" t="str"/>
      <x:c r="C243" s="13" t="str"/>
      <x:c r="D243" s="13" t="str"/>
      <x:c r="E243" s="13" t="str"/>
      <x:c r="F243" s="13" t="str"/>
      <x:c r="G243" s="13" t="str"/>
      <x:c r="H243" s="13" t="str"/>
      <x:c r="I243" s="13" t="str">
        <x:v>☐</x:v>
      </x:c>
      <x:c r="J243" s="13" t="str"/>
      <x:c r="K243" s="13" t="str"/>
      <x:c r="L243" s="13" t="str"/>
      <x:c r="M243" s="13" t="str"/>
      <x:c r="N243" s="13" t="str"/>
      <x:c r="O243" s="13" t="str"/>
      <x:c r="P243" s="20" t="str"/>
    </x:row>
    <x:row r="244" ht="36" customHeight="1">
      <x:c r="A244" s="52" t="str"/>
      <x:c r="B244" s="13" t="str"/>
      <x:c r="C244" s="13" t="str"/>
      <x:c r="D244" s="13" t="str"/>
      <x:c r="E244" s="13" t="str"/>
      <x:c r="F244" s="13" t="str"/>
      <x:c r="G244" s="13" t="str"/>
      <x:c r="H244" s="13" t="str"/>
      <x:c r="I244" s="13" t="str">
        <x:v>☐</x:v>
      </x:c>
      <x:c r="J244" s="13" t="str"/>
      <x:c r="K244" s="13" t="str"/>
      <x:c r="L244" s="13" t="str"/>
      <x:c r="M244" s="13" t="str"/>
      <x:c r="N244" s="13" t="str"/>
      <x:c r="O244" s="13" t="str"/>
      <x:c r="P244" s="20" t="str"/>
    </x:row>
    <x:row r="245" ht="36" customHeight="1">
      <x:c r="A245" s="52" t="str"/>
      <x:c r="B245" s="13" t="str"/>
      <x:c r="C245" s="13" t="str"/>
      <x:c r="D245" s="13" t="str"/>
      <x:c r="E245" s="13" t="str"/>
      <x:c r="F245" s="13" t="str"/>
      <x:c r="G245" s="13" t="str"/>
      <x:c r="H245" s="13" t="str"/>
      <x:c r="I245" s="13" t="str">
        <x:v>☐</x:v>
      </x:c>
      <x:c r="J245" s="13" t="str"/>
      <x:c r="K245" s="13" t="str"/>
      <x:c r="L245" s="13" t="str"/>
      <x:c r="M245" s="13" t="str"/>
      <x:c r="N245" s="13" t="str"/>
      <x:c r="O245" s="13" t="str"/>
      <x:c r="P245" s="20" t="str"/>
    </x:row>
    <x:row r="246" ht="36" customHeight="1">
      <x:c r="A246" s="52" t="str"/>
      <x:c r="B246" s="13" t="str"/>
      <x:c r="C246" s="13" t="str"/>
      <x:c r="D246" s="13" t="str"/>
      <x:c r="E246" s="13" t="str"/>
      <x:c r="F246" s="13" t="str"/>
      <x:c r="G246" s="13" t="str"/>
      <x:c r="H246" s="13" t="str"/>
      <x:c r="I246" s="13" t="str">
        <x:v>☐</x:v>
      </x:c>
      <x:c r="J246" s="13" t="str"/>
      <x:c r="K246" s="13" t="str"/>
      <x:c r="L246" s="13" t="str"/>
      <x:c r="M246" s="13" t="str"/>
      <x:c r="N246" s="13" t="str"/>
      <x:c r="O246" s="13" t="str"/>
      <x:c r="P246" s="20" t="str"/>
    </x:row>
    <x:row r="247" ht="36" customHeight="1">
      <x:c r="A247" s="52" t="str"/>
      <x:c r="B247" s="13" t="str"/>
      <x:c r="C247" s="13" t="str"/>
      <x:c r="D247" s="13" t="str"/>
      <x:c r="E247" s="13" t="str"/>
      <x:c r="F247" s="13" t="str"/>
      <x:c r="G247" s="13" t="str"/>
      <x:c r="H247" s="13" t="str"/>
      <x:c r="I247" s="13" t="str">
        <x:v>☐</x:v>
      </x:c>
      <x:c r="J247" s="13" t="str"/>
      <x:c r="K247" s="13" t="str"/>
      <x:c r="L247" s="13" t="str"/>
      <x:c r="M247" s="13" t="str"/>
      <x:c r="N247" s="13" t="str"/>
      <x:c r="O247" s="13" t="str"/>
      <x:c r="P247" s="20" t="str"/>
    </x:row>
    <x:row r="248" ht="36" customHeight="1">
      <x:c r="A248" s="52" t="str"/>
      <x:c r="B248" s="13" t="str"/>
      <x:c r="C248" s="13" t="str"/>
      <x:c r="D248" s="13" t="str"/>
      <x:c r="E248" s="13" t="str"/>
      <x:c r="F248" s="13" t="str"/>
      <x:c r="G248" s="13" t="str"/>
      <x:c r="H248" s="13" t="str"/>
      <x:c r="I248" s="13" t="str">
        <x:v>☐</x:v>
      </x:c>
      <x:c r="J248" s="13" t="str"/>
      <x:c r="K248" s="13" t="str"/>
      <x:c r="L248" s="13" t="str"/>
      <x:c r="M248" s="13" t="str"/>
      <x:c r="N248" s="13" t="str"/>
      <x:c r="O248" s="13" t="str"/>
      <x:c r="P248" s="20" t="str"/>
    </x:row>
    <x:row r="249" ht="36" customHeight="1">
      <x:c r="A249" s="52" t="str"/>
      <x:c r="B249" s="13" t="str"/>
      <x:c r="C249" s="13" t="str"/>
      <x:c r="D249" s="13" t="str"/>
      <x:c r="E249" s="13" t="str"/>
      <x:c r="F249" s="13" t="str"/>
      <x:c r="G249" s="13" t="str"/>
      <x:c r="H249" s="13" t="str"/>
      <x:c r="I249" s="13" t="str">
        <x:v>☐</x:v>
      </x:c>
      <x:c r="J249" s="13" t="str"/>
      <x:c r="K249" s="13" t="str"/>
      <x:c r="L249" s="13" t="str"/>
      <x:c r="M249" s="13" t="str"/>
      <x:c r="N249" s="13" t="str"/>
      <x:c r="O249" s="13" t="str"/>
      <x:c r="P249" s="20" t="str"/>
    </x:row>
    <x:row r="250" ht="36" customHeight="1">
      <x:c r="A250" s="52" t="str"/>
      <x:c r="B250" s="13" t="str"/>
      <x:c r="C250" s="13" t="str"/>
      <x:c r="D250" s="13" t="str"/>
      <x:c r="E250" s="13" t="str"/>
      <x:c r="F250" s="13" t="str"/>
      <x:c r="G250" s="13" t="str"/>
      <x:c r="H250" s="13" t="str"/>
      <x:c r="I250" s="13" t="str">
        <x:v>☐</x:v>
      </x:c>
      <x:c r="J250" s="13" t="str"/>
      <x:c r="K250" s="13" t="str"/>
      <x:c r="L250" s="13" t="str"/>
      <x:c r="M250" s="13" t="str"/>
      <x:c r="N250" s="13" t="str"/>
      <x:c r="O250" s="13" t="str"/>
      <x:c r="P250" s="20" t="str"/>
    </x:row>
    <x:row r="251" ht="36" customHeight="1">
      <x:c r="A251" s="53" t="str"/>
      <x:c r="B251" s="22" t="str"/>
      <x:c r="C251" s="22" t="str"/>
      <x:c r="D251" s="22" t="str"/>
      <x:c r="E251" s="22" t="str"/>
      <x:c r="F251" s="22" t="str"/>
      <x:c r="G251" s="22" t="str"/>
      <x:c r="H251" s="22" t="str"/>
      <x:c r="I251" s="22" t="str">
        <x:v>☐</x:v>
      </x:c>
      <x:c r="J251" s="22" t="str"/>
      <x:c r="K251" s="22" t="str"/>
      <x:c r="L251" s="22" t="str"/>
      <x:c r="M251" s="22" t="str"/>
      <x:c r="N251" s="22" t="str"/>
      <x:c r="O251" s="22" t="str"/>
      <x:c r="P251" s="23" t="str"/>
    </x:row>
  </x:sheetData>
  <x:conditionalFormatting sqref="I2:I251">
    <x:cfRule type="expression" dxfId="9" priority="1">
      <x:formula>$I2="☑"</x:formula>
    </x:cfRule>
  </x:conditionalFormatting>
  <x:conditionalFormatting sqref="L2:N251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5">
    <x:dataValidation type="list" sqref="B2:B251">
      <x:formula1>"Berta,Basement,Другой зал"</x:formula1>
    </x:dataValidation>
    <x:dataValidation type="list" sqref="D2:D251">
      <x:formula1>"1,2,3,4,5,6,7,8"</x:formula1>
    </x:dataValidation>
    <x:dataValidation type="list" sqref="E2:E251">
      <x:formula1>"Разминка,Техника,Объём,Рабочая,Проект,Fun"</x:formula1>
    </x:dataValidation>
    <x:dataValidation type="list" sqref="I2:I251">
      <x:formula1>"☐,☑"</x:formula1>
    </x:dataValidation>
    <x:dataValidation type="list" sqref="L2:N251">
      <x:formula1>"0,1,2,3,4,5,6,7,8,9,10"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405ab6a24745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8" hidden="0" customWidth="1"/>
    <x:col min="4" max="4" width="10" hidden="0" customWidth="1"/>
    <x:col min="5" max="5" width="12" hidden="0" customWidth="1"/>
    <x:col min="6" max="6" width="70" hidden="0" customWidth="1"/>
    <x:col min="7" max="7" width="62" hidden="0" customWidth="1"/>
  </x:cols>
  <x:sheetData>
    <x:row r="1" ht="30" customHeight="1">
      <x:c r="A1" s="16" t="str">
        <x:v>ID</x:v>
      </x:c>
      <x:c r="B1" s="17" t="str">
        <x:v>Название</x:v>
      </x:c>
      <x:c r="C1" s="17" t="str">
        <x:v>Тип</x:v>
      </x:c>
      <x:c r="D1" s="17" t="str">
        <x:v>Минуты</x:v>
      </x:c>
      <x:c r="E1" s="17" t="str">
        <x:v>Недели</x:v>
      </x:c>
      <x:c r="F1" s="17" t="str">
        <x:v>Практическая задача</x:v>
      </x:c>
      <x:c r="G1" s="18" t="str">
        <x:v>URL</x:v>
      </x:c>
    </x:row>
    <x:row r="2" ht="56" customHeight="1">
      <x:c r="A2" s="19" t="str">
        <x:v>R01</x:v>
      </x:c>
      <x:c r="B2" s="13" t="str">
        <x:v>BMC — How to warm up for a climbing session</x:v>
      </x:c>
      <x:c r="C2" s="13" t="str">
        <x:v>video/article</x:v>
      </x:c>
      <x:c r="D2" s="32" t="n">
        <x:v>10</x:v>
      </x:c>
      <x:c r="E2" s="13" t="str">
        <x:v>1</x:v>
      </x:c>
      <x:c r="F2" s="13" t="str">
        <x:v>Посмотреть до первой структурированной тренировки; выписать порядок: разогрев тела → суставы → лёгкое лазание → постепенная нагрузка пальцев.</x:v>
      </x:c>
      <x:c r="G2" s="20" t="str">
        <x:v>https://www.thebmc.co.uk/en/how-to-warm-up-for-a-climbing-session-video</x:v>
      </x:c>
    </x:row>
    <x:row r="3" ht="56" customHeight="1">
      <x:c r="A3" s="19" t="str">
        <x:v>R02</x:v>
      </x:c>
      <x:c r="B3" s="13" t="str">
        <x:v>Berta Block — BETA7</x:v>
      </x:c>
      <x:c r="C3" s="13" t="str">
        <x:v>official</x:v>
      </x:c>
      <x:c r="D3" s="32" t="n">
        <x:v>8</x:v>
      </x:c>
      <x:c r="E3" s="13" t="str">
        <x:v>1, 22, 23</x:v>
      </x:c>
      <x:c r="F3" s="13" t="str">
        <x:v>Научиться сканировать QR у старта, сохранять трассу, отмечать попытки и смотреть beta-видео только после собственных попыток.</x:v>
      </x:c>
      <x:c r="G3" s="20" t="str">
        <x:v>https://www.bertablock.de/beta7</x:v>
      </x:c>
    </x:row>
    <x:row r="4" ht="56" customHeight="1">
      <x:c r="A4" s="19" t="str">
        <x:v>R03</x:v>
      </x:c>
      <x:c r="B4" s="13" t="str">
        <x:v>BMC — Footwork techniques when climbing</x:v>
      </x:c>
      <x:c r="C4" s="13" t="str">
        <x:v>video</x:v>
      </x:c>
      <x:c r="D4" s="32" t="n">
        <x:v>10</x:v>
      </x:c>
      <x:c r="E4" s="13" t="str">
        <x:v>6</x:v>
      </x:c>
      <x:c r="F4" s="13" t="str">
        <x:v>База постановки стопы, работа носком, перенос веса.</x:v>
      </x:c>
      <x:c r="G4" s="20" t="str">
        <x:v>https://www.thebmc.co.uk/en/footwork-techniques-when-climbing-video</x:v>
      </x:c>
    </x:row>
    <x:row r="5" ht="56" customHeight="1">
      <x:c r="A5" s="19" t="str">
        <x:v>R04</x:v>
      </x:c>
      <x:c r="B5" s="13" t="str">
        <x:v>The Gravity Lab — How To Read Bouldering Routes: An In-Depth Breakdown</x:v>
      </x:c>
      <x:c r="C5" s="13" t="str">
        <x:v>video</x:v>
      </x:c>
      <x:c r="D5" s="32" t="n">
        <x:v>15</x:v>
      </x:c>
      <x:c r="E5" s="13" t="str">
        <x:v>3, 24</x:v>
      </x:c>
      <x:c r="F5" s="13" t="str">
        <x:v>Чтение последовательности рук/ног, поиск ключевого движения и предварительная визуализация.</x:v>
      </x:c>
      <x:c r="G5" s="20" t="str">
        <x:v>https://www.youtube.com/watch?v=faOZI-tdMhg</x:v>
      </x:c>
    </x:row>
    <x:row r="6" ht="56" customHeight="1">
      <x:c r="A6" s="19" t="str">
        <x:v>R05</x:v>
      </x:c>
      <x:c r="B6" s="13" t="str">
        <x:v>BMC — Listening to your body when training for climbing</x:v>
      </x:c>
      <x:c r="C6" s="13" t="str">
        <x:v>video</x:v>
      </x:c>
      <x:c r="D6" s="32" t="n">
        <x:v>8</x:v>
      </x:c>
      <x:c r="E6" s="13" t="str">
        <x:v>4, 18, 24, 25</x:v>
      </x:c>
      <x:c r="F6" s="13" t="str">
        <x:v>Правила остановки, различие обычной усталости и тревожных ощущений.</x:v>
      </x:c>
      <x:c r="G6" s="20" t="str">
        <x:v>https://www.thebmc.co.uk/en/listening-to-your-body-when-training-for-climbing-video</x:v>
      </x:c>
    </x:row>
    <x:row r="7" ht="56" customHeight="1">
      <x:c r="A7" s="19" t="str">
        <x:v>R06</x:v>
      </x:c>
      <x:c r="B7" s="13" t="str">
        <x:v>BMC — Twisting: one- and two-footed</x:v>
      </x:c>
      <x:c r="C7" s="13" t="str">
        <x:v>video</x:v>
      </x:c>
      <x:c r="D7" s="32" t="n">
        <x:v>8</x:v>
      </x:c>
      <x:c r="E7" s="13" t="str">
        <x:v>5</x:v>
      </x:c>
      <x:c r="F7" s="13" t="str">
        <x:v>Разворот бедра, внешнее ребро стопы, экономия тяги руками.</x:v>
      </x:c>
      <x:c r="G7" s="20" t="str">
        <x:v>https://thebmc.co.uk/en/twisting-one-and-two-footed-video</x:v>
      </x:c>
    </x:row>
    <x:row r="8" ht="56" customHeight="1">
      <x:c r="A8" s="19" t="str">
        <x:v>R07</x:v>
      </x:c>
      <x:c r="B8" s="13" t="str">
        <x:v>Rise Climbing — What's Flagging and Smearing?</x:v>
      </x:c>
      <x:c r="C8" s="13" t="str">
        <x:v>video</x:v>
      </x:c>
      <x:c r="D8" s="32" t="n">
        <x:v>10</x:v>
      </x:c>
      <x:c r="E8" s="13" t="str">
        <x:v>6</x:v>
      </x:c>
      <x:c r="F8" s="13" t="str">
        <x:v>Понять наружный/внутренний флаг и базовый smearing.</x:v>
      </x:c>
      <x:c r="G8" s="20" t="str">
        <x:v>https://www.youtube.com/watch?v=Gv-vUNUecus</x:v>
      </x:c>
    </x:row>
    <x:row r="9" ht="56" customHeight="1">
      <x:c r="A9" s="19" t="str">
        <x:v>R08</x:v>
      </x:c>
      <x:c r="B9" s="13" t="str">
        <x:v>BMC — How to rockover when climbing</x:v>
      </x:c>
      <x:c r="C9" s="13" t="str">
        <x:v>video</x:v>
      </x:c>
      <x:c r="D9" s="32" t="n">
        <x:v>8</x:v>
      </x:c>
      <x:c r="E9" s="13" t="str">
        <x:v>7</x:v>
      </x:c>
      <x:c r="F9" s="13" t="str">
        <x:v>Высокая нога, перенос таза над стопой и вставание ногой вместо подтягивания.</x:v>
      </x:c>
      <x:c r="G9" s="20" t="str">
        <x:v>https://www.thebmc.co.uk/en/how-to-rockover-when-climbing-video</x:v>
      </x:c>
    </x:row>
    <x:row r="10" ht="56" customHeight="1">
      <x:c r="A10" s="19" t="str">
        <x:v>R09</x:v>
      </x:c>
      <x:c r="B10" s="13" t="str">
        <x:v>Berta Block — Power vs. Balance</x:v>
      </x:c>
      <x:c r="C10" s="13" t="str">
        <x:v>official course page</x:v>
      </x:c>
      <x:c r="D10" s="32" t="n">
        <x:v>8</x:v>
      </x:c>
      <x:c r="E10" s="13" t="str">
        <x:v>8</x:v>
      </x:c>
      <x:c r="F10" s="13" t="str">
        <x:v>Описание навыков для плиты и нависания; проверить даты курса и решить, нужен ли очный фидбэк.</x:v>
      </x:c>
      <x:c r="G10" s="20" t="str">
        <x:v>https://www.bertablock.de/power-vs-balance</x:v>
      </x:c>
    </x:row>
    <x:row r="11" ht="56" customHeight="1">
      <x:c r="A11" s="19" t="str">
        <x:v>R10</x:v>
      </x:c>
      <x:c r="B11" s="13" t="str">
        <x:v>BMC — How to heel hook when climbing</x:v>
      </x:c>
      <x:c r="C11" s="13" t="str">
        <x:v>video</x:v>
      </x:c>
      <x:c r="D11" s="32" t="n">
        <x:v>8</x:v>
      </x:c>
      <x:c r="E11" s="13" t="str">
        <x:v>9</x:v>
      </x:c>
      <x:c r="F11" s="13" t="str">
        <x:v>Постановка пятки, направление тяги и постепенная загрузка.</x:v>
      </x:c>
      <x:c r="G11" s="20" t="str">
        <x:v>https://www.thebmc.co.uk/en/how-to-heel-hook-video</x:v>
      </x:c>
    </x:row>
    <x:row r="12" ht="56" customHeight="1">
      <x:c r="A12" s="19" t="str">
        <x:v>R11</x:v>
      </x:c>
      <x:c r="B12" s="13" t="str">
        <x:v>BMC — How to toe hook when climbing</x:v>
      </x:c>
      <x:c r="C12" s="13" t="str">
        <x:v>video</x:v>
      </x:c>
      <x:c r="D12" s="32" t="n">
        <x:v>8</x:v>
      </x:c>
      <x:c r="E12" s="13" t="str">
        <x:v>10</x:v>
      </x:c>
      <x:c r="F12" s="13" t="str">
        <x:v>Зацеп верхом носка и удержание корпуса от ухода от стены.</x:v>
      </x:c>
      <x:c r="G12" s="20" t="str">
        <x:v>https://www.thebmc.co.uk/en/how-to-toe-hook-video</x:v>
      </x:c>
    </x:row>
    <x:row r="13" ht="56" customHeight="1">
      <x:c r="A13" s="19" t="str">
        <x:v>R12</x:v>
      </x:c>
      <x:c r="B13" s="13" t="str">
        <x:v>BMC — How to use a drop knee when climbing</x:v>
      </x:c>
      <x:c r="C13" s="13" t="str">
        <x:v>video</x:v>
      </x:c>
      <x:c r="D13" s="32" t="n">
        <x:v>8</x:v>
      </x:c>
      <x:c r="E13" s="13" t="str">
        <x:v>11</x:v>
      </x:c>
      <x:c r="F13" s="13" t="str">
        <x:v>Мелкий drop knee с контролируемым разворотом; для правого колена только без боли и без глубокого скручивания.</x:v>
      </x:c>
      <x:c r="G13" s="20" t="str">
        <x:v>https://thebmc.co.uk/en/how-to-use-a-drop-knee-when-climbing-video</x:v>
      </x:c>
    </x:row>
    <x:row r="14" ht="56" customHeight="1">
      <x:c r="A14" s="19" t="str">
        <x:v>R13</x:v>
      </x:c>
      <x:c r="B14" s="13" t="str">
        <x:v>Send Edition — Body Tension Climbing: How To Use It and Common Mistakes</x:v>
      </x:c>
      <x:c r="C14" s="13" t="str">
        <x:v>video</x:v>
      </x:c>
      <x:c r="D14" s="32" t="n">
        <x:v>12</x:v>
      </x:c>
      <x:c r="E14" s="13" t="str">
        <x:v>12</x:v>
      </x:c>
      <x:c r="F14" s="13" t="str">
        <x:v>Давление через стопы, противоположная рука–нога и предотвращение срыва ног на нависании.</x:v>
      </x:c>
      <x:c r="G14" s="20" t="str">
        <x:v>https://www.youtube.com/watch?v=G8igGVRT79w</x:v>
      </x:c>
    </x:row>
    <x:row r="15" ht="56" customHeight="1">
      <x:c r="A15" s="19" t="str">
        <x:v>R14</x:v>
      </x:c>
      <x:c r="B15" s="13" t="str">
        <x:v>BMC — How to start fingerboarding</x:v>
      </x:c>
      <x:c r="C15" s="13" t="str">
        <x:v>video</x:v>
      </x:c>
      <x:c r="D15" s="32" t="n">
        <x:v>10</x:v>
      </x:c>
      <x:c r="E15" s="13" t="str">
        <x:v>4, 13</x:v>
      </x:c>
      <x:c r="F15" s="13" t="str">
        <x:v>Только техника положения кисти/плеча. Не копировать чужую тяжёлую программу: в плане используется облегчённый вис с ногами.</x:v>
      </x:c>
      <x:c r="G15" s="20" t="str">
        <x:v>https://www.thebmc.co.uk/en/how-to-start-fingerboarding-with-gb-climbing-coach-rachel-carr-video</x:v>
      </x:c>
    </x:row>
    <x:row r="16" ht="56" customHeight="1">
      <x:c r="A16" s="19" t="str">
        <x:v>R15</x:v>
      </x:c>
      <x:c r="B16" s="13" t="str">
        <x:v>BMC — Hand positions when climbing</x:v>
      </x:c>
      <x:c r="C16" s="13" t="str">
        <x:v>video</x:v>
      </x:c>
      <x:c r="D16" s="32" t="n">
        <x:v>10</x:v>
      </x:c>
      <x:c r="E16" s="13" t="str">
        <x:v>13, 14</x:v>
      </x:c>
      <x:c r="F16" s="13" t="str">
        <x:v>Открытый хват, half crimp и другие позиции; full crimp не тренируется на фингерборде.</x:v>
      </x:c>
      <x:c r="G16" s="20" t="str">
        <x:v>https://www.thebmc.co.uk/en/hand-positions-when-climbing-video</x:v>
      </x:c>
    </x:row>
    <x:row r="17" ht="56" customHeight="1">
      <x:c r="A17" s="19" t="str">
        <x:v>R16</x:v>
      </x:c>
      <x:c r="B17" s="13" t="str">
        <x:v>Berta Block — Mastering the Basics</x:v>
      </x:c>
      <x:c r="C17" s="13" t="str">
        <x:v>official course page</x:v>
      </x:c>
      <x:c r="D17" s="32" t="n">
        <x:v>8</x:v>
      </x:c>
      <x:c r="E17" s="13" t="str">
        <x:v>15</x:v>
      </x:c>
      <x:c r="F17" s="13" t="str">
        <x:v>Курс про центр массы, чтение трасс и движения без продавливания силой; проверить даты и уровень.</x:v>
      </x:c>
      <x:c r="G17" s="20" t="str">
        <x:v>https://www.bertablock.de/mastering-the-basics</x:v>
      </x:c>
    </x:row>
    <x:row r="18" ht="56" customHeight="1">
      <x:c r="A18" s="19" t="str">
        <x:v>R17</x:v>
      </x:c>
      <x:c r="B18" s="13" t="str">
        <x:v>BMC — How to do dynamic movements when climbing</x:v>
      </x:c>
      <x:c r="C18" s="13" t="str">
        <x:v>video</x:v>
      </x:c>
      <x:c r="D18" s="32" t="n">
        <x:v>8</x:v>
      </x:c>
      <x:c r="E18" s="13" t="str">
        <x:v>17</x:v>
      </x:c>
      <x:c r="F18" s="13" t="str">
        <x:v>Контролируемый deadpoint. Большие dyno и жёсткие ловли исключены, пока плечо не готово.</x:v>
      </x:c>
      <x:c r="G18" s="20" t="str">
        <x:v>https://www.thebmc.co.uk/en/how-to-do-dynamic-movements-when-climbing-video</x:v>
      </x:c>
    </x:row>
    <x:row r="19" ht="56" customHeight="1">
      <x:c r="A19" s="19" t="str">
        <x:v>R18</x:v>
      </x:c>
      <x:c r="B19" s="13" t="str">
        <x:v>Lattice Training — Projecting Tactics: How to Actually Climb at Your Limit</x:v>
      </x:c>
      <x:c r="C19" s="13" t="str">
        <x:v>video</x:v>
      </x:c>
      <x:c r="D19" s="32" t="n">
        <x:v>15</x:v>
      </x:c>
      <x:c r="E19" s="13" t="str">
        <x:v>19, 20, 22, 25</x:v>
      </x:c>
      <x:c r="F19" s="13" t="str">
        <x:v>Разделение трассы на части, изменение одной переменной за попытку и связывание движений.</x:v>
      </x:c>
      <x:c r="G19" s="20" t="str">
        <x:v>https://www.youtube.com/watch?v=fHSnUOD-H5U</x:v>
      </x:c>
    </x:row>
    <x:row r="20" ht="56" customHeight="1">
      <x:c r="A20" s="19" t="str">
        <x:v>R19</x:v>
      </x:c>
      <x:c r="B20" s="13" t="str">
        <x:v>Berta Block — Trust your Feet</x:v>
      </x:c>
      <x:c r="C20" s="13" t="str">
        <x:v>official course page</x:v>
      </x:c>
      <x:c r="D20" s="32" t="n">
        <x:v>8</x:v>
      </x:c>
      <x:c r="E20" s="13" t="str">
        <x:v>21</x:v>
      </x:c>
      <x:c r="F20" s="13" t="str">
        <x:v>Темы: heel/toe hook, silent feet, foot swap и bicycle; проверить, подходит ли текущий уровень.</x:v>
      </x:c>
      <x:c r="G20" s="20" t="str">
        <x:v>https://www.bertablock.de/trust-your-feet</x:v>
      </x:c>
    </x:row>
    <x:row r="21" ht="56" customHeight="1">
      <x:c r="A21" s="19" t="str">
        <x:v>R20</x:v>
      </x:c>
      <x:c r="B21" s="13" t="str">
        <x:v>Berta Block — Technikkurs 1</x:v>
      </x:c>
      <x:c r="C21" s="13" t="str">
        <x:v>official course page</x:v>
      </x:c>
      <x:c r="D21" s="32" t="n">
        <x:v>8</x:v>
      </x:c>
      <x:c r="E21" s="13" t="str">
        <x:v>26</x:v>
      </x:c>
      <x:c r="F21" s="13" t="str">
        <x:v>Шесть очных занятий по основам техники; при записи курс заменяет одну структурированную тренировку в неделю.</x:v>
      </x:c>
      <x:c r="G21" s="20" t="str">
        <x:v>https://www.bertablock.de/technikkurs-1</x:v>
      </x:c>
    </x:row>
    <x:row r="22" ht="56" customHeight="1">
      <x:c r="A22" s="19" t="str">
        <x:v>R21</x:v>
      </x:c>
      <x:c r="B22" s="13" t="str">
        <x:v>Berta Block — индивидуальная тренировка</x:v>
      </x:c>
      <x:c r="C22" s="13" t="str">
        <x:v>official course page</x:v>
      </x:c>
      <x:c r="D22" s="32" t="n">
        <x:v>5</x:v>
      </x:c>
      <x:c r="E22" s="13" t="str">
        <x:v>16, 26</x:v>
      </x:c>
      <x:c r="F22" s="13" t="str">
        <x:v>Опциональный разбор техники и плечо-/колено-дружественной беты с тренером.</x:v>
      </x:c>
      <x:c r="G22" s="20" t="str">
        <x:v>https://www.bertablock.de/individuelles-training</x:v>
      </x:c>
    </x:row>
    <x:row r="23" ht="56" customHeight="1">
      <x:c r="A23" s="19" t="str">
        <x:v>R22</x:v>
      </x:c>
      <x:c r="B23" s="13" t="str">
        <x:v>Hermans et al. (2022) — 10 weeks of hangboard training</x:v>
      </x:c>
      <x:c r="C23" s="13" t="str">
        <x:v>research</x:v>
      </x:c>
      <x:c r="D23" s="32" t="n">
        <x:v>12</x:v>
      </x:c>
      <x:c r="E23" s="13" t="str">
        <x:v>16, 26</x:v>
      </x:c>
      <x:c r="F23" s="13" t="str">
        <x:v>Обоснование отдельного блока пальцев: сила может улучшаться, но перенос в лазание не автоматический.</x:v>
      </x:c>
      <x:c r="G23" s="20" t="str">
        <x:v>https://www.frontiersin.org/journals/sports-and-active-living/articles/10.3389/fspor.2022.888158/full</x:v>
      </x:c>
    </x:row>
    <x:row r="24" ht="56" customHeight="1">
      <x:c r="A24" s="19" t="str">
        <x:v>R23</x:v>
      </x:c>
      <x:c r="B24" s="13" t="str">
        <x:v>Devise et al. (2022) — hangboard training intensities</x:v>
      </x:c>
      <x:c r="C24" s="13" t="str">
        <x:v>research</x:v>
      </x:c>
      <x:c r="D24" s="32" t="n">
        <x:v>12</x:v>
      </x:c>
      <x:c r="E24" s="13" t="str"/>
      <x:c r="F24" s="13" t="str">
        <x:v>Разные интенсивности дают разные адаптации; поэтому план начинает с субмаксимальной нагрузки и запаса.</x:v>
      </x:c>
      <x:c r="G24" s="20" t="str">
        <x:v>https://www.frontiersin.org/journals/sports-and-active-living/articles/10.3389/fspor.2022.862782/full</x:v>
      </x:c>
    </x:row>
    <x:row r="25" ht="56" customHeight="1">
      <x:c r="A25" s="19" t="str">
        <x:v>R24</x:v>
      </x:c>
      <x:c r="B25" s="13" t="str">
        <x:v>Gilmore et al. (2024) — different loading programs on finger strength</x:v>
      </x:c>
      <x:c r="C25" s="13" t="str">
        <x:v>research</x:v>
      </x:c>
      <x:c r="D25" s="32" t="n">
        <x:v>12</x:v>
      </x:c>
      <x:c r="E25" s="13" t="str"/>
      <x:c r="F25" s="13" t="str">
        <x:v>Низкоинтенсивное частое нагружение тоже может улучшать силу; важны дозировка и последовательность.</x:v>
      </x:c>
      <x:c r="G25" s="20" t="str">
        <x:v>https://link.springer.com/article/10.1186/s40798-024-00793-7</x:v>
      </x:c>
    </x:row>
    <x:row r="26" ht="56" customHeight="1">
      <x:c r="A26" s="21" t="str">
        <x:v>R25</x:v>
      </x:c>
      <x:c r="B26" s="22" t="str">
        <x:v>Bouldering for Beginners — Part 1</x:v>
      </x:c>
      <x:c r="C26" s="22" t="str">
        <x:v>video</x:v>
      </x:c>
      <x:c r="D26" s="33" t="n">
        <x:v>15</x:v>
      </x:c>
      <x:c r="E26" s="22" t="str">
        <x:v>2</x:v>
      </x:c>
      <x:c r="F26" s="22" t="str">
        <x:v>Общий обзор базовой техники и экономии сил.</x:v>
      </x:c>
      <x:c r="G26" s="23" t="str">
        <x:v>https://www.youtube.com/watch?v=qpowFkwaS9A</x:v>
      </x:c>
    </x:row>
  </x:sheetData>
  <x:pageMargins left="0.7" right="0.7" top="0.75" bottom="0.75" header="0.3" footer="0.3"/>
  <x:tableParts count="1">
    <x:tablePart xmlns:r="http://schemas.openxmlformats.org/officeDocument/2006/relationships" r:id="R329f1ccc523f47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4" hidden="0" customWidth="1"/>
    <x:col min="4" max="4" width="22" hidden="0" customWidth="1"/>
    <x:col min="5" max="5" width="44" hidden="0" customWidth="1"/>
    <x:col min="6" max="6" width="44" hidden="0" customWidth="1"/>
    <x:col min="7" max="7" width="18" hidden="0" customWidth="1"/>
  </x:cols>
  <x:sheetData>
    <x:row r="1" ht="30" customHeight="1">
      <x:c r="A1" s="16" t="str">
        <x:v>Приоритет</x:v>
      </x:c>
      <x:c r="B1" s="17" t="str">
        <x:v>Предмет / действие</x:v>
      </x:c>
      <x:c r="C1" s="17" t="str">
        <x:v>Статус</x:v>
      </x:c>
      <x:c r="D1" s="17" t="str">
        <x:v>Когда</x:v>
      </x:c>
      <x:c r="E1" s="17" t="str">
        <x:v>Зачем</x:v>
      </x:c>
      <x:c r="F1" s="17" t="str">
        <x:v>Осторожность</x:v>
      </x:c>
      <x:c r="G1" s="18" t="str">
        <x:v>Бюджет / факт</x:v>
      </x:c>
    </x:row>
    <x:row r="2" ht="48" customHeight="1">
      <x:c r="A2" s="19" t="str">
        <x:v>1</x:v>
      </x:c>
      <x:c r="B2" s="13" t="str">
        <x:v>Мини-штатив или зажим для телефона</x:v>
      </x:c>
      <x:c r="C2" s="13" t="str">
        <x:v>☐ Не начато</x:v>
      </x:c>
      <x:c r="D2" s="13" t="str">
        <x:v>До недели 1</x:v>
      </x:c>
      <x:c r="E2" s="13" t="str">
        <x:v>Видео всего тела и обеих ног</x:v>
      </x:c>
      <x:c r="F2" s="13" t="str">
        <x:v>Не ставить в зоне падения</x:v>
      </x:c>
      <x:c r="G2" s="20" t="str"/>
    </x:row>
    <x:row r="3" ht="48" customHeight="1">
      <x:c r="A3" s="19" t="str">
        <x:v>1</x:v>
      </x:c>
      <x:c r="B3" s="13" t="str">
        <x:v>Небольшая щётка для зацепов</x:v>
      </x:c>
      <x:c r="C3" s="13" t="str">
        <x:v>☐ Не начато</x:v>
      </x:c>
      <x:c r="D3" s="13" t="str">
        <x:v>До недели 1</x:v>
      </x:c>
      <x:c r="E3" s="13" t="str">
        <x:v>Очистка рабочих кромок/sloper</x:v>
      </x:c>
      <x:c r="F3" s="13" t="str">
        <x:v>Не металлическая</x:v>
      </x:c>
      <x:c r="G3" s="20" t="str"/>
    </x:row>
    <x:row r="4" ht="48" customHeight="1">
      <x:c r="A4" s="19" t="str">
        <x:v>1</x:v>
      </x:c>
      <x:c r="B4" s="13" t="str">
        <x:v>Магнезия и мешочек, если своих нет</x:v>
      </x:c>
      <x:c r="C4" s="13" t="str">
        <x:v>☐ Не начато</x:v>
      </x:c>
      <x:c r="D4" s="13" t="str">
        <x:v>До недели 1</x:v>
      </x:c>
      <x:c r="E4" s="13" t="str">
        <x:v>Стабильное трение</x:v>
      </x:c>
      <x:c r="F4" s="13" t="str">
        <x:v>Не заменяет технику</x:v>
      </x:c>
      <x:c r="G4" s="20" t="str"/>
    </x:row>
    <x:row r="5" ht="48" customHeight="1">
      <x:c r="A5" s="19" t="str">
        <x:v>2</x:v>
      </x:c>
      <x:c r="B5" s="13" t="str">
        <x:v>Маленькая пилочка для выступающих мозолей</x:v>
      </x:c>
      <x:c r="C5" s="13" t="str">
        <x:v>☐ Не начато</x:v>
      </x:c>
      <x:c r="D5" s="13" t="str">
        <x:v>Неделя 1–2</x:v>
      </x:c>
      <x:c r="E5" s="13" t="str">
        <x:v>Уход за кожей</x:v>
      </x:c>
      <x:c r="F5" s="13" t="str">
        <x:v>Только после душа, не перед залом</x:v>
      </x:c>
      <x:c r="G5" s="20" t="str"/>
    </x:row>
    <x:row r="6" ht="48" customHeight="1">
      <x:c r="A6" s="19" t="str">
        <x:v>2</x:v>
      </x:c>
      <x:c r="B6" s="13" t="str">
        <x:v>Малярная лента</x:v>
      </x:c>
      <x:c r="C6" s="13" t="str">
        <x:v>☐ Не начато</x:v>
      </x:c>
      <x:c r="D6" s="13" t="str">
        <x:v>Неделя 1</x:v>
      </x:c>
      <x:c r="E6" s="13" t="str">
        <x:v>Мишени для точности стоп дома</x:v>
      </x:c>
      <x:c r="F6" s="13" t="str">
        <x:v>Проверить поверхность стены/пола</x:v>
      </x:c>
      <x:c r="G6" s="20" t="str"/>
    </x:row>
    <x:row r="7" ht="48" customHeight="1">
      <x:c r="A7" s="19" t="str">
        <x:v>2</x:v>
      </x:c>
      <x:c r="B7" s="13" t="str">
        <x:v>Коврик, только если дома неудобно</x:v>
      </x:c>
      <x:c r="C7" s="13" t="str">
        <x:v>☐ Не начато</x:v>
      </x:c>
      <x:c r="D7" s="13" t="str">
        <x:v>По необходимости</x:v>
      </x:c>
      <x:c r="E7" s="13" t="str">
        <x:v>Домашняя мобильность и своя физиотерапия</x:v>
      </x:c>
      <x:c r="F7" s="13" t="str">
        <x:v>Не нужен специальный бренд</x:v>
      </x:c>
      <x:c r="G7" s="20" t="str"/>
    </x:row>
    <x:row r="8" ht="48" customHeight="1">
      <x:c r="A8" s="19" t="str">
        <x:v>Опц.</x:v>
      </x:c>
      <x:c r="B8" s="13" t="str">
        <x:v>Berta Mastering the Basics / Power vs. Balance</x:v>
      </x:c>
      <x:c r="C8" s="13" t="str">
        <x:v>☐ Не начато</x:v>
      </x:c>
      <x:c r="D8" s="13" t="str">
        <x:v>Неделя 4–8</x:v>
      </x:c>
      <x:c r="E8" s="13" t="str">
        <x:v>Очный технический фидбэк</x:v>
      </x:c>
      <x:c r="F8" s="13" t="str">
        <x:v>Курс заменяет одну сессию</x:v>
      </x:c>
      <x:c r="G8" s="20" t="str"/>
    </x:row>
    <x:row r="9" ht="48" customHeight="1">
      <x:c r="A9" s="19" t="str">
        <x:v>Опц.</x:v>
      </x:c>
      <x:c r="B9" s="13" t="str">
        <x:v>Одно индивидуальное занятие в Berta</x:v>
      </x:c>
      <x:c r="C9" s="13" t="str">
        <x:v>☐ Не начато</x:v>
      </x:c>
      <x:c r="D9" s="13" t="str">
        <x:v>Неделя 12 или 16</x:v>
      </x:c>
      <x:c r="E9" s="13" t="str">
        <x:v>Разбор финалов пятёрок и безопасной beta</x:v>
      </x:c>
      <x:c r="F9" s="13" t="str">
        <x:v>Принести 2 видео</x:v>
      </x:c>
      <x:c r="G9" s="20" t="str"/>
    </x:row>
    <x:row r="10" ht="48" customHeight="1">
      <x:c r="A10" s="19" t="str">
        <x:v>Не покупать</x:v>
      </x:c>
      <x:c r="B10" s="13" t="str">
        <x:v>Домашний фингерборд</x:v>
      </x:c>
      <x:c r="C10" s="13" t="str">
        <x:v>☐ Не начато</x:v>
      </x:c>
      <x:c r="D10" s="13" t="str">
        <x:v>Весь цикл</x:v>
      </x:c>
      <x:c r="E10" s="13" t="str">
        <x:v>В Berta уже есть доска</x:v>
      </x:c>
      <x:c r="F10" s="13" t="str">
        <x:v>Избежать дублирования нагрузки</x:v>
      </x:c>
      <x:c r="G10" s="20" t="str"/>
    </x:row>
    <x:row r="11" ht="48" customHeight="1">
      <x:c r="A11" s="19" t="str">
        <x:v>Не покупать</x:v>
      </x:c>
      <x:c r="B11" s="13" t="str">
        <x:v>Жёсткий grip trainer / эспандер-сжиматель</x:v>
      </x:c>
      <x:c r="C11" s="13" t="str">
        <x:v>☐ Не начато</x:v>
      </x:c>
      <x:c r="D11" s="13" t="str">
        <x:v>Весь цикл</x:v>
      </x:c>
      <x:c r="E11" s="13" t="str">
        <x:v>Не нужен для цели</x:v>
      </x:c>
      <x:c r="F11" s="13" t="str">
        <x:v>Не маскировать усталость дополнительным объёмом</x:v>
      </x:c>
      <x:c r="G11" s="20" t="str"/>
    </x:row>
    <x:row r="12" ht="48" customHeight="1">
      <x:c r="A12" s="19" t="str">
        <x:v>Не покупать</x:v>
      </x:c>
      <x:c r="B12" s="13" t="str">
        <x:v>Дополнительный вес / жилет / campus board</x:v>
      </x:c>
      <x:c r="C12" s="13" t="str">
        <x:v>☐ Не начато</x:v>
      </x:c>
      <x:c r="D12" s="13" t="str">
        <x:v>Весь цикл</x:v>
      </x:c>
      <x:c r="E12" s="13" t="str">
        <x:v>Слишком рано</x:v>
      </x:c>
      <x:c r="F12" s="13" t="str">
        <x:v>Повышенный риск и низкая отдача сейчас</x:v>
      </x:c>
      <x:c r="G12" s="20" t="str"/>
    </x:row>
    <x:row r="13" ht="48" customHeight="1">
      <x:c r="A13" s="21" t="str">
        <x:v>Не покупать</x:v>
      </x:c>
      <x:c r="B13" s="22" t="str">
        <x:v>Гири для farmer carry</x:v>
      </x:c>
      <x:c r="C13" s="22" t="str">
        <x:v>☐ Не начато</x:v>
      </x:c>
      <x:c r="D13" s="22" t="str">
        <x:v>Пока ношение раздражает плечо</x:v>
      </x:c>
      <x:c r="E13" s="22" t="str">
        <x:v>Не подходит текущему плечу</x:v>
      </x:c>
      <x:c r="F13" s="22" t="str">
        <x:v>Вернуться только после разрешения</x:v>
      </x:c>
      <x:c r="G13" s="23" t="str"/>
    </x:row>
  </x:sheetData>
  <x:conditionalFormatting sqref="C2:C13">
    <x:cfRule type="expression" dxfId="0" priority="1">
      <x:formula>C2="☑ Готово"</x:formula>
    </x:cfRule>
    <x:cfRule type="expression" dxfId="1" priority="2">
      <x:formula>C2="↺ Перенесено"</x:formula>
    </x:cfRule>
    <x:cfRule type="expression" dxfId="2" priority="3">
      <x:formula>C2="— Пропущено по плану"</x:formula>
    </x:cfRule>
  </x:conditionalFormatting>
  <x:dataValidations count="1">
    <x:dataValidation type="list" sqref="C2:C13">
      <x:formula1>"☐ Не начато,☑ Готово,↺ Перенесено,— Пропущено по плану"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5914f80c4348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8" hidden="0" customWidth="1"/>
  </x:cols>
  <x:sheetData>
    <x:row r="1" ht="28" customHeight="1">
      <x:c r="A1" s="16" t="str">
        <x:v>Категория</x:v>
      </x:c>
      <x:c r="B1" s="17" t="str">
        <x:v>Значение</x:v>
      </x:c>
      <x:c r="C1" s="18" t="str">
        <x:v>Пояснение</x:v>
      </x:c>
    </x:row>
    <x:row r="2">
      <x:c r="A2" s="19" t="str">
        <x:v>Статус</x:v>
      </x:c>
      <x:c r="B2" s="13" t="str">
        <x:v>☐ Не начато</x:v>
      </x:c>
      <x:c r="C2" s="20" t="str">
        <x:v>Выбор для листов «Задачи» и «Покупки»</x:v>
      </x:c>
    </x:row>
    <x:row r="3">
      <x:c r="A3" s="19" t="str">
        <x:v>Статус</x:v>
      </x:c>
      <x:c r="B3" s="13" t="str">
        <x:v>☑ Готово</x:v>
      </x:c>
      <x:c r="C3" s="20" t="str">
        <x:v>Выбор для листов «Задачи» и «Покупки»</x:v>
      </x:c>
    </x:row>
    <x:row r="4">
      <x:c r="A4" s="19" t="str">
        <x:v>Статус</x:v>
      </x:c>
      <x:c r="B4" s="13" t="str">
        <x:v>↺ Перенесено</x:v>
      </x:c>
      <x:c r="C4" s="20" t="str">
        <x:v>Выбор для листов «Задачи» и «Покупки»</x:v>
      </x:c>
    </x:row>
    <x:row r="5">
      <x:c r="A5" s="19" t="str">
        <x:v>Статус</x:v>
      </x:c>
      <x:c r="B5" s="13" t="str">
        <x:v>— Пропущено по плану</x:v>
      </x:c>
      <x:c r="C5" s="20" t="str">
        <x:v>Выбор для листов «Задачи» и «Покупки»</x:v>
      </x:c>
    </x:row>
    <x:row r="6">
      <x:c r="A6" s="19" t="str">
        <x:v>Шкала 0–10</x:v>
      </x:c>
      <x:c r="B6" s="13" t="n">
        <x:v>0</x:v>
      </x:c>
      <x:c r="C6" s="20" t="str">
        <x:v>Плечо, пальцы, колено</x:v>
      </x:c>
    </x:row>
    <x:row r="7">
      <x:c r="A7" s="19" t="str">
        <x:v>Шкала 0–10</x:v>
      </x:c>
      <x:c r="B7" s="13" t="n">
        <x:v>1</x:v>
      </x:c>
      <x:c r="C7" s="20" t="str">
        <x:v>Плечо, пальцы, колено</x:v>
      </x:c>
    </x:row>
    <x:row r="8">
      <x:c r="A8" s="19" t="str">
        <x:v>Шкала 0–10</x:v>
      </x:c>
      <x:c r="B8" s="13" t="n">
        <x:v>2</x:v>
      </x:c>
      <x:c r="C8" s="20" t="str">
        <x:v>Плечо, пальцы, колено</x:v>
      </x:c>
    </x:row>
    <x:row r="9">
      <x:c r="A9" s="19" t="str">
        <x:v>Шкала 0–10</x:v>
      </x:c>
      <x:c r="B9" s="13" t="n">
        <x:v>3</x:v>
      </x:c>
      <x:c r="C9" s="20" t="str">
        <x:v>Плечо, пальцы, колено</x:v>
      </x:c>
    </x:row>
    <x:row r="10">
      <x:c r="A10" s="19" t="str">
        <x:v>Шкала 0–10</x:v>
      </x:c>
      <x:c r="B10" s="13" t="n">
        <x:v>4</x:v>
      </x:c>
      <x:c r="C10" s="20" t="str">
        <x:v>Плечо, пальцы, колено</x:v>
      </x:c>
    </x:row>
    <x:row r="11">
      <x:c r="A11" s="19" t="str">
        <x:v>Шкала 0–10</x:v>
      </x:c>
      <x:c r="B11" s="13" t="n">
        <x:v>5</x:v>
      </x:c>
      <x:c r="C11" s="20" t="str">
        <x:v>Плечо, пальцы, колено</x:v>
      </x:c>
    </x:row>
    <x:row r="12">
      <x:c r="A12" s="19" t="str">
        <x:v>Шкала 0–10</x:v>
      </x:c>
      <x:c r="B12" s="13" t="n">
        <x:v>6</x:v>
      </x:c>
      <x:c r="C12" s="20" t="str">
        <x:v>Плечо, пальцы, колено</x:v>
      </x:c>
    </x:row>
    <x:row r="13">
      <x:c r="A13" s="19" t="str">
        <x:v>Шкала 0–10</x:v>
      </x:c>
      <x:c r="B13" s="13" t="n">
        <x:v>7</x:v>
      </x:c>
      <x:c r="C13" s="20" t="str">
        <x:v>Плечо, пальцы, колено</x:v>
      </x:c>
    </x:row>
    <x:row r="14">
      <x:c r="A14" s="19" t="str">
        <x:v>Шкала 0–10</x:v>
      </x:c>
      <x:c r="B14" s="13" t="n">
        <x:v>8</x:v>
      </x:c>
      <x:c r="C14" s="20" t="str">
        <x:v>Плечо, пальцы, колено</x:v>
      </x:c>
    </x:row>
    <x:row r="15">
      <x:c r="A15" s="19" t="str">
        <x:v>Шкала 0–10</x:v>
      </x:c>
      <x:c r="B15" s="13" t="n">
        <x:v>9</x:v>
      </x:c>
      <x:c r="C15" s="20" t="str">
        <x:v>Плечо, пальцы, колено</x:v>
      </x:c>
    </x:row>
    <x:row r="16">
      <x:c r="A16" s="19" t="str">
        <x:v>Шкала 0–10</x:v>
      </x:c>
      <x:c r="B16" s="13" t="n">
        <x:v>10</x:v>
      </x:c>
      <x:c r="C16" s="20" t="str">
        <x:v>Плечо, пальцы, колено</x:v>
      </x:c>
    </x:row>
    <x:row r="17">
      <x:c r="A17" s="19" t="str">
        <x:v>Энергия 1–5</x:v>
      </x:c>
      <x:c r="B17" s="13" t="n">
        <x:v>1</x:v>
      </x:c>
      <x:c r="C17" s="20" t="str">
        <x:v>Субъективная энергия</x:v>
      </x:c>
    </x:row>
    <x:row r="18">
      <x:c r="A18" s="19" t="str">
        <x:v>Энергия 1–5</x:v>
      </x:c>
      <x:c r="B18" s="13" t="n">
        <x:v>2</x:v>
      </x:c>
      <x:c r="C18" s="20" t="str">
        <x:v>Субъективная энергия</x:v>
      </x:c>
    </x:row>
    <x:row r="19">
      <x:c r="A19" s="19" t="str">
        <x:v>Энергия 1–5</x:v>
      </x:c>
      <x:c r="B19" s="13" t="n">
        <x:v>3</x:v>
      </x:c>
      <x:c r="C19" s="20" t="str">
        <x:v>Субъективная энергия</x:v>
      </x:c>
    </x:row>
    <x:row r="20">
      <x:c r="A20" s="19" t="str">
        <x:v>Энергия 1–5</x:v>
      </x:c>
      <x:c r="B20" s="13" t="n">
        <x:v>4</x:v>
      </x:c>
      <x:c r="C20" s="20" t="str">
        <x:v>Субъективная энергия</x:v>
      </x:c>
    </x:row>
    <x:row r="21">
      <x:c r="A21" s="19" t="str">
        <x:v>Энергия 1–5</x:v>
      </x:c>
      <x:c r="B21" s="13" t="n">
        <x:v>5</x:v>
      </x:c>
      <x:c r="C21" s="20" t="str">
        <x:v>Субъективная энергия</x:v>
      </x:c>
    </x:row>
    <x:row r="22">
      <x:c r="A22" s="19" t="str">
        <x:v>Зал</x:v>
      </x:c>
      <x:c r="B22" s="13" t="str">
        <x:v>Berta</x:v>
      </x:c>
      <x:c r="C22" s="20" t="str">
        <x:v>Для журнала трасс</x:v>
      </x:c>
    </x:row>
    <x:row r="23">
      <x:c r="A23" s="19" t="str">
        <x:v>Зал</x:v>
      </x:c>
      <x:c r="B23" s="13" t="str">
        <x:v>Basement</x:v>
      </x:c>
      <x:c r="C23" s="20" t="str">
        <x:v>Для журнала трасс</x:v>
      </x:c>
    </x:row>
    <x:row r="24">
      <x:c r="A24" s="19" t="str">
        <x:v>Зал</x:v>
      </x:c>
      <x:c r="B24" s="13" t="str">
        <x:v>Другой зал</x:v>
      </x:c>
      <x:c r="C24" s="20" t="str">
        <x:v>Для журнала трасс</x:v>
      </x:c>
    </x:row>
    <x:row r="25">
      <x:c r="A25" s="19" t="str">
        <x:v>Роль трассы</x:v>
      </x:c>
      <x:c r="B25" s="13" t="str">
        <x:v>Разминка</x:v>
      </x:c>
      <x:c r="C25" s="20" t="str">
        <x:v>Для журнала трасс</x:v>
      </x:c>
    </x:row>
    <x:row r="26">
      <x:c r="A26" s="19" t="str">
        <x:v>Роль трассы</x:v>
      </x:c>
      <x:c r="B26" s="13" t="str">
        <x:v>Техника</x:v>
      </x:c>
      <x:c r="C26" s="20" t="str">
        <x:v>Для журнала трасс</x:v>
      </x:c>
    </x:row>
    <x:row r="27">
      <x:c r="A27" s="19" t="str">
        <x:v>Роль трассы</x:v>
      </x:c>
      <x:c r="B27" s="13" t="str">
        <x:v>Объём</x:v>
      </x:c>
      <x:c r="C27" s="20" t="str">
        <x:v>Для журнала трасс</x:v>
      </x:c>
    </x:row>
    <x:row r="28">
      <x:c r="A28" s="19" t="str">
        <x:v>Роль трассы</x:v>
      </x:c>
      <x:c r="B28" s="13" t="str">
        <x:v>Рабочая</x:v>
      </x:c>
      <x:c r="C28" s="20" t="str">
        <x:v>Для журнала трасс</x:v>
      </x:c>
    </x:row>
    <x:row r="29">
      <x:c r="A29" s="19" t="str">
        <x:v>Роль трассы</x:v>
      </x:c>
      <x:c r="B29" s="13" t="str">
        <x:v>Проект</x:v>
      </x:c>
      <x:c r="C29" s="20" t="str">
        <x:v>Для журнала трасс</x:v>
      </x:c>
    </x:row>
    <x:row r="30">
      <x:c r="A30" s="19" t="str">
        <x:v>Роль трассы</x:v>
      </x:c>
      <x:c r="B30" s="13" t="str">
        <x:v>Fun</x:v>
      </x:c>
      <x:c r="C30" s="20" t="str">
        <x:v>Для журнала трасс</x:v>
      </x:c>
    </x:row>
    <x:row r="31">
      <x:c r="A31" s="19" t="str">
        <x:v>Правило</x:v>
      </x:c>
      <x:c r="B31" s="13" t="str">
        <x:v>48 часов</x:v>
      </x:c>
      <x:c r="C31" s="20" t="str">
        <x:v>Ориентир между тяжёлыми пальцевыми сессиями</x:v>
      </x:c>
    </x:row>
    <x:row r="32">
      <x:c r="A32" s="19" t="str">
        <x:v>Правило</x:v>
      </x:c>
      <x:c r="B32" s="13" t="str">
        <x:v>2 ухудшения</x:v>
      </x:c>
      <x:c r="C32" s="20" t="str">
        <x:v>После двух явно худших попыток тяжёлый блок окончен</x:v>
      </x:c>
    </x:row>
    <x:row r="33">
      <x:c r="A33" s="19" t="str">
        <x:v>Правило</x:v>
      </x:c>
      <x:c r="B33" s="13" t="str">
        <x:v>RPE ≤ 8</x:v>
      </x:c>
      <x:c r="C33" s="20" t="str">
        <x:v>Фингерборд не до отказа</x:v>
      </x:c>
    </x:row>
    <x:row r="34">
      <x:c r="A34" s="21" t="str">
        <x:v>Правило</x:v>
      </x:c>
      <x:c r="B34" s="22" t="str">
        <x:v>Sunday optional</x:v>
      </x:c>
      <x:c r="C34" s="23" t="str">
        <x:v>Воскресенье не входит в обязательный процент</x:v>
      </x:c>
    </x:row>
  </x:sheetData>
  <x:pageMargins left="0.7" right="0.7" top="0.75" bottom="0.75" header="0.3" footer="0.3"/>
  <x:tableParts count="1">
    <x:tablePart xmlns:r="http://schemas.openxmlformats.org/officeDocument/2006/relationships" r:id="R4b45b6e3b9c942d1"/>
  </x:tableParts>
</x:worksheet>
</file>